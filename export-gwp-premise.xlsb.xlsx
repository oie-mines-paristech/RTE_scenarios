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chlesinger\0.Joanna\RTE_scenarios\"/>
    </mc:Choice>
  </mc:AlternateContent>
  <xr:revisionPtr revIDLastSave="0" documentId="13_ncr:1_{31802512-6BA2-4978-9C3F-CDD9278EDC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CL" sheetId="4" r:id="rId1"/>
    <sheet name="elec 1 kWh" sheetId="1" r:id="rId2"/>
    <sheet name="contrib an. detail" sheetId="2" r:id="rId3"/>
    <sheet name="contrib an. aggreg" sheetId="3" r:id="rId4"/>
    <sheet name="elec import - tiam RCP45" sheetId="5" r:id="rId5"/>
  </sheets>
  <definedNames>
    <definedName name="_xlnm._FilterDatabase" localSheetId="3" hidden="1">'contrib an. aggreg'!$A$1:$AF$64</definedName>
    <definedName name="_xlnm._FilterDatabase" localSheetId="2" hidden="1">'contrib an. detail'!$A$1:$AE$170</definedName>
    <definedName name="_xlnm._FilterDatabase" localSheetId="4" hidden="1">'elec import - tiam RCP45'!$A$1:$N$269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3" l="1"/>
  <c r="U14" i="1"/>
  <c r="AE33" i="2"/>
  <c r="AE3" i="2"/>
  <c r="AE4" i="2"/>
  <c r="AE5" i="2"/>
  <c r="AE6" i="2"/>
  <c r="AE7" i="2"/>
  <c r="AE9" i="2"/>
  <c r="AE10" i="2"/>
  <c r="AE11" i="2"/>
  <c r="AE12" i="2"/>
  <c r="AE13" i="2"/>
  <c r="AE14" i="2"/>
  <c r="AE15" i="2"/>
  <c r="AE16" i="2"/>
  <c r="AE17" i="2"/>
  <c r="AE18" i="2"/>
  <c r="AE19" i="2"/>
  <c r="AE23" i="2"/>
  <c r="AE24" i="2"/>
  <c r="AE25" i="2"/>
  <c r="AE26" i="2"/>
  <c r="AE27" i="2"/>
  <c r="AE28" i="2"/>
  <c r="AE29" i="2"/>
  <c r="AE30" i="2"/>
  <c r="AE31" i="2"/>
  <c r="AE34" i="2"/>
  <c r="AE35" i="2"/>
  <c r="AE36" i="2"/>
  <c r="AE37" i="2"/>
  <c r="AE38" i="2"/>
  <c r="AE39" i="2"/>
  <c r="AE43" i="2"/>
  <c r="AE44" i="2"/>
  <c r="AE45" i="2"/>
  <c r="AE46" i="2"/>
  <c r="AE47" i="2"/>
  <c r="AE48" i="2"/>
  <c r="AE50" i="2"/>
  <c r="AE51" i="2"/>
  <c r="AE52" i="2"/>
  <c r="AE53" i="2"/>
  <c r="AE54" i="2"/>
  <c r="AE55" i="2"/>
  <c r="AE56" i="2"/>
  <c r="AE57" i="2"/>
  <c r="AE58" i="2"/>
  <c r="AE59" i="2"/>
  <c r="AE60" i="2"/>
  <c r="AE64" i="2"/>
  <c r="AE65" i="2"/>
  <c r="AE66" i="2"/>
  <c r="AE67" i="2"/>
  <c r="AE68" i="2"/>
  <c r="AE69" i="2"/>
  <c r="AE70" i="2"/>
  <c r="AE71" i="2"/>
  <c r="AE72" i="2"/>
  <c r="AE74" i="2"/>
  <c r="AE75" i="2"/>
  <c r="AE76" i="2"/>
  <c r="AE77" i="2"/>
  <c r="AE78" i="2"/>
  <c r="AE79" i="2"/>
  <c r="AE80" i="2"/>
  <c r="AE84" i="2"/>
  <c r="AE85" i="2"/>
  <c r="AE86" i="2"/>
  <c r="AE87" i="2"/>
  <c r="AE88" i="2"/>
  <c r="AE89" i="2"/>
  <c r="AE90" i="2"/>
  <c r="AE91" i="2"/>
  <c r="AE93" i="2"/>
  <c r="AE94" i="2"/>
  <c r="AE95" i="2"/>
  <c r="AE96" i="2"/>
  <c r="AE97" i="2"/>
  <c r="AE98" i="2"/>
  <c r="AE99" i="2"/>
  <c r="AE100" i="2"/>
  <c r="AE101" i="2"/>
  <c r="AE102" i="2"/>
  <c r="AE106" i="2"/>
  <c r="AE107" i="2"/>
  <c r="AE108" i="2"/>
  <c r="AE109" i="2"/>
  <c r="AE110" i="2"/>
  <c r="AE111" i="2"/>
  <c r="AE112" i="2"/>
  <c r="AE113" i="2"/>
  <c r="AE115" i="2"/>
  <c r="AE116" i="2"/>
  <c r="AE117" i="2"/>
  <c r="AE118" i="2"/>
  <c r="AE119" i="2"/>
  <c r="AE120" i="2"/>
  <c r="AE121" i="2"/>
  <c r="AE122" i="2"/>
  <c r="AE123" i="2"/>
  <c r="AE124" i="2"/>
  <c r="AE128" i="2"/>
  <c r="AE129" i="2"/>
  <c r="AE130" i="2"/>
  <c r="AE131" i="2"/>
  <c r="AE132" i="2"/>
  <c r="AE133" i="2"/>
  <c r="AE134" i="2"/>
  <c r="AE135" i="2"/>
  <c r="AE137" i="2"/>
  <c r="AE138" i="2"/>
  <c r="AE139" i="2"/>
  <c r="AE140" i="2"/>
  <c r="AE141" i="2"/>
  <c r="AE142" i="2"/>
  <c r="AE143" i="2"/>
  <c r="AE144" i="2"/>
  <c r="AE145" i="2"/>
  <c r="AE146" i="2"/>
  <c r="AE150" i="2"/>
  <c r="AE151" i="2"/>
  <c r="AE152" i="2"/>
  <c r="AE153" i="2"/>
  <c r="AE154" i="2"/>
  <c r="AE155" i="2"/>
  <c r="AE156" i="2"/>
  <c r="AE157" i="2"/>
  <c r="AE159" i="2"/>
  <c r="AE160" i="2"/>
  <c r="AE161" i="2"/>
  <c r="AE162" i="2"/>
  <c r="AE163" i="2"/>
  <c r="AE164" i="2"/>
  <c r="AE165" i="2"/>
  <c r="AE166" i="2"/>
  <c r="AE167" i="2"/>
  <c r="AE168" i="2"/>
  <c r="AE2" i="2"/>
  <c r="U21" i="1"/>
  <c r="U20" i="1"/>
  <c r="U19" i="1"/>
  <c r="U18" i="1"/>
  <c r="U17" i="1"/>
  <c r="U16" i="1"/>
  <c r="U15" i="1"/>
  <c r="U10" i="1"/>
  <c r="U9" i="1"/>
  <c r="U8" i="1"/>
  <c r="U7" i="1"/>
  <c r="U6" i="1"/>
  <c r="U5" i="1"/>
  <c r="U4" i="1"/>
  <c r="U3" i="1"/>
  <c r="AE28" i="3"/>
  <c r="AF64" i="3"/>
  <c r="AF63" i="3"/>
  <c r="AF62" i="3"/>
  <c r="AF61" i="3"/>
  <c r="AF60" i="3"/>
  <c r="AF59" i="3"/>
  <c r="AF58" i="3"/>
  <c r="AF56" i="3"/>
  <c r="AF55" i="3"/>
  <c r="AF54" i="3"/>
  <c r="AF53" i="3"/>
  <c r="AF52" i="3"/>
  <c r="AF51" i="3"/>
  <c r="AF50" i="3"/>
  <c r="AF40" i="3"/>
  <c r="AF39" i="3"/>
  <c r="AF38" i="3"/>
  <c r="AF37" i="3"/>
  <c r="AF36" i="3"/>
  <c r="AF35" i="3"/>
  <c r="AF34" i="3"/>
  <c r="AF16" i="3"/>
  <c r="AF15" i="3"/>
  <c r="AF14" i="3"/>
  <c r="AF13" i="3"/>
  <c r="AF12" i="3"/>
  <c r="AF11" i="3"/>
  <c r="AF10" i="3"/>
  <c r="AF48" i="3"/>
  <c r="AF47" i="3"/>
  <c r="AF46" i="3"/>
  <c r="AF45" i="3"/>
  <c r="AF44" i="3"/>
  <c r="AF43" i="3"/>
  <c r="AF42" i="3"/>
  <c r="AF32" i="3"/>
  <c r="AF31" i="3"/>
  <c r="AF30" i="3"/>
  <c r="AF29" i="3"/>
  <c r="AF28" i="3"/>
  <c r="AF27" i="3"/>
  <c r="AF26" i="3"/>
  <c r="AF24" i="3"/>
  <c r="AF23" i="3"/>
  <c r="AF22" i="3"/>
  <c r="AF21" i="3"/>
  <c r="AF20" i="3"/>
  <c r="AF19" i="3"/>
  <c r="AF18" i="3"/>
  <c r="AF3" i="3"/>
  <c r="AF4" i="3"/>
  <c r="AF5" i="3"/>
  <c r="AF6" i="3"/>
  <c r="AF7" i="3"/>
  <c r="AF8" i="3"/>
  <c r="AF2" i="3"/>
  <c r="AE64" i="3"/>
  <c r="AE63" i="3"/>
  <c r="AE62" i="3"/>
  <c r="AE61" i="3"/>
  <c r="AE60" i="3"/>
  <c r="AE59" i="3"/>
  <c r="AE58" i="3"/>
  <c r="AE56" i="3"/>
  <c r="AE55" i="3"/>
  <c r="AE54" i="3"/>
  <c r="AE53" i="3"/>
  <c r="AE52" i="3"/>
  <c r="AE51" i="3"/>
  <c r="AE50" i="3"/>
  <c r="AE40" i="3"/>
  <c r="AE39" i="3"/>
  <c r="AE38" i="3"/>
  <c r="AE37" i="3"/>
  <c r="AE36" i="3"/>
  <c r="AE35" i="3"/>
  <c r="AE34" i="3"/>
  <c r="AE16" i="3"/>
  <c r="AE15" i="3"/>
  <c r="AE14" i="3"/>
  <c r="AE13" i="3"/>
  <c r="AE12" i="3"/>
  <c r="AE11" i="3"/>
  <c r="AE10" i="3"/>
  <c r="AE48" i="3"/>
  <c r="AE47" i="3"/>
  <c r="AE46" i="3"/>
  <c r="AE45" i="3"/>
  <c r="AE44" i="3"/>
  <c r="AE43" i="3"/>
  <c r="AE42" i="3"/>
  <c r="AE32" i="3"/>
  <c r="AE31" i="3"/>
  <c r="AE30" i="3"/>
  <c r="AE29" i="3"/>
  <c r="AE27" i="3"/>
  <c r="AE26" i="3"/>
  <c r="AE24" i="3"/>
  <c r="AE23" i="3"/>
  <c r="AE22" i="3"/>
  <c r="AE21" i="3"/>
  <c r="AE20" i="3"/>
  <c r="AE19" i="3"/>
  <c r="AE18" i="3"/>
  <c r="AE3" i="3"/>
  <c r="AE4" i="3"/>
  <c r="AE5" i="3"/>
  <c r="AE6" i="3"/>
  <c r="AE7" i="3"/>
  <c r="AE8" i="3"/>
</calcChain>
</file>

<file path=xl/sharedStrings.xml><?xml version="1.0" encoding="utf-8"?>
<sst xmlns="http://schemas.openxmlformats.org/spreadsheetml/2006/main" count="5562" uniqueCount="123">
  <si>
    <t>db_name</t>
  </si>
  <si>
    <t>model</t>
  </si>
  <si>
    <t>IAM scenario</t>
  </si>
  <si>
    <t>FR scenario</t>
  </si>
  <si>
    <t>year</t>
  </si>
  <si>
    <t>act</t>
  </si>
  <si>
    <t>impact</t>
  </si>
  <si>
    <t>unit</t>
  </si>
  <si>
    <t>ei_cutoff_3.9_tiam-ucl_SSP2-Base_2050_Reference - M0 2025-02-19</t>
  </si>
  <si>
    <t>ei_cutoff_3.9_tiam-ucl_SSP2-Base_2050_Reference - N03 2025-02-19</t>
  </si>
  <si>
    <t>ei_cutoff_3.9_tiam-ucl_SSP2-RCP45_2050_Reference - M0 2025-02-19</t>
  </si>
  <si>
    <t>ei_cutoff_3.9_tiam-ucl_SSP2-RCP45_2050_Reference - N03 2025-02-19</t>
  </si>
  <si>
    <t>ei_cutoff_3.9_tiam-ucl_SSP2-Base_2050_Reference - N1 2025-02-19</t>
  </si>
  <si>
    <t>ei_cutoff_3.9_tiam-ucl_SSP2-RCP45_2050_Reference - N1 2025-02-19</t>
  </si>
  <si>
    <t>ei_cutoff_3.9_image_SSP2-Base_2050_Reference - N1 2025-02-19</t>
  </si>
  <si>
    <t>ei_cutoff_3.9_image_SSP2-RCP26_2050_Reference - N1 2025-02-19</t>
  </si>
  <si>
    <t>tiam-ucl</t>
  </si>
  <si>
    <t>image</t>
  </si>
  <si>
    <t>Base</t>
  </si>
  <si>
    <t>RCP45</t>
  </si>
  <si>
    <t>RCP26</t>
  </si>
  <si>
    <t>M0</t>
  </si>
  <si>
    <t>N03</t>
  </si>
  <si>
    <t>N1</t>
  </si>
  <si>
    <t>market for electricity, high voltage, FE2050</t>
  </si>
  <si>
    <t>kg CO2-Eq</t>
  </si>
  <si>
    <t>market for electricity, direct production only, high voltage, FE2050</t>
  </si>
  <si>
    <t>amount</t>
  </si>
  <si>
    <t>unit amount</t>
  </si>
  <si>
    <t>unit impact</t>
  </si>
  <si>
    <t>% impact</t>
  </si>
  <si>
    <t>absolute impact</t>
  </si>
  <si>
    <t>absolute impact/impact elec</t>
  </si>
  <si>
    <t>electricity production, hydro, run-of-river</t>
  </si>
  <si>
    <t>electricity production, hydro, reservoir, alpine region</t>
  </si>
  <si>
    <t>electricity production, photovoltaic</t>
  </si>
  <si>
    <t>electricity production, wind, 1-3MW turbine, onshore</t>
  </si>
  <si>
    <t>electricity production, wind, 1-3MW turbine, offshore</t>
  </si>
  <si>
    <t>heat and power co-generation, wood chips, 6667 kW</t>
  </si>
  <si>
    <t>treatment of municipal solid waste, incineration</t>
  </si>
  <si>
    <t>electricity production, wave energy converter</t>
  </si>
  <si>
    <t>electricity production, natural gas, combined cycle power plant</t>
  </si>
  <si>
    <t>electricity production, hydro, pumped storage, FE2050</t>
  </si>
  <si>
    <t>electricity production, from hydrogen, with gas turbine, for grid-balancing, FE2050</t>
  </si>
  <si>
    <t>electricity production, from vehicle-to-grid, FE2050</t>
  </si>
  <si>
    <t>electricity supply, high voltage, from vanadium-redox flow battery system, FE2050</t>
  </si>
  <si>
    <t>market group for electricity, high voltage</t>
  </si>
  <si>
    <t>transmission network construction, electricity, high voltage direct current aerial line</t>
  </si>
  <si>
    <t>transmission network construction, electricity, high voltage direct current land cable</t>
  </si>
  <si>
    <t>transmission network construction, electricity, high voltage direct current subsea cable</t>
  </si>
  <si>
    <t>Dinitrogen monoxide('air',)</t>
  </si>
  <si>
    <t>Ozone('air',)</t>
  </si>
  <si>
    <t>kilowatt hour</t>
  </si>
  <si>
    <t>kilometer</t>
  </si>
  <si>
    <t>kilogram</t>
  </si>
  <si>
    <t>electricity production, nuclear, pressure water reactor</t>
  </si>
  <si>
    <t>electricity production, Evolutionary Power Reactor (EPR)</t>
  </si>
  <si>
    <t>electricity production, Small Modular Reactor (SMR)</t>
  </si>
  <si>
    <t>direct electricity production in France</t>
  </si>
  <si>
    <t>electricity production from flexibilities</t>
  </si>
  <si>
    <t>imports</t>
  </si>
  <si>
    <t>losses</t>
  </si>
  <si>
    <t>network</t>
  </si>
  <si>
    <t>others : biosphere flows</t>
  </si>
  <si>
    <t>contrib aggreg</t>
  </si>
  <si>
    <t>Direct production always + with premise gwp (+10% to 31%) : M0&gt;NO3, tiam &gt; image, RCP45&gt;Base</t>
  </si>
  <si>
    <t>contrib detail</t>
  </si>
  <si>
    <t>activités qui diminuent (+10%) avec premise_gwp</t>
  </si>
  <si>
    <t>activités qui augmentent (+10%) avec premise_gwp</t>
  </si>
  <si>
    <t>excel sheet</t>
  </si>
  <si>
    <t>variation max sur un des scenarios car pas toujours les mêmes variations</t>
  </si>
  <si>
    <t>sur au moins un scénario</t>
  </si>
  <si>
    <t>Activités (hors import et market FR)</t>
  </si>
  <si>
    <t>tiam RCP 45 : imports (WEU elec) : + 10 gCO2/kg vs - (minus) 56 g/kWh with premise</t>
  </si>
  <si>
    <t>premise-EF</t>
  </si>
  <si>
    <t>premise</t>
  </si>
  <si>
    <t>EF 3.1</t>
  </si>
  <si>
    <t>elec 1kWh (consumption)</t>
  </si>
  <si>
    <t>market for elec, high voltage, FR: + or - 10% with premise_gwp or with gwp standard</t>
  </si>
  <si>
    <t>image RCP 26 : imports (WEU elec) : 1 gCO2/kWh vs 0,08 g/kWh with premise</t>
  </si>
  <si>
    <t>tiam RCP 45 : - 56 g/kWh with premise</t>
  </si>
  <si>
    <t>ei_cutoff_3.9_tiam-ucl_SSP2-RCP45_2050_Reference - M0 2025-03-17</t>
  </si>
  <si>
    <t>heat and power co-generation, natural gas, combined cycle power plant, 400MW electrical</t>
  </si>
  <si>
    <t>heat and power co-generation, natural gas, conventional power plant, 100MW electrical</t>
  </si>
  <si>
    <t>electricity production, hard coal</t>
  </si>
  <si>
    <t>electricity production, lignite</t>
  </si>
  <si>
    <t>electricity production, solar thermal parabolic trough, 50 MW</t>
  </si>
  <si>
    <t>electricity production, solar tower power plant, 20 MW</t>
  </si>
  <si>
    <t>heat and power co-generation, wood chips, 6667 kW, state-of-the-art 2014</t>
  </si>
  <si>
    <t>electricity production, at wood burning power plant</t>
  </si>
  <si>
    <t>electricity production, at co-firing wood and coal power plant, 80-20</t>
  </si>
  <si>
    <t>electricity production, at biomass-fired IGCC power plant</t>
  </si>
  <si>
    <t>electricity production, hard coal, ultra-supercritical</t>
  </si>
  <si>
    <t>electricity production, hard coal, supercritical</t>
  </si>
  <si>
    <t>treatment of municipal solid waste, municipal incineration with fly ash extraction</t>
  </si>
  <si>
    <t>heat and power co-generation, lignite</t>
  </si>
  <si>
    <t>heat and power co-generation, hard coal</t>
  </si>
  <si>
    <t>electricity production, at biomass-fired IGCC power plant, pre, pipeline 200km, storage 1000m</t>
  </si>
  <si>
    <t>electricity production, photovoltaic, commercial</t>
  </si>
  <si>
    <t>electricity production, at natural gas-fired combined cycle power plant, post, pipeline 200km, storage 1000m</t>
  </si>
  <si>
    <t>electricity production, wind, &lt;1MW turbine, onshore</t>
  </si>
  <si>
    <t>electricity production, wind, &gt;3MW turbine, onshore</t>
  </si>
  <si>
    <t>electricity production, oil</t>
  </si>
  <si>
    <t>heat and power co-generation, oil</t>
  </si>
  <si>
    <t>electricity production, at hard coal-fired IGCC power plant, pre, pipeline 200km, storage 1000m</t>
  </si>
  <si>
    <t>electricity production, at lignite-fired IGCC power plant, pre, pipeline 200km, storage 1000m</t>
  </si>
  <si>
    <t>electricity production, nuclear, boiling water reactor</t>
  </si>
  <si>
    <t>heat and power co-generation, existing, wood chips</t>
  </si>
  <si>
    <t>electricity production, deep geothermal</t>
  </si>
  <si>
    <t>electricity supply, from stationary battery (CONT scenario)</t>
  </si>
  <si>
    <t>heat and power co-generation, biogas, gas engine</t>
  </si>
  <si>
    <t>heat and power co-generation, biogas, gas engine, renewable energy products</t>
  </si>
  <si>
    <t>electricity production, natural gas, conventional power plant</t>
  </si>
  <si>
    <t>electricity production, hydro, reservoir, non-alpine region</t>
  </si>
  <si>
    <t>electricity production, at wood burning power plant, post, pipeline 200km, storage 1000m</t>
  </si>
  <si>
    <t>electricity production, at hard coal-fired IGCC power plant</t>
  </si>
  <si>
    <t>electricity production, at lignite-fired IGCC power plant</t>
  </si>
  <si>
    <t>electricity production, natural gas, gas turbine, conventional power plant</t>
  </si>
  <si>
    <t>electricity production, at co-firing wood and coal power plant, 50-50</t>
  </si>
  <si>
    <t>electricity production, at hard coal-fired power plant, ultra-super critical, oxy, pipeline 200km, storage 1000m</t>
  </si>
  <si>
    <t>one activity represents 5% of production (0,05 kWh/kWh) but its impact is highly negative</t>
  </si>
  <si>
    <t>equals to -1200 gCO2eq/kWh</t>
  </si>
  <si>
    <t>Consumption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</si>
</sst>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1F1F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5F0"/>
        <bgColor indexed="64"/>
      </patternFill>
    </fill>
    <fill>
      <patternFill patternType="solid">
        <fgColor rgb="FFC1161B"/>
        <bgColor indexed="64"/>
      </patternFill>
    </fill>
    <fill>
      <patternFill patternType="solid">
        <fgColor rgb="FFFCA082"/>
        <bgColor indexed="64"/>
      </patternFill>
    </fill>
    <fill>
      <patternFill patternType="solid">
        <fgColor rgb="FFFDC7B2"/>
        <bgColor indexed="64"/>
      </patternFill>
    </fill>
    <fill>
      <patternFill patternType="solid">
        <fgColor rgb="FFF96245"/>
        <bgColor indexed="64"/>
      </patternFill>
    </fill>
    <fill>
      <patternFill patternType="solid">
        <fgColor rgb="FFFEE8DD"/>
        <bgColor indexed="64"/>
      </patternFill>
    </fill>
    <fill>
      <patternFill patternType="solid">
        <fgColor rgb="FF67000D"/>
        <bgColor indexed="64"/>
      </patternFill>
    </fill>
    <fill>
      <patternFill patternType="solid">
        <fgColor rgb="FFFEE0D2"/>
        <bgColor indexed="64"/>
      </patternFill>
    </fill>
    <fill>
      <patternFill patternType="solid">
        <fgColor rgb="FFB01217"/>
        <bgColor indexed="64"/>
      </patternFill>
    </fill>
    <fill>
      <patternFill patternType="solid">
        <fgColor rgb="FFFDC9B3"/>
        <bgColor indexed="64"/>
      </patternFill>
    </fill>
    <fill>
      <patternFill patternType="solid">
        <fgColor rgb="FFF24734"/>
        <bgColor indexed="64"/>
      </patternFill>
    </fill>
    <fill>
      <patternFill patternType="solid">
        <fgColor rgb="FFFB7555"/>
        <bgColor indexed="64"/>
      </patternFill>
    </fill>
    <fill>
      <patternFill patternType="solid">
        <fgColor rgb="FFFCBBA1"/>
        <bgColor indexed="64"/>
      </patternFill>
    </fill>
    <fill>
      <patternFill patternType="solid">
        <fgColor rgb="FFFDCCB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0" fontId="0" fillId="5" borderId="0" xfId="0" applyFill="1"/>
    <xf numFmtId="0" fontId="1" fillId="5" borderId="1" xfId="0" applyFont="1" applyFill="1" applyBorder="1" applyAlignment="1">
      <alignment horizontal="center" vertical="top"/>
    </xf>
    <xf numFmtId="164" fontId="0" fillId="6" borderId="0" xfId="0" applyNumberFormat="1" applyFill="1"/>
    <xf numFmtId="9" fontId="0" fillId="4" borderId="0" xfId="1" applyFont="1" applyFill="1"/>
    <xf numFmtId="9" fontId="0" fillId="2" borderId="0" xfId="1" applyFont="1" applyFill="1"/>
    <xf numFmtId="9" fontId="0" fillId="0" borderId="0" xfId="0" applyNumberFormat="1"/>
    <xf numFmtId="9" fontId="0" fillId="3" borderId="0" xfId="1" applyFont="1" applyFill="1"/>
    <xf numFmtId="9" fontId="0" fillId="6" borderId="0" xfId="1" applyFont="1" applyFill="1"/>
    <xf numFmtId="0" fontId="3" fillId="7" borderId="0" xfId="0" applyFont="1" applyFill="1"/>
    <xf numFmtId="0" fontId="4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4" fillId="11" borderId="0" xfId="0" applyFont="1" applyFill="1"/>
    <xf numFmtId="0" fontId="3" fillId="12" borderId="0" xfId="0" applyFont="1" applyFill="1"/>
    <xf numFmtId="0" fontId="4" fillId="13" borderId="0" xfId="0" applyFont="1" applyFill="1"/>
    <xf numFmtId="0" fontId="3" fillId="14" borderId="0" xfId="0" applyFont="1" applyFill="1"/>
    <xf numFmtId="0" fontId="4" fillId="15" borderId="0" xfId="0" applyFont="1" applyFill="1"/>
    <xf numFmtId="0" fontId="3" fillId="16" borderId="0" xfId="0" applyFont="1" applyFill="1"/>
    <xf numFmtId="0" fontId="4" fillId="17" borderId="0" xfId="0" applyFont="1" applyFill="1"/>
    <xf numFmtId="0" fontId="4" fillId="18" borderId="0" xfId="0" applyFont="1" applyFill="1"/>
    <xf numFmtId="0" fontId="3" fillId="19" borderId="0" xfId="0" applyFont="1" applyFill="1"/>
    <xf numFmtId="0" fontId="3" fillId="20" borderId="0" xfId="0" applyFont="1" applyFill="1"/>
    <xf numFmtId="0" fontId="1" fillId="21" borderId="1" xfId="0" applyFont="1" applyFill="1" applyBorder="1" applyAlignment="1">
      <alignment horizontal="center" vertical="top"/>
    </xf>
    <xf numFmtId="0" fontId="0" fillId="21" borderId="0" xfId="0" applyFill="1"/>
    <xf numFmtId="0" fontId="0" fillId="4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9" fontId="0" fillId="26" borderId="0" xfId="0" applyNumberFormat="1" applyFill="1"/>
    <xf numFmtId="9" fontId="0" fillId="3" borderId="0" xfId="0" applyNumberFormat="1" applyFill="1"/>
    <xf numFmtId="0" fontId="0" fillId="0" borderId="3" xfId="0" applyBorder="1"/>
    <xf numFmtId="0" fontId="0" fillId="0" borderId="5" xfId="0" applyBorder="1"/>
    <xf numFmtId="0" fontId="0" fillId="0" borderId="4" xfId="0" applyBorder="1"/>
    <xf numFmtId="9" fontId="0" fillId="0" borderId="5" xfId="0" applyNumberFormat="1" applyBorder="1"/>
    <xf numFmtId="9" fontId="0" fillId="0" borderId="3" xfId="0" applyNumberFormat="1" applyBorder="1"/>
    <xf numFmtId="0" fontId="0" fillId="25" borderId="3" xfId="0" applyFill="1" applyBorder="1"/>
    <xf numFmtId="0" fontId="1" fillId="0" borderId="0" xfId="0" applyFont="1" applyAlignment="1">
      <alignment horizontal="center" vertical="top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0E32-4F5F-4616-8604-DFB6D60D9C5A}">
  <dimension ref="A1:K15"/>
  <sheetViews>
    <sheetView tabSelected="1" workbookViewId="0">
      <selection activeCell="B4" sqref="B4"/>
    </sheetView>
  </sheetViews>
  <sheetFormatPr baseColWidth="10" defaultRowHeight="14.5" x14ac:dyDescent="0.35"/>
  <cols>
    <col min="1" max="1" width="23.1796875" customWidth="1"/>
    <col min="2" max="2" width="74.7265625" customWidth="1"/>
    <col min="5" max="5" width="44.6328125" customWidth="1"/>
  </cols>
  <sheetData>
    <row r="1" spans="1:11" x14ac:dyDescent="0.35">
      <c r="A1" s="39" t="s">
        <v>69</v>
      </c>
      <c r="B1" s="39"/>
      <c r="C1" s="39"/>
      <c r="D1" s="39"/>
      <c r="E1" s="39"/>
    </row>
    <row r="2" spans="1:11" x14ac:dyDescent="0.35">
      <c r="A2" s="39" t="s">
        <v>77</v>
      </c>
      <c r="B2" s="39" t="s">
        <v>78</v>
      </c>
      <c r="C2" s="39"/>
      <c r="D2" s="39"/>
      <c r="E2" s="39"/>
    </row>
    <row r="3" spans="1:11" x14ac:dyDescent="0.35">
      <c r="A3" s="40" t="s">
        <v>64</v>
      </c>
      <c r="B3" s="40" t="s">
        <v>65</v>
      </c>
      <c r="C3" s="40"/>
      <c r="D3" s="40"/>
      <c r="E3" s="40"/>
    </row>
    <row r="4" spans="1:11" x14ac:dyDescent="0.35">
      <c r="B4" s="36" t="s">
        <v>73</v>
      </c>
    </row>
    <row r="5" spans="1:11" x14ac:dyDescent="0.35">
      <c r="A5" s="39"/>
      <c r="B5" s="39" t="s">
        <v>79</v>
      </c>
      <c r="C5" s="39"/>
      <c r="D5" s="39"/>
      <c r="E5" s="39"/>
    </row>
    <row r="6" spans="1:11" x14ac:dyDescent="0.35">
      <c r="A6" s="40" t="s">
        <v>66</v>
      </c>
      <c r="B6" s="41" t="s">
        <v>72</v>
      </c>
      <c r="C6" s="41" t="s">
        <v>70</v>
      </c>
      <c r="D6" s="41"/>
      <c r="E6" s="41"/>
    </row>
    <row r="7" spans="1:11" x14ac:dyDescent="0.35">
      <c r="B7" s="40" t="s">
        <v>67</v>
      </c>
      <c r="C7" s="42">
        <v>-0.75</v>
      </c>
      <c r="D7" s="40" t="s">
        <v>41</v>
      </c>
      <c r="E7" s="40"/>
      <c r="J7" s="31"/>
      <c r="K7" s="31"/>
    </row>
    <row r="8" spans="1:11" x14ac:dyDescent="0.35">
      <c r="B8" s="39" t="s">
        <v>71</v>
      </c>
      <c r="C8" s="43">
        <v>-0.1</v>
      </c>
      <c r="D8" s="39" t="s">
        <v>35</v>
      </c>
      <c r="E8" s="39"/>
      <c r="J8" s="31"/>
      <c r="K8" s="31"/>
    </row>
    <row r="9" spans="1:11" x14ac:dyDescent="0.35">
      <c r="B9" t="s">
        <v>68</v>
      </c>
      <c r="C9" s="13">
        <v>3</v>
      </c>
      <c r="D9" t="s">
        <v>38</v>
      </c>
      <c r="J9" s="31"/>
      <c r="K9" s="31"/>
    </row>
    <row r="10" spans="1:11" x14ac:dyDescent="0.35">
      <c r="B10" t="s">
        <v>71</v>
      </c>
      <c r="C10" s="13">
        <v>0.14000000000000001</v>
      </c>
      <c r="D10" t="s">
        <v>43</v>
      </c>
    </row>
    <row r="11" spans="1:11" x14ac:dyDescent="0.35">
      <c r="C11" s="13">
        <v>0.11</v>
      </c>
      <c r="D11" t="s">
        <v>42</v>
      </c>
      <c r="J11" s="31"/>
      <c r="K11" s="31"/>
    </row>
    <row r="12" spans="1:11" x14ac:dyDescent="0.35">
      <c r="A12" s="39"/>
      <c r="B12" s="39"/>
      <c r="C12" s="43">
        <v>0.12</v>
      </c>
      <c r="D12" s="39" t="s">
        <v>44</v>
      </c>
      <c r="E12" s="39"/>
    </row>
    <row r="13" spans="1:11" x14ac:dyDescent="0.35">
      <c r="A13" t="s">
        <v>80</v>
      </c>
      <c r="B13" s="36" t="s">
        <v>120</v>
      </c>
    </row>
    <row r="14" spans="1:11" x14ac:dyDescent="0.35">
      <c r="B14" s="36" t="s">
        <v>121</v>
      </c>
      <c r="J14" s="31"/>
      <c r="K14" s="31"/>
    </row>
    <row r="15" spans="1:11" s="39" customFormat="1" x14ac:dyDescent="0.35">
      <c r="B15" s="44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>
      <selection activeCell="G12" sqref="G12"/>
    </sheetView>
  </sheetViews>
  <sheetFormatPr baseColWidth="10" defaultColWidth="8.7265625" defaultRowHeight="14.5" x14ac:dyDescent="0.35"/>
  <cols>
    <col min="10" max="10" width="8" customWidth="1"/>
    <col min="11" max="17" width="8.7265625" hidden="1" customWidth="1"/>
    <col min="21" max="21" width="8.90625" bestFit="1" customWidth="1"/>
  </cols>
  <sheetData>
    <row r="1" spans="1:21" x14ac:dyDescent="0.35">
      <c r="G1" t="s">
        <v>122</v>
      </c>
      <c r="H1" t="s">
        <v>75</v>
      </c>
      <c r="R1" t="s">
        <v>76</v>
      </c>
    </row>
    <row r="2" spans="1:2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L2" s="1" t="s">
        <v>0</v>
      </c>
      <c r="M2" s="1" t="s">
        <v>1</v>
      </c>
      <c r="N2" s="1" t="s">
        <v>2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</row>
    <row r="3" spans="1:21" x14ac:dyDescent="0.35">
      <c r="A3" s="1">
        <v>0</v>
      </c>
      <c r="B3" t="s">
        <v>8</v>
      </c>
      <c r="C3" t="s">
        <v>16</v>
      </c>
      <c r="D3" t="s">
        <v>18</v>
      </c>
      <c r="E3" t="s">
        <v>21</v>
      </c>
      <c r="F3">
        <v>2050</v>
      </c>
      <c r="G3" t="s">
        <v>24</v>
      </c>
      <c r="H3">
        <v>4.0668790398036669E-2</v>
      </c>
      <c r="I3" t="s">
        <v>25</v>
      </c>
      <c r="K3" s="1">
        <v>0</v>
      </c>
      <c r="L3" t="s">
        <v>8</v>
      </c>
      <c r="M3" t="s">
        <v>16</v>
      </c>
      <c r="N3" t="s">
        <v>18</v>
      </c>
      <c r="O3" t="s">
        <v>21</v>
      </c>
      <c r="P3" s="16">
        <v>2050</v>
      </c>
      <c r="Q3" t="s">
        <v>24</v>
      </c>
      <c r="R3" s="17">
        <v>3.7567263802992051E-2</v>
      </c>
      <c r="S3" t="s">
        <v>25</v>
      </c>
      <c r="U3" s="2">
        <f>(H3-R3)/AVERAGE(H3,R3)</f>
        <v>7.928637574372549E-2</v>
      </c>
    </row>
    <row r="4" spans="1:21" x14ac:dyDescent="0.35">
      <c r="A4" s="1">
        <v>1</v>
      </c>
      <c r="B4" t="s">
        <v>9</v>
      </c>
      <c r="C4" t="s">
        <v>16</v>
      </c>
      <c r="D4" t="s">
        <v>18</v>
      </c>
      <c r="E4" t="s">
        <v>22</v>
      </c>
      <c r="F4">
        <v>2050</v>
      </c>
      <c r="G4" t="s">
        <v>24</v>
      </c>
      <c r="H4">
        <v>2.4633076734709679E-2</v>
      </c>
      <c r="I4" t="s">
        <v>25</v>
      </c>
      <c r="K4" s="1">
        <v>1</v>
      </c>
      <c r="L4" t="s">
        <v>9</v>
      </c>
      <c r="M4" t="s">
        <v>16</v>
      </c>
      <c r="N4" t="s">
        <v>18</v>
      </c>
      <c r="O4" t="s">
        <v>22</v>
      </c>
      <c r="P4" s="16">
        <v>2050</v>
      </c>
      <c r="Q4" t="s">
        <v>24</v>
      </c>
      <c r="R4" s="18">
        <v>2.1744280567840269E-2</v>
      </c>
      <c r="S4" t="s">
        <v>25</v>
      </c>
      <c r="U4" s="2">
        <f t="shared" ref="U4:U21" si="0">(H4-R4)/AVERAGE(H4,R4)</f>
        <v>0.12457786880886272</v>
      </c>
    </row>
    <row r="5" spans="1:21" x14ac:dyDescent="0.35">
      <c r="A5" s="1">
        <v>2</v>
      </c>
      <c r="B5" t="s">
        <v>10</v>
      </c>
      <c r="C5" t="s">
        <v>16</v>
      </c>
      <c r="D5" t="s">
        <v>19</v>
      </c>
      <c r="E5" t="s">
        <v>21</v>
      </c>
      <c r="F5">
        <v>2050</v>
      </c>
      <c r="G5" t="s">
        <v>24</v>
      </c>
      <c r="H5">
        <v>1.5687306595405789E-2</v>
      </c>
      <c r="I5" t="s">
        <v>25</v>
      </c>
      <c r="K5" s="1">
        <v>2</v>
      </c>
      <c r="L5" t="s">
        <v>10</v>
      </c>
      <c r="M5" t="s">
        <v>16</v>
      </c>
      <c r="N5" t="s">
        <v>19</v>
      </c>
      <c r="O5" t="s">
        <v>21</v>
      </c>
      <c r="P5" s="16">
        <v>2050</v>
      </c>
      <c r="Q5" t="s">
        <v>24</v>
      </c>
      <c r="R5" s="19">
        <v>1.7417130655725331E-2</v>
      </c>
      <c r="S5" t="s">
        <v>25</v>
      </c>
      <c r="U5" s="2">
        <f t="shared" si="0"/>
        <v>-0.10450708146446062</v>
      </c>
    </row>
    <row r="6" spans="1:21" x14ac:dyDescent="0.35">
      <c r="A6" s="1">
        <v>3</v>
      </c>
      <c r="B6" t="s">
        <v>11</v>
      </c>
      <c r="C6" t="s">
        <v>16</v>
      </c>
      <c r="D6" t="s">
        <v>19</v>
      </c>
      <c r="E6" t="s">
        <v>22</v>
      </c>
      <c r="F6">
        <v>2050</v>
      </c>
      <c r="G6" t="s">
        <v>24</v>
      </c>
      <c r="H6">
        <v>1.020429904566704E-2</v>
      </c>
      <c r="I6" t="s">
        <v>25</v>
      </c>
      <c r="K6" s="1">
        <v>3</v>
      </c>
      <c r="L6" t="s">
        <v>11</v>
      </c>
      <c r="M6" t="s">
        <v>16</v>
      </c>
      <c r="N6" t="s">
        <v>19</v>
      </c>
      <c r="O6" t="s">
        <v>22</v>
      </c>
      <c r="P6" s="16">
        <v>2050</v>
      </c>
      <c r="Q6" t="s">
        <v>24</v>
      </c>
      <c r="R6" s="16">
        <v>1.00178725812946E-2</v>
      </c>
      <c r="S6" t="s">
        <v>25</v>
      </c>
      <c r="U6" s="2">
        <f t="shared" si="0"/>
        <v>1.8437828321453145E-2</v>
      </c>
    </row>
    <row r="7" spans="1:21" x14ac:dyDescent="0.35">
      <c r="A7" s="1">
        <v>4</v>
      </c>
      <c r="B7" t="s">
        <v>12</v>
      </c>
      <c r="C7" t="s">
        <v>16</v>
      </c>
      <c r="D7" t="s">
        <v>18</v>
      </c>
      <c r="E7" t="s">
        <v>23</v>
      </c>
      <c r="F7">
        <v>2050</v>
      </c>
      <c r="G7" t="s">
        <v>24</v>
      </c>
      <c r="H7">
        <v>3.1236896345298769E-2</v>
      </c>
      <c r="I7" t="s">
        <v>25</v>
      </c>
      <c r="K7" s="1">
        <v>4</v>
      </c>
      <c r="L7" t="s">
        <v>12</v>
      </c>
      <c r="M7" t="s">
        <v>16</v>
      </c>
      <c r="N7" t="s">
        <v>18</v>
      </c>
      <c r="O7" t="s">
        <v>23</v>
      </c>
      <c r="P7" s="16">
        <v>2050</v>
      </c>
      <c r="Q7" t="s">
        <v>24</v>
      </c>
      <c r="R7" s="20">
        <v>2.8277353280720931E-2</v>
      </c>
      <c r="S7" t="s">
        <v>25</v>
      </c>
      <c r="U7" s="2">
        <f t="shared" si="0"/>
        <v>9.9456620327912942E-2</v>
      </c>
    </row>
    <row r="8" spans="1:21" x14ac:dyDescent="0.35">
      <c r="A8" s="1">
        <v>5</v>
      </c>
      <c r="B8" t="s">
        <v>13</v>
      </c>
      <c r="C8" t="s">
        <v>16</v>
      </c>
      <c r="D8" t="s">
        <v>19</v>
      </c>
      <c r="E8" t="s">
        <v>23</v>
      </c>
      <c r="F8">
        <v>2050</v>
      </c>
      <c r="G8" t="s">
        <v>24</v>
      </c>
      <c r="H8">
        <v>1.2220851124720751E-2</v>
      </c>
      <c r="I8" t="s">
        <v>25</v>
      </c>
      <c r="K8" s="1">
        <v>5</v>
      </c>
      <c r="L8" t="s">
        <v>13</v>
      </c>
      <c r="M8" t="s">
        <v>16</v>
      </c>
      <c r="N8" t="s">
        <v>19</v>
      </c>
      <c r="O8" t="s">
        <v>23</v>
      </c>
      <c r="P8" s="16">
        <v>2050</v>
      </c>
      <c r="Q8" t="s">
        <v>24</v>
      </c>
      <c r="R8" s="21">
        <v>1.2887523394299549E-2</v>
      </c>
      <c r="S8" t="s">
        <v>25</v>
      </c>
      <c r="U8" s="2">
        <f t="shared" si="0"/>
        <v>-5.3103578574851637E-2</v>
      </c>
    </row>
    <row r="9" spans="1:21" x14ac:dyDescent="0.35">
      <c r="A9" s="1">
        <v>6</v>
      </c>
      <c r="B9" t="s">
        <v>14</v>
      </c>
      <c r="C9" t="s">
        <v>17</v>
      </c>
      <c r="D9" t="s">
        <v>18</v>
      </c>
      <c r="E9" t="s">
        <v>23</v>
      </c>
      <c r="F9">
        <v>2050</v>
      </c>
      <c r="G9" t="s">
        <v>24</v>
      </c>
      <c r="H9">
        <v>4.6864467356844797E-2</v>
      </c>
      <c r="I9" t="s">
        <v>25</v>
      </c>
      <c r="K9" s="1">
        <v>6</v>
      </c>
      <c r="L9" t="s">
        <v>14</v>
      </c>
      <c r="M9" t="s">
        <v>17</v>
      </c>
      <c r="N9" t="s">
        <v>18</v>
      </c>
      <c r="O9" t="s">
        <v>23</v>
      </c>
      <c r="P9" s="16">
        <v>2050</v>
      </c>
      <c r="Q9" t="s">
        <v>24</v>
      </c>
      <c r="R9" s="22">
        <v>4.5122473416515117E-2</v>
      </c>
      <c r="S9" t="s">
        <v>25</v>
      </c>
      <c r="U9" s="2">
        <f t="shared" si="0"/>
        <v>3.7874809743301589E-2</v>
      </c>
    </row>
    <row r="10" spans="1:21" x14ac:dyDescent="0.35">
      <c r="A10" s="1">
        <v>7</v>
      </c>
      <c r="B10" t="s">
        <v>15</v>
      </c>
      <c r="C10" t="s">
        <v>17</v>
      </c>
      <c r="D10" t="s">
        <v>20</v>
      </c>
      <c r="E10" t="s">
        <v>23</v>
      </c>
      <c r="F10">
        <v>2050</v>
      </c>
      <c r="G10" t="s">
        <v>24</v>
      </c>
      <c r="H10">
        <v>1.3191884770992779E-2</v>
      </c>
      <c r="I10" t="s">
        <v>25</v>
      </c>
      <c r="K10" s="1">
        <v>7</v>
      </c>
      <c r="L10" t="s">
        <v>15</v>
      </c>
      <c r="M10" t="s">
        <v>17</v>
      </c>
      <c r="N10" t="s">
        <v>20</v>
      </c>
      <c r="O10" t="s">
        <v>23</v>
      </c>
      <c r="P10" s="16">
        <v>2050</v>
      </c>
      <c r="Q10" t="s">
        <v>24</v>
      </c>
      <c r="R10" s="23">
        <v>1.442483681787711E-2</v>
      </c>
      <c r="S10" t="s">
        <v>25</v>
      </c>
      <c r="U10" s="2">
        <f t="shared" si="0"/>
        <v>-8.9290254306016961E-2</v>
      </c>
    </row>
    <row r="11" spans="1:21" x14ac:dyDescent="0.35">
      <c r="A11" s="45"/>
      <c r="K11" s="45"/>
      <c r="P11" s="16"/>
      <c r="R11" s="23"/>
      <c r="U11" s="2"/>
    </row>
    <row r="12" spans="1:21" x14ac:dyDescent="0.35">
      <c r="G12" t="s">
        <v>122</v>
      </c>
      <c r="U12" s="2"/>
    </row>
    <row r="13" spans="1:21" x14ac:dyDescent="0.35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L13" s="1" t="s">
        <v>0</v>
      </c>
      <c r="M13" s="1" t="s">
        <v>1</v>
      </c>
      <c r="N13" s="1" t="s">
        <v>2</v>
      </c>
      <c r="O13" s="1" t="s">
        <v>3</v>
      </c>
      <c r="P13" s="1" t="s">
        <v>4</v>
      </c>
      <c r="Q13" s="1" t="s">
        <v>5</v>
      </c>
      <c r="R13" s="1" t="s">
        <v>6</v>
      </c>
      <c r="S13" s="1" t="s">
        <v>7</v>
      </c>
      <c r="U13" s="2"/>
    </row>
    <row r="14" spans="1:21" x14ac:dyDescent="0.35">
      <c r="A14" s="1">
        <v>0</v>
      </c>
      <c r="B14" t="s">
        <v>8</v>
      </c>
      <c r="C14" t="s">
        <v>16</v>
      </c>
      <c r="D14" t="s">
        <v>18</v>
      </c>
      <c r="E14" t="s">
        <v>21</v>
      </c>
      <c r="F14">
        <v>2050</v>
      </c>
      <c r="G14" t="s">
        <v>26</v>
      </c>
      <c r="H14">
        <v>1.7164339121211469E-2</v>
      </c>
      <c r="I14" t="s">
        <v>25</v>
      </c>
      <c r="K14" s="1">
        <v>0</v>
      </c>
      <c r="L14" t="s">
        <v>8</v>
      </c>
      <c r="M14" t="s">
        <v>16</v>
      </c>
      <c r="N14" t="s">
        <v>18</v>
      </c>
      <c r="O14" t="s">
        <v>21</v>
      </c>
      <c r="P14" s="16">
        <v>2050</v>
      </c>
      <c r="Q14" t="s">
        <v>26</v>
      </c>
      <c r="R14" s="24">
        <v>1.4367571172169779E-2</v>
      </c>
      <c r="S14" t="s">
        <v>25</v>
      </c>
      <c r="U14" s="2">
        <f>(H14-R14)/AVERAGE(H14,R14)</f>
        <v>0.17739286475318619</v>
      </c>
    </row>
    <row r="15" spans="1:21" x14ac:dyDescent="0.35">
      <c r="A15" s="1">
        <v>1</v>
      </c>
      <c r="B15" t="s">
        <v>9</v>
      </c>
      <c r="C15" t="s">
        <v>16</v>
      </c>
      <c r="D15" t="s">
        <v>18</v>
      </c>
      <c r="E15" t="s">
        <v>22</v>
      </c>
      <c r="F15">
        <v>2050</v>
      </c>
      <c r="G15" t="s">
        <v>26</v>
      </c>
      <c r="H15">
        <v>1.197636290485766E-2</v>
      </c>
      <c r="I15" t="s">
        <v>25</v>
      </c>
      <c r="K15" s="1">
        <v>1</v>
      </c>
      <c r="L15" t="s">
        <v>9</v>
      </c>
      <c r="M15" t="s">
        <v>16</v>
      </c>
      <c r="N15" t="s">
        <v>18</v>
      </c>
      <c r="O15" t="s">
        <v>22</v>
      </c>
      <c r="P15" s="16">
        <v>2050</v>
      </c>
      <c r="Q15" t="s">
        <v>26</v>
      </c>
      <c r="R15" s="25">
        <v>9.1014985869846479E-3</v>
      </c>
      <c r="S15" t="s">
        <v>25</v>
      </c>
      <c r="U15" s="2">
        <f t="shared" si="0"/>
        <v>0.27278519872480056</v>
      </c>
    </row>
    <row r="16" spans="1:21" x14ac:dyDescent="0.35">
      <c r="A16" s="1">
        <v>2</v>
      </c>
      <c r="B16" t="s">
        <v>10</v>
      </c>
      <c r="C16" t="s">
        <v>16</v>
      </c>
      <c r="D16" t="s">
        <v>19</v>
      </c>
      <c r="E16" t="s">
        <v>21</v>
      </c>
      <c r="F16">
        <v>2050</v>
      </c>
      <c r="G16" t="s">
        <v>26</v>
      </c>
      <c r="H16">
        <v>1.494129943205331E-2</v>
      </c>
      <c r="I16" t="s">
        <v>25</v>
      </c>
      <c r="K16" s="1">
        <v>2</v>
      </c>
      <c r="L16" t="s">
        <v>10</v>
      </c>
      <c r="M16" t="s">
        <v>16</v>
      </c>
      <c r="N16" t="s">
        <v>19</v>
      </c>
      <c r="O16" t="s">
        <v>21</v>
      </c>
      <c r="P16" s="16">
        <v>2050</v>
      </c>
      <c r="Q16" t="s">
        <v>26</v>
      </c>
      <c r="R16" s="26">
        <v>1.234003978551082E-2</v>
      </c>
      <c r="S16" t="s">
        <v>25</v>
      </c>
      <c r="U16" s="2">
        <f t="shared" si="0"/>
        <v>0.19069882352899745</v>
      </c>
    </row>
    <row r="17" spans="1:21" x14ac:dyDescent="0.35">
      <c r="A17" s="1">
        <v>3</v>
      </c>
      <c r="B17" t="s">
        <v>11</v>
      </c>
      <c r="C17" t="s">
        <v>16</v>
      </c>
      <c r="D17" t="s">
        <v>19</v>
      </c>
      <c r="E17" t="s">
        <v>22</v>
      </c>
      <c r="F17">
        <v>2050</v>
      </c>
      <c r="G17" t="s">
        <v>26</v>
      </c>
      <c r="H17">
        <v>1.0111214745284879E-2</v>
      </c>
      <c r="I17" t="s">
        <v>25</v>
      </c>
      <c r="K17" s="1">
        <v>3</v>
      </c>
      <c r="L17" t="s">
        <v>11</v>
      </c>
      <c r="M17" t="s">
        <v>16</v>
      </c>
      <c r="N17" t="s">
        <v>19</v>
      </c>
      <c r="O17" t="s">
        <v>22</v>
      </c>
      <c r="P17" s="16">
        <v>2050</v>
      </c>
      <c r="Q17" t="s">
        <v>26</v>
      </c>
      <c r="R17" s="16">
        <v>7.4011479488635193E-3</v>
      </c>
      <c r="S17" t="s">
        <v>25</v>
      </c>
      <c r="U17" s="2">
        <f t="shared" si="0"/>
        <v>0.3095032742014765</v>
      </c>
    </row>
    <row r="18" spans="1:21" x14ac:dyDescent="0.35">
      <c r="A18" s="1">
        <v>4</v>
      </c>
      <c r="B18" t="s">
        <v>12</v>
      </c>
      <c r="C18" t="s">
        <v>16</v>
      </c>
      <c r="D18" t="s">
        <v>18</v>
      </c>
      <c r="E18" t="s">
        <v>23</v>
      </c>
      <c r="F18">
        <v>2050</v>
      </c>
      <c r="G18" t="s">
        <v>26</v>
      </c>
      <c r="H18">
        <v>1.4139293863614779E-2</v>
      </c>
      <c r="I18" t="s">
        <v>25</v>
      </c>
      <c r="K18" s="1">
        <v>4</v>
      </c>
      <c r="L18" t="s">
        <v>12</v>
      </c>
      <c r="M18" t="s">
        <v>16</v>
      </c>
      <c r="N18" t="s">
        <v>18</v>
      </c>
      <c r="O18" t="s">
        <v>23</v>
      </c>
      <c r="P18" s="16">
        <v>2050</v>
      </c>
      <c r="Q18" t="s">
        <v>26</v>
      </c>
      <c r="R18" s="27">
        <v>1.1287679999233651E-2</v>
      </c>
      <c r="S18" t="s">
        <v>25</v>
      </c>
      <c r="U18" s="2">
        <f t="shared" si="0"/>
        <v>0.22429832820551612</v>
      </c>
    </row>
    <row r="19" spans="1:21" x14ac:dyDescent="0.35">
      <c r="A19" s="1">
        <v>5</v>
      </c>
      <c r="B19" t="s">
        <v>13</v>
      </c>
      <c r="C19" t="s">
        <v>16</v>
      </c>
      <c r="D19" t="s">
        <v>19</v>
      </c>
      <c r="E19" t="s">
        <v>23</v>
      </c>
      <c r="F19">
        <v>2050</v>
      </c>
      <c r="G19" t="s">
        <v>26</v>
      </c>
      <c r="H19">
        <v>1.217237577554256E-2</v>
      </c>
      <c r="I19" t="s">
        <v>25</v>
      </c>
      <c r="K19" s="1">
        <v>5</v>
      </c>
      <c r="L19" t="s">
        <v>13</v>
      </c>
      <c r="M19" t="s">
        <v>16</v>
      </c>
      <c r="N19" t="s">
        <v>19</v>
      </c>
      <c r="O19" t="s">
        <v>23</v>
      </c>
      <c r="P19" s="16">
        <v>2050</v>
      </c>
      <c r="Q19" t="s">
        <v>26</v>
      </c>
      <c r="R19" s="28">
        <v>9.4866620280875148E-3</v>
      </c>
      <c r="S19" t="s">
        <v>25</v>
      </c>
      <c r="U19" s="2">
        <f t="shared" si="0"/>
        <v>0.24799935914096027</v>
      </c>
    </row>
    <row r="20" spans="1:21" x14ac:dyDescent="0.35">
      <c r="A20" s="1">
        <v>6</v>
      </c>
      <c r="B20" t="s">
        <v>14</v>
      </c>
      <c r="C20" t="s">
        <v>17</v>
      </c>
      <c r="D20" t="s">
        <v>18</v>
      </c>
      <c r="E20" t="s">
        <v>23</v>
      </c>
      <c r="F20">
        <v>2050</v>
      </c>
      <c r="G20" t="s">
        <v>26</v>
      </c>
      <c r="H20">
        <v>1.733891914698538E-2</v>
      </c>
      <c r="I20" t="s">
        <v>25</v>
      </c>
      <c r="K20" s="1">
        <v>6</v>
      </c>
      <c r="L20" t="s">
        <v>14</v>
      </c>
      <c r="M20" t="s">
        <v>17</v>
      </c>
      <c r="N20" t="s">
        <v>18</v>
      </c>
      <c r="O20" t="s">
        <v>23</v>
      </c>
      <c r="P20" s="16">
        <v>2050</v>
      </c>
      <c r="Q20" t="s">
        <v>26</v>
      </c>
      <c r="R20" s="22">
        <v>1.572272292876933E-2</v>
      </c>
      <c r="S20" t="s">
        <v>25</v>
      </c>
      <c r="U20" s="2">
        <f t="shared" si="0"/>
        <v>9.7768659796923063E-2</v>
      </c>
    </row>
    <row r="21" spans="1:21" x14ac:dyDescent="0.35">
      <c r="A21" s="1">
        <v>7</v>
      </c>
      <c r="B21" t="s">
        <v>15</v>
      </c>
      <c r="C21" t="s">
        <v>17</v>
      </c>
      <c r="D21" t="s">
        <v>20</v>
      </c>
      <c r="E21" t="s">
        <v>23</v>
      </c>
      <c r="F21">
        <v>2050</v>
      </c>
      <c r="G21" t="s">
        <v>26</v>
      </c>
      <c r="H21">
        <v>1.0310598354764571E-2</v>
      </c>
      <c r="I21" t="s">
        <v>25</v>
      </c>
      <c r="K21" s="1">
        <v>7</v>
      </c>
      <c r="L21" t="s">
        <v>15</v>
      </c>
      <c r="M21" t="s">
        <v>17</v>
      </c>
      <c r="N21" t="s">
        <v>20</v>
      </c>
      <c r="O21" t="s">
        <v>23</v>
      </c>
      <c r="P21" s="16">
        <v>2050</v>
      </c>
      <c r="Q21" t="s">
        <v>26</v>
      </c>
      <c r="R21" s="29">
        <v>9.0008182856830751E-3</v>
      </c>
      <c r="S21" t="s">
        <v>25</v>
      </c>
      <c r="U21" s="2">
        <f t="shared" si="0"/>
        <v>0.13564826376726494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170"/>
  <sheetViews>
    <sheetView workbookViewId="0">
      <selection activeCell="G120" sqref="G120"/>
    </sheetView>
  </sheetViews>
  <sheetFormatPr baseColWidth="10" defaultColWidth="8.7265625" defaultRowHeight="14.5" x14ac:dyDescent="0.35"/>
  <cols>
    <col min="5" max="5" width="8.7265625" customWidth="1"/>
    <col min="6" max="6" width="7.1796875" customWidth="1"/>
    <col min="7" max="7" width="51.1796875" customWidth="1"/>
    <col min="8" max="8" width="7.26953125" customWidth="1"/>
    <col min="9" max="9" width="8.7265625" hidden="1" customWidth="1"/>
    <col min="10" max="10" width="8.54296875" customWidth="1"/>
    <col min="11" max="12" width="8.7265625" hidden="1" customWidth="1"/>
    <col min="13" max="13" width="13.7265625" customWidth="1"/>
    <col min="14" max="14" width="24.7265625" hidden="1" customWidth="1"/>
    <col min="15" max="15" width="7.26953125" customWidth="1"/>
    <col min="16" max="16" width="0.1796875" hidden="1" customWidth="1"/>
    <col min="17" max="21" width="8.7265625" hidden="1" customWidth="1"/>
    <col min="22" max="22" width="48" hidden="1" customWidth="1"/>
    <col min="23" max="24" width="8.7265625" hidden="1" customWidth="1"/>
    <col min="25" max="25" width="7.54296875" customWidth="1"/>
    <col min="26" max="27" width="8.7265625" hidden="1" customWidth="1"/>
    <col min="28" max="28" width="14.08984375" customWidth="1"/>
    <col min="29" max="29" width="0.1796875" hidden="1" customWidth="1"/>
    <col min="30" max="30" width="5.7265625" customWidth="1"/>
    <col min="31" max="31" width="8.7265625" style="13"/>
  </cols>
  <sheetData>
    <row r="1" spans="1:3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6</v>
      </c>
      <c r="K1" s="1" t="s">
        <v>29</v>
      </c>
      <c r="L1" s="1" t="s">
        <v>30</v>
      </c>
      <c r="M1" s="1" t="s">
        <v>31</v>
      </c>
      <c r="N1" s="1" t="s">
        <v>32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27</v>
      </c>
      <c r="X1" s="1" t="s">
        <v>28</v>
      </c>
      <c r="Y1" s="1" t="s">
        <v>6</v>
      </c>
      <c r="Z1" s="1" t="s">
        <v>29</v>
      </c>
      <c r="AA1" s="1" t="s">
        <v>30</v>
      </c>
      <c r="AB1" s="1" t="s">
        <v>31</v>
      </c>
      <c r="AC1" s="1" t="s">
        <v>32</v>
      </c>
    </row>
    <row r="2" spans="1:31" hidden="1" x14ac:dyDescent="0.35">
      <c r="A2" s="1">
        <v>0</v>
      </c>
      <c r="B2" t="s">
        <v>8</v>
      </c>
      <c r="C2" t="s">
        <v>16</v>
      </c>
      <c r="D2" t="s">
        <v>18</v>
      </c>
      <c r="E2" t="s">
        <v>21</v>
      </c>
      <c r="F2">
        <v>2050</v>
      </c>
      <c r="G2" t="s">
        <v>33</v>
      </c>
      <c r="H2">
        <v>6.3879361199835186E-2</v>
      </c>
      <c r="I2" t="s">
        <v>52</v>
      </c>
      <c r="J2">
        <v>2.5100684820888411E-4</v>
      </c>
      <c r="K2" t="s">
        <v>25</v>
      </c>
      <c r="L2">
        <v>6.1719772275548599E-3</v>
      </c>
      <c r="M2">
        <v>3.9293888275378011E-3</v>
      </c>
      <c r="N2">
        <v>9.6619269692552662E-2</v>
      </c>
      <c r="P2" s="30">
        <v>0</v>
      </c>
      <c r="Q2" s="31" t="s">
        <v>8</v>
      </c>
      <c r="R2" s="31" t="s">
        <v>16</v>
      </c>
      <c r="S2" s="31" t="s">
        <v>18</v>
      </c>
      <c r="T2" s="31" t="s">
        <v>21</v>
      </c>
      <c r="U2" s="31">
        <v>2050</v>
      </c>
      <c r="V2" s="31" t="s">
        <v>33</v>
      </c>
      <c r="W2" s="31">
        <v>6.3879361199835186E-2</v>
      </c>
      <c r="X2" s="31" t="s">
        <v>52</v>
      </c>
      <c r="Y2" s="31">
        <v>2.4510135794276718E-4</v>
      </c>
      <c r="Z2" s="31" t="s">
        <v>25</v>
      </c>
      <c r="AA2" s="31">
        <v>6.5243335055784951E-3</v>
      </c>
      <c r="AB2" s="31">
        <v>3.8369412802362148E-3</v>
      </c>
      <c r="AC2" s="31">
        <v>0.10213523402603041</v>
      </c>
      <c r="AE2" s="13">
        <f>(M2-AB2)/AVERAGE(M2,AB2)</f>
        <v>2.3807267015098221E-2</v>
      </c>
    </row>
    <row r="3" spans="1:31" hidden="1" x14ac:dyDescent="0.35">
      <c r="A3" s="1">
        <v>1</v>
      </c>
      <c r="B3" t="s">
        <v>8</v>
      </c>
      <c r="C3" t="s">
        <v>16</v>
      </c>
      <c r="D3" t="s">
        <v>18</v>
      </c>
      <c r="E3" t="s">
        <v>21</v>
      </c>
      <c r="F3">
        <v>2050</v>
      </c>
      <c r="G3" t="s">
        <v>34</v>
      </c>
      <c r="H3">
        <v>1.2167497371459781E-2</v>
      </c>
      <c r="I3" t="s">
        <v>52</v>
      </c>
      <c r="J3">
        <v>7.2703720146974048E-5</v>
      </c>
      <c r="K3" t="s">
        <v>25</v>
      </c>
      <c r="L3">
        <v>1.7877030380152119E-3</v>
      </c>
      <c r="M3">
        <v>5.975240259143897E-3</v>
      </c>
      <c r="N3">
        <v>0.14692446469793111</v>
      </c>
      <c r="P3" s="30">
        <v>1</v>
      </c>
      <c r="Q3" s="31" t="s">
        <v>8</v>
      </c>
      <c r="R3" s="31" t="s">
        <v>16</v>
      </c>
      <c r="S3" s="31" t="s">
        <v>18</v>
      </c>
      <c r="T3" s="31" t="s">
        <v>21</v>
      </c>
      <c r="U3" s="31">
        <v>2050</v>
      </c>
      <c r="V3" s="31" t="s">
        <v>34</v>
      </c>
      <c r="W3" s="31">
        <v>1.2167497371459781E-2</v>
      </c>
      <c r="X3" s="31" t="s">
        <v>52</v>
      </c>
      <c r="Y3" s="31">
        <v>7.0927496943142703E-5</v>
      </c>
      <c r="Z3" s="31" t="s">
        <v>25</v>
      </c>
      <c r="AA3" s="31">
        <v>1.888013386204978E-3</v>
      </c>
      <c r="AB3" s="31">
        <v>5.8292592780427484E-3</v>
      </c>
      <c r="AC3" s="31">
        <v>0.15516858796563399</v>
      </c>
      <c r="AE3" s="13">
        <f t="shared" ref="AE3:AE66" si="0">(M3-AB3)/AVERAGE(M3,AB3)</f>
        <v>2.4733108022288959E-2</v>
      </c>
    </row>
    <row r="4" spans="1:31" hidden="1" x14ac:dyDescent="0.35">
      <c r="A4" s="1">
        <v>2</v>
      </c>
      <c r="B4" t="s">
        <v>8</v>
      </c>
      <c r="C4" t="s">
        <v>16</v>
      </c>
      <c r="D4" t="s">
        <v>18</v>
      </c>
      <c r="E4" t="s">
        <v>21</v>
      </c>
      <c r="F4">
        <v>2050</v>
      </c>
      <c r="G4" t="s">
        <v>35</v>
      </c>
      <c r="H4">
        <v>0.30818352720644221</v>
      </c>
      <c r="I4" t="s">
        <v>52</v>
      </c>
      <c r="J4">
        <v>5.4640226176739647E-3</v>
      </c>
      <c r="K4" t="s">
        <v>25</v>
      </c>
      <c r="L4">
        <v>0.13435419554395561</v>
      </c>
      <c r="M4">
        <v>1.772976858044004E-2</v>
      </c>
      <c r="N4">
        <v>0.4359551490691978</v>
      </c>
      <c r="P4" s="30">
        <v>2</v>
      </c>
      <c r="Q4" s="31" t="s">
        <v>8</v>
      </c>
      <c r="R4" s="31" t="s">
        <v>16</v>
      </c>
      <c r="S4" s="31" t="s">
        <v>18</v>
      </c>
      <c r="T4" s="31" t="s">
        <v>21</v>
      </c>
      <c r="U4" s="31">
        <v>2050</v>
      </c>
      <c r="V4" s="31" t="s">
        <v>35</v>
      </c>
      <c r="W4" s="31">
        <v>0.30818352720644221</v>
      </c>
      <c r="X4" s="31" t="s">
        <v>52</v>
      </c>
      <c r="Y4" s="31">
        <v>5.3886680325233357E-3</v>
      </c>
      <c r="Z4" s="31" t="s">
        <v>25</v>
      </c>
      <c r="AA4" s="31">
        <v>0.14344052472871749</v>
      </c>
      <c r="AB4" s="31">
        <v>1.7485256533239821E-2</v>
      </c>
      <c r="AC4" s="31">
        <v>0.46543864958957187</v>
      </c>
      <c r="AE4" s="13">
        <f t="shared" si="0"/>
        <v>1.3886802375457257E-2</v>
      </c>
    </row>
    <row r="5" spans="1:31" hidden="1" x14ac:dyDescent="0.35">
      <c r="A5" s="1">
        <v>3</v>
      </c>
      <c r="B5" t="s">
        <v>8</v>
      </c>
      <c r="C5" t="s">
        <v>16</v>
      </c>
      <c r="D5" t="s">
        <v>18</v>
      </c>
      <c r="E5" t="s">
        <v>21</v>
      </c>
      <c r="F5">
        <v>2050</v>
      </c>
      <c r="G5" t="s">
        <v>36</v>
      </c>
      <c r="H5">
        <v>0.1807929296555647</v>
      </c>
      <c r="I5" t="s">
        <v>52</v>
      </c>
      <c r="J5">
        <v>2.2236482331925542E-3</v>
      </c>
      <c r="K5" t="s">
        <v>25</v>
      </c>
      <c r="L5">
        <v>5.4677019194057527E-2</v>
      </c>
      <c r="M5">
        <v>1.2299420322624941E-2</v>
      </c>
      <c r="N5">
        <v>0.30242896831322302</v>
      </c>
      <c r="P5" s="30">
        <v>3</v>
      </c>
      <c r="Q5" s="31" t="s">
        <v>8</v>
      </c>
      <c r="R5" s="31" t="s">
        <v>16</v>
      </c>
      <c r="S5" s="31" t="s">
        <v>18</v>
      </c>
      <c r="T5" s="31" t="s">
        <v>21</v>
      </c>
      <c r="U5" s="31">
        <v>2050</v>
      </c>
      <c r="V5" s="31" t="s">
        <v>36</v>
      </c>
      <c r="W5" s="31">
        <v>0.1807929296555647</v>
      </c>
      <c r="X5" s="31" t="s">
        <v>52</v>
      </c>
      <c r="Y5" s="31">
        <v>2.1584291934702432E-3</v>
      </c>
      <c r="Z5" s="31" t="s">
        <v>25</v>
      </c>
      <c r="AA5" s="31">
        <v>5.7455054613222437E-2</v>
      </c>
      <c r="AB5" s="31">
        <v>1.193868143838559E-2</v>
      </c>
      <c r="AC5" s="31">
        <v>0.3177948093583205</v>
      </c>
      <c r="AE5" s="13">
        <f t="shared" si="0"/>
        <v>2.9766265345055748E-2</v>
      </c>
    </row>
    <row r="6" spans="1:31" hidden="1" x14ac:dyDescent="0.35">
      <c r="A6" s="1">
        <v>4</v>
      </c>
      <c r="B6" t="s">
        <v>8</v>
      </c>
      <c r="C6" t="s">
        <v>16</v>
      </c>
      <c r="D6" t="s">
        <v>18</v>
      </c>
      <c r="E6" t="s">
        <v>21</v>
      </c>
      <c r="F6">
        <v>2050</v>
      </c>
      <c r="G6" t="s">
        <v>37</v>
      </c>
      <c r="H6">
        <v>0.27064447277681541</v>
      </c>
      <c r="I6" t="s">
        <v>52</v>
      </c>
      <c r="J6">
        <v>3.580100913956366E-3</v>
      </c>
      <c r="K6" t="s">
        <v>25</v>
      </c>
      <c r="L6">
        <v>8.8030671158815674E-2</v>
      </c>
      <c r="M6">
        <v>1.32280584828668E-2</v>
      </c>
      <c r="N6">
        <v>0.32526314044258869</v>
      </c>
      <c r="P6" s="30">
        <v>4</v>
      </c>
      <c r="Q6" s="31" t="s">
        <v>8</v>
      </c>
      <c r="R6" s="31" t="s">
        <v>16</v>
      </c>
      <c r="S6" s="31" t="s">
        <v>18</v>
      </c>
      <c r="T6" s="31" t="s">
        <v>21</v>
      </c>
      <c r="U6" s="31">
        <v>2050</v>
      </c>
      <c r="V6" s="31" t="s">
        <v>37</v>
      </c>
      <c r="W6" s="31">
        <v>0.27064447277681541</v>
      </c>
      <c r="X6" s="31" t="s">
        <v>52</v>
      </c>
      <c r="Y6" s="31">
        <v>3.4900649471396252E-3</v>
      </c>
      <c r="Z6" s="31" t="s">
        <v>25</v>
      </c>
      <c r="AA6" s="31">
        <v>9.2901760571172026E-2</v>
      </c>
      <c r="AB6" s="31">
        <v>1.289538600707976E-2</v>
      </c>
      <c r="AC6" s="31">
        <v>0.34326125199601859</v>
      </c>
      <c r="AE6" s="13">
        <f t="shared" si="0"/>
        <v>2.54692658094966E-2</v>
      </c>
    </row>
    <row r="7" spans="1:31" x14ac:dyDescent="0.35">
      <c r="A7" s="1">
        <v>5</v>
      </c>
      <c r="B7" t="s">
        <v>8</v>
      </c>
      <c r="C7" t="s">
        <v>16</v>
      </c>
      <c r="D7" t="s">
        <v>18</v>
      </c>
      <c r="E7" t="s">
        <v>21</v>
      </c>
      <c r="F7">
        <v>2050</v>
      </c>
      <c r="G7" s="32" t="s">
        <v>38</v>
      </c>
      <c r="H7">
        <v>1.1867184935233919E-2</v>
      </c>
      <c r="I7" t="s">
        <v>52</v>
      </c>
      <c r="J7">
        <v>2.7130643438539508E-3</v>
      </c>
      <c r="K7" t="s">
        <v>25</v>
      </c>
      <c r="L7">
        <v>6.671121312683366E-2</v>
      </c>
      <c r="M7">
        <v>0.22861903296027741</v>
      </c>
      <c r="N7">
        <v>5.6214859287114241</v>
      </c>
      <c r="P7" s="30">
        <v>5</v>
      </c>
      <c r="Q7" s="31" t="s">
        <v>8</v>
      </c>
      <c r="R7" s="31" t="s">
        <v>16</v>
      </c>
      <c r="S7" s="31" t="s">
        <v>18</v>
      </c>
      <c r="T7" s="31" t="s">
        <v>21</v>
      </c>
      <c r="U7" s="31">
        <v>2050</v>
      </c>
      <c r="V7" s="31" t="s">
        <v>38</v>
      </c>
      <c r="W7" s="31">
        <v>1.1867184935233919E-2</v>
      </c>
      <c r="X7" s="31" t="s">
        <v>52</v>
      </c>
      <c r="Y7" s="31">
        <v>5.446291458132427E-4</v>
      </c>
      <c r="Z7" s="31" t="s">
        <v>25</v>
      </c>
      <c r="AA7" s="31">
        <v>1.4497439810079161E-2</v>
      </c>
      <c r="AB7" s="31">
        <v>4.5893710158356707E-2</v>
      </c>
      <c r="AC7" s="31">
        <v>1.2216410116805341</v>
      </c>
      <c r="AE7" s="37">
        <f t="shared" si="0"/>
        <v>1.3312702406893635</v>
      </c>
    </row>
    <row r="8" spans="1:31" hidden="1" x14ac:dyDescent="0.35">
      <c r="A8" s="1">
        <v>6</v>
      </c>
      <c r="B8" t="s">
        <v>8</v>
      </c>
      <c r="C8" t="s">
        <v>16</v>
      </c>
      <c r="D8" t="s">
        <v>18</v>
      </c>
      <c r="E8" t="s">
        <v>21</v>
      </c>
      <c r="F8">
        <v>2050</v>
      </c>
      <c r="G8" t="s">
        <v>39</v>
      </c>
      <c r="H8">
        <v>2.1796870285985359E-3</v>
      </c>
      <c r="I8" t="s">
        <v>52</v>
      </c>
      <c r="J8">
        <v>0</v>
      </c>
      <c r="K8" t="s">
        <v>25</v>
      </c>
      <c r="L8">
        <v>0</v>
      </c>
      <c r="M8">
        <v>0</v>
      </c>
      <c r="N8">
        <v>0</v>
      </c>
      <c r="P8" s="30">
        <v>6</v>
      </c>
      <c r="Q8" s="31" t="s">
        <v>8</v>
      </c>
      <c r="R8" s="31" t="s">
        <v>16</v>
      </c>
      <c r="S8" s="31" t="s">
        <v>18</v>
      </c>
      <c r="T8" s="31" t="s">
        <v>21</v>
      </c>
      <c r="U8" s="31">
        <v>2050</v>
      </c>
      <c r="V8" s="31" t="s">
        <v>39</v>
      </c>
      <c r="W8" s="31">
        <v>2.1796870285985359E-3</v>
      </c>
      <c r="X8" s="31" t="s">
        <v>52</v>
      </c>
      <c r="Y8" s="31">
        <v>0</v>
      </c>
      <c r="Z8" s="31" t="s">
        <v>25</v>
      </c>
      <c r="AA8" s="31">
        <v>0</v>
      </c>
      <c r="AB8" s="31">
        <v>0</v>
      </c>
      <c r="AC8" s="31">
        <v>0</v>
      </c>
    </row>
    <row r="9" spans="1:31" hidden="1" x14ac:dyDescent="0.35">
      <c r="A9" s="1">
        <v>7</v>
      </c>
      <c r="B9" t="s">
        <v>8</v>
      </c>
      <c r="C9" t="s">
        <v>16</v>
      </c>
      <c r="D9" t="s">
        <v>18</v>
      </c>
      <c r="E9" t="s">
        <v>21</v>
      </c>
      <c r="F9">
        <v>2050</v>
      </c>
      <c r="G9" t="s">
        <v>40</v>
      </c>
      <c r="H9">
        <v>1.0535153974189091E-2</v>
      </c>
      <c r="I9" t="s">
        <v>52</v>
      </c>
      <c r="J9">
        <v>4.6260312034923212E-4</v>
      </c>
      <c r="K9" t="s">
        <v>25</v>
      </c>
      <c r="L9">
        <v>1.13748925360604E-2</v>
      </c>
      <c r="M9">
        <v>4.3910428028161717E-2</v>
      </c>
      <c r="N9">
        <v>1.079708238145227</v>
      </c>
      <c r="P9" s="30">
        <v>7</v>
      </c>
      <c r="Q9" s="31" t="s">
        <v>8</v>
      </c>
      <c r="R9" s="31" t="s">
        <v>16</v>
      </c>
      <c r="S9" s="31" t="s">
        <v>18</v>
      </c>
      <c r="T9" s="31" t="s">
        <v>21</v>
      </c>
      <c r="U9" s="31">
        <v>2050</v>
      </c>
      <c r="V9" s="31" t="s">
        <v>40</v>
      </c>
      <c r="W9" s="31">
        <v>1.0535153974189091E-2</v>
      </c>
      <c r="X9" s="31" t="s">
        <v>52</v>
      </c>
      <c r="Y9" s="31">
        <v>4.5125706994533017E-4</v>
      </c>
      <c r="Z9" s="31" t="s">
        <v>25</v>
      </c>
      <c r="AA9" s="31">
        <v>1.201197596694252E-2</v>
      </c>
      <c r="AB9" s="31">
        <v>4.2833457493919931E-2</v>
      </c>
      <c r="AC9" s="31">
        <v>1.140180389994452</v>
      </c>
      <c r="AE9" s="13">
        <f t="shared" si="0"/>
        <v>2.4831042044286364E-2</v>
      </c>
    </row>
    <row r="10" spans="1:31" hidden="1" x14ac:dyDescent="0.35">
      <c r="A10" s="1">
        <v>8</v>
      </c>
      <c r="B10" t="s">
        <v>8</v>
      </c>
      <c r="C10" t="s">
        <v>16</v>
      </c>
      <c r="D10" t="s">
        <v>18</v>
      </c>
      <c r="E10" t="s">
        <v>21</v>
      </c>
      <c r="F10">
        <v>2050</v>
      </c>
      <c r="G10" t="s">
        <v>41</v>
      </c>
      <c r="H10">
        <v>6.0546861949339924E-4</v>
      </c>
      <c r="I10" t="s">
        <v>52</v>
      </c>
      <c r="J10">
        <v>8.8620586401607331E-6</v>
      </c>
      <c r="K10" t="s">
        <v>25</v>
      </c>
      <c r="L10">
        <v>2.1790809496484461E-4</v>
      </c>
      <c r="M10">
        <v>1.4636693554119611E-2</v>
      </c>
      <c r="N10">
        <v>0.35989989893641411</v>
      </c>
      <c r="P10" s="30">
        <v>8</v>
      </c>
      <c r="Q10" s="31" t="s">
        <v>8</v>
      </c>
      <c r="R10" s="31" t="s">
        <v>16</v>
      </c>
      <c r="S10" s="31" t="s">
        <v>18</v>
      </c>
      <c r="T10" s="31" t="s">
        <v>21</v>
      </c>
      <c r="U10" s="31">
        <v>2050</v>
      </c>
      <c r="V10" s="31" t="s">
        <v>41</v>
      </c>
      <c r="W10" s="31">
        <v>6.0546861949339924E-4</v>
      </c>
      <c r="X10" s="31" t="s">
        <v>52</v>
      </c>
      <c r="Y10" s="31">
        <v>1.9322174343158388E-5</v>
      </c>
      <c r="Z10" s="31" t="s">
        <v>25</v>
      </c>
      <c r="AA10" s="31">
        <v>5.1433541831756905E-4</v>
      </c>
      <c r="AB10" s="31">
        <v>3.1912759342218953E-2</v>
      </c>
      <c r="AC10" s="31">
        <v>0.84948319658237281</v>
      </c>
      <c r="AE10" s="38">
        <f t="shared" si="0"/>
        <v>-0.74226718954448656</v>
      </c>
    </row>
    <row r="11" spans="1:31" hidden="1" x14ac:dyDescent="0.35">
      <c r="A11" s="1">
        <v>9</v>
      </c>
      <c r="B11" t="s">
        <v>8</v>
      </c>
      <c r="C11" t="s">
        <v>16</v>
      </c>
      <c r="D11" t="s">
        <v>18</v>
      </c>
      <c r="E11" t="s">
        <v>21</v>
      </c>
      <c r="F11">
        <v>2050</v>
      </c>
      <c r="G11" t="s">
        <v>42</v>
      </c>
      <c r="H11">
        <v>2.235077570274557E-2</v>
      </c>
      <c r="I11" t="s">
        <v>52</v>
      </c>
      <c r="J11">
        <v>1.128741240954229E-3</v>
      </c>
      <c r="K11" t="s">
        <v>25</v>
      </c>
      <c r="L11">
        <v>2.7754482734965231E-2</v>
      </c>
      <c r="M11">
        <v>5.0501211052624617E-2</v>
      </c>
      <c r="N11">
        <v>1.241768209930892</v>
      </c>
      <c r="P11" s="30">
        <v>9</v>
      </c>
      <c r="Q11" s="31" t="s">
        <v>8</v>
      </c>
      <c r="R11" s="31" t="s">
        <v>16</v>
      </c>
      <c r="S11" s="31" t="s">
        <v>18</v>
      </c>
      <c r="T11" s="31" t="s">
        <v>21</v>
      </c>
      <c r="U11" s="31">
        <v>2050</v>
      </c>
      <c r="V11" s="31" t="s">
        <v>42</v>
      </c>
      <c r="W11" s="31">
        <v>2.235077570274557E-2</v>
      </c>
      <c r="X11" s="31" t="s">
        <v>52</v>
      </c>
      <c r="Y11" s="31">
        <v>1.0495822144446049E-3</v>
      </c>
      <c r="Z11" s="31" t="s">
        <v>25</v>
      </c>
      <c r="AA11" s="31">
        <v>2.793874528495767E-2</v>
      </c>
      <c r="AB11" s="31">
        <v>4.6959543078215163E-2</v>
      </c>
      <c r="AC11" s="31">
        <v>1.2500123331972619</v>
      </c>
      <c r="AE11" s="13">
        <f t="shared" si="0"/>
        <v>7.2678854293592096E-2</v>
      </c>
    </row>
    <row r="12" spans="1:31" x14ac:dyDescent="0.35">
      <c r="A12" s="1">
        <v>10</v>
      </c>
      <c r="B12" t="s">
        <v>8</v>
      </c>
      <c r="C12" t="s">
        <v>16</v>
      </c>
      <c r="D12" t="s">
        <v>18</v>
      </c>
      <c r="E12" t="s">
        <v>21</v>
      </c>
      <c r="F12">
        <v>2050</v>
      </c>
      <c r="G12" s="34" t="s">
        <v>43</v>
      </c>
      <c r="H12">
        <v>2.1036024190819361E-2</v>
      </c>
      <c r="I12" t="s">
        <v>52</v>
      </c>
      <c r="J12">
        <v>3.011258794105384E-3</v>
      </c>
      <c r="K12" t="s">
        <v>25</v>
      </c>
      <c r="L12">
        <v>7.4043480630561265E-2</v>
      </c>
      <c r="M12">
        <v>0.1431477149289252</v>
      </c>
      <c r="N12">
        <v>3.519841960577117</v>
      </c>
      <c r="P12" s="30">
        <v>10</v>
      </c>
      <c r="Q12" s="31" t="s">
        <v>8</v>
      </c>
      <c r="R12" s="31" t="s">
        <v>16</v>
      </c>
      <c r="S12" s="31" t="s">
        <v>18</v>
      </c>
      <c r="T12" s="31" t="s">
        <v>21</v>
      </c>
      <c r="U12" s="31">
        <v>2050</v>
      </c>
      <c r="V12" s="31" t="s">
        <v>43</v>
      </c>
      <c r="W12" s="31">
        <v>2.1036024190819361E-2</v>
      </c>
      <c r="X12" s="31" t="s">
        <v>52</v>
      </c>
      <c r="Y12" s="31">
        <v>2.669841055716373E-3</v>
      </c>
      <c r="Z12" s="31" t="s">
        <v>25</v>
      </c>
      <c r="AA12" s="31">
        <v>7.1068286200384218E-2</v>
      </c>
      <c r="AB12" s="31">
        <v>0.12691756918978811</v>
      </c>
      <c r="AC12" s="31">
        <v>3.3784086553484838</v>
      </c>
      <c r="AE12" s="37">
        <f t="shared" si="0"/>
        <v>0.12019423964172127</v>
      </c>
    </row>
    <row r="13" spans="1:31" hidden="1" x14ac:dyDescent="0.35">
      <c r="A13" s="1">
        <v>11</v>
      </c>
      <c r="B13" t="s">
        <v>8</v>
      </c>
      <c r="C13" t="s">
        <v>16</v>
      </c>
      <c r="D13" t="s">
        <v>18</v>
      </c>
      <c r="E13" t="s">
        <v>21</v>
      </c>
      <c r="F13">
        <v>2050</v>
      </c>
      <c r="G13" t="s">
        <v>44</v>
      </c>
      <c r="H13">
        <v>2.4980278726597989E-3</v>
      </c>
      <c r="I13" t="s">
        <v>52</v>
      </c>
      <c r="J13">
        <v>1.4119081152338809E-4</v>
      </c>
      <c r="K13" t="s">
        <v>25</v>
      </c>
      <c r="L13">
        <v>3.47172389789602E-3</v>
      </c>
      <c r="M13">
        <v>5.6520911183050117E-2</v>
      </c>
      <c r="N13">
        <v>1.3897858930611009</v>
      </c>
      <c r="P13" s="30">
        <v>11</v>
      </c>
      <c r="Q13" s="31" t="s">
        <v>8</v>
      </c>
      <c r="R13" s="31" t="s">
        <v>16</v>
      </c>
      <c r="S13" s="31" t="s">
        <v>18</v>
      </c>
      <c r="T13" s="31" t="s">
        <v>21</v>
      </c>
      <c r="U13" s="31">
        <v>2050</v>
      </c>
      <c r="V13" s="31" t="s">
        <v>44</v>
      </c>
      <c r="W13" s="31">
        <v>2.4980278726597989E-3</v>
      </c>
      <c r="X13" s="31" t="s">
        <v>52</v>
      </c>
      <c r="Y13" s="31">
        <v>1.314681270322138E-4</v>
      </c>
      <c r="Z13" s="31" t="s">
        <v>25</v>
      </c>
      <c r="AA13" s="31">
        <v>3.4995395917480411E-3</v>
      </c>
      <c r="AB13" s="31">
        <v>5.2628767065049521E-2</v>
      </c>
      <c r="AC13" s="31">
        <v>1.400920954505553</v>
      </c>
      <c r="AE13" s="13">
        <f t="shared" si="0"/>
        <v>7.1317555497574001E-2</v>
      </c>
    </row>
    <row r="14" spans="1:31" hidden="1" x14ac:dyDescent="0.35">
      <c r="A14" s="1">
        <v>12</v>
      </c>
      <c r="B14" t="s">
        <v>8</v>
      </c>
      <c r="C14" t="s">
        <v>16</v>
      </c>
      <c r="D14" t="s">
        <v>18</v>
      </c>
      <c r="E14" t="s">
        <v>21</v>
      </c>
      <c r="F14">
        <v>2050</v>
      </c>
      <c r="G14" t="s">
        <v>45</v>
      </c>
      <c r="H14">
        <v>3.6155666577970771E-2</v>
      </c>
      <c r="I14" t="s">
        <v>52</v>
      </c>
      <c r="J14">
        <v>2.696986929284649E-3</v>
      </c>
      <c r="K14" t="s">
        <v>25</v>
      </c>
      <c r="L14">
        <v>6.6315887511983848E-2</v>
      </c>
      <c r="M14">
        <v>7.4593754853572281E-2</v>
      </c>
      <c r="N14">
        <v>1.8341768742935951</v>
      </c>
      <c r="P14" s="30">
        <v>12</v>
      </c>
      <c r="Q14" s="31" t="s">
        <v>8</v>
      </c>
      <c r="R14" s="31" t="s">
        <v>16</v>
      </c>
      <c r="S14" s="31" t="s">
        <v>18</v>
      </c>
      <c r="T14" s="31" t="s">
        <v>21</v>
      </c>
      <c r="U14" s="31">
        <v>2050</v>
      </c>
      <c r="V14" s="31" t="s">
        <v>45</v>
      </c>
      <c r="W14" s="31">
        <v>3.6155666577970771E-2</v>
      </c>
      <c r="X14" s="31" t="s">
        <v>52</v>
      </c>
      <c r="Y14" s="31">
        <v>2.5361183452251349E-3</v>
      </c>
      <c r="Z14" s="31" t="s">
        <v>25</v>
      </c>
      <c r="AA14" s="31">
        <v>6.7508732031294372E-2</v>
      </c>
      <c r="AB14" s="31">
        <v>7.01444223066921E-2</v>
      </c>
      <c r="AC14" s="31">
        <v>1.8671687848904619</v>
      </c>
      <c r="AE14" s="13">
        <f t="shared" si="0"/>
        <v>6.1481118999496084E-2</v>
      </c>
    </row>
    <row r="15" spans="1:31" hidden="1" x14ac:dyDescent="0.35">
      <c r="A15" s="1">
        <v>13</v>
      </c>
      <c r="B15" t="s">
        <v>8</v>
      </c>
      <c r="C15" t="s">
        <v>16</v>
      </c>
      <c r="D15" t="s">
        <v>18</v>
      </c>
      <c r="E15" t="s">
        <v>21</v>
      </c>
      <c r="F15">
        <v>2050</v>
      </c>
      <c r="G15" t="s">
        <v>46</v>
      </c>
      <c r="H15">
        <v>5.7104222888172101E-2</v>
      </c>
      <c r="I15" t="s">
        <v>52</v>
      </c>
      <c r="J15">
        <v>1.5426744068550409E-2</v>
      </c>
      <c r="K15" t="s">
        <v>25</v>
      </c>
      <c r="L15">
        <v>0.37932635609676629</v>
      </c>
      <c r="M15">
        <v>0.27015066992087072</v>
      </c>
      <c r="N15">
        <v>6.6427023591513672</v>
      </c>
      <c r="P15" s="30">
        <v>13</v>
      </c>
      <c r="Q15" s="31" t="s">
        <v>8</v>
      </c>
      <c r="R15" s="31" t="s">
        <v>16</v>
      </c>
      <c r="S15" s="31" t="s">
        <v>18</v>
      </c>
      <c r="T15" s="31" t="s">
        <v>21</v>
      </c>
      <c r="U15" s="31">
        <v>2050</v>
      </c>
      <c r="V15" s="31" t="s">
        <v>46</v>
      </c>
      <c r="W15" s="31">
        <v>5.7104222888172101E-2</v>
      </c>
      <c r="X15" s="31" t="s">
        <v>52</v>
      </c>
      <c r="Y15" s="31">
        <v>1.544902651954695E-2</v>
      </c>
      <c r="Z15" s="31" t="s">
        <v>25</v>
      </c>
      <c r="AA15" s="31">
        <v>0.41123640520011751</v>
      </c>
      <c r="AB15" s="31">
        <v>0.2705408766318555</v>
      </c>
      <c r="AC15" s="31">
        <v>7.2015060253152701</v>
      </c>
      <c r="AE15" s="13">
        <f t="shared" si="0"/>
        <v>-1.4433616115236364E-3</v>
      </c>
    </row>
    <row r="16" spans="1:31" hidden="1" x14ac:dyDescent="0.35">
      <c r="A16" s="1">
        <v>14</v>
      </c>
      <c r="B16" t="s">
        <v>8</v>
      </c>
      <c r="C16" t="s">
        <v>16</v>
      </c>
      <c r="D16" t="s">
        <v>18</v>
      </c>
      <c r="E16" t="s">
        <v>21</v>
      </c>
      <c r="F16">
        <v>2050</v>
      </c>
      <c r="G16" t="s">
        <v>24</v>
      </c>
      <c r="H16">
        <v>3.1242684515255099E-2</v>
      </c>
      <c r="I16" t="s">
        <v>52</v>
      </c>
      <c r="J16">
        <v>1.270602188027806E-3</v>
      </c>
      <c r="K16" t="s">
        <v>25</v>
      </c>
      <c r="L16">
        <v>3.1242684515375839E-2</v>
      </c>
      <c r="M16">
        <v>4.0668790398193842E-2</v>
      </c>
      <c r="N16">
        <v>1.0000000000038649</v>
      </c>
      <c r="P16" s="30">
        <v>14</v>
      </c>
      <c r="Q16" s="31" t="s">
        <v>8</v>
      </c>
      <c r="R16" s="31" t="s">
        <v>16</v>
      </c>
      <c r="S16" s="31" t="s">
        <v>18</v>
      </c>
      <c r="T16" s="31" t="s">
        <v>21</v>
      </c>
      <c r="U16" s="31">
        <v>2050</v>
      </c>
      <c r="V16" s="31" t="s">
        <v>24</v>
      </c>
      <c r="W16" s="31">
        <v>3.1242684515255099E-2</v>
      </c>
      <c r="X16" s="31" t="s">
        <v>52</v>
      </c>
      <c r="Y16" s="31">
        <v>1.173702171098243E-3</v>
      </c>
      <c r="Z16" s="31" t="s">
        <v>25</v>
      </c>
      <c r="AA16" s="31">
        <v>3.1242684515255081E-2</v>
      </c>
      <c r="AB16" s="31">
        <v>3.7567263802992031E-2</v>
      </c>
      <c r="AC16" s="31">
        <v>0.99999999999999944</v>
      </c>
      <c r="AE16" s="13">
        <f t="shared" si="0"/>
        <v>7.9286375747584667E-2</v>
      </c>
    </row>
    <row r="17" spans="1:31" hidden="1" x14ac:dyDescent="0.35">
      <c r="A17" s="1">
        <v>15</v>
      </c>
      <c r="B17" t="s">
        <v>8</v>
      </c>
      <c r="C17" t="s">
        <v>16</v>
      </c>
      <c r="D17" t="s">
        <v>18</v>
      </c>
      <c r="E17" t="s">
        <v>21</v>
      </c>
      <c r="F17">
        <v>2050</v>
      </c>
      <c r="G17" t="s">
        <v>47</v>
      </c>
      <c r="H17">
        <v>5.6500000000000001E-9</v>
      </c>
      <c r="I17" t="s">
        <v>53</v>
      </c>
      <c r="J17">
        <v>7.8616871411922638E-4</v>
      </c>
      <c r="K17" t="s">
        <v>25</v>
      </c>
      <c r="L17">
        <v>1.9331008038960009E-2</v>
      </c>
      <c r="M17">
        <v>139144.90515384541</v>
      </c>
      <c r="N17">
        <v>3421417.3520283201</v>
      </c>
      <c r="P17" s="30">
        <v>15</v>
      </c>
      <c r="Q17" s="31" t="s">
        <v>8</v>
      </c>
      <c r="R17" s="31" t="s">
        <v>16</v>
      </c>
      <c r="S17" s="31" t="s">
        <v>18</v>
      </c>
      <c r="T17" s="31" t="s">
        <v>21</v>
      </c>
      <c r="U17" s="31">
        <v>2050</v>
      </c>
      <c r="V17" s="31" t="s">
        <v>47</v>
      </c>
      <c r="W17" s="31">
        <v>5.6500000000000001E-9</v>
      </c>
      <c r="X17" s="31" t="s">
        <v>53</v>
      </c>
      <c r="Y17" s="31">
        <v>7.5603731596125085E-4</v>
      </c>
      <c r="Z17" s="31" t="s">
        <v>25</v>
      </c>
      <c r="AA17" s="31">
        <v>2.0124897036047539E-2</v>
      </c>
      <c r="AB17" s="31">
        <v>133811.91432942491</v>
      </c>
      <c r="AC17" s="31">
        <v>3561928.678946468</v>
      </c>
      <c r="AE17" s="13">
        <f t="shared" si="0"/>
        <v>3.9075710469636114E-2</v>
      </c>
    </row>
    <row r="18" spans="1:31" hidden="1" x14ac:dyDescent="0.35">
      <c r="A18" s="1">
        <v>16</v>
      </c>
      <c r="B18" t="s">
        <v>8</v>
      </c>
      <c r="C18" t="s">
        <v>16</v>
      </c>
      <c r="D18" t="s">
        <v>18</v>
      </c>
      <c r="E18" t="s">
        <v>21</v>
      </c>
      <c r="F18">
        <v>2050</v>
      </c>
      <c r="G18" t="s">
        <v>48</v>
      </c>
      <c r="H18">
        <v>3.8600000000000001E-10</v>
      </c>
      <c r="I18" t="s">
        <v>53</v>
      </c>
      <c r="J18">
        <v>6.5529973840536913E-5</v>
      </c>
      <c r="K18" t="s">
        <v>25</v>
      </c>
      <c r="L18">
        <v>1.6113086521427609E-3</v>
      </c>
      <c r="M18">
        <v>169766.77160760859</v>
      </c>
      <c r="N18">
        <v>4174374.7464838359</v>
      </c>
      <c r="P18" s="30">
        <v>16</v>
      </c>
      <c r="Q18" s="31" t="s">
        <v>8</v>
      </c>
      <c r="R18" s="31" t="s">
        <v>16</v>
      </c>
      <c r="S18" s="31" t="s">
        <v>18</v>
      </c>
      <c r="T18" s="31" t="s">
        <v>21</v>
      </c>
      <c r="U18" s="31">
        <v>2050</v>
      </c>
      <c r="V18" s="31" t="s">
        <v>48</v>
      </c>
      <c r="W18" s="31">
        <v>3.8600000000000001E-10</v>
      </c>
      <c r="X18" s="31" t="s">
        <v>53</v>
      </c>
      <c r="Y18" s="31">
        <v>6.7519449989091591E-5</v>
      </c>
      <c r="Z18" s="31" t="s">
        <v>25</v>
      </c>
      <c r="AA18" s="31">
        <v>1.797294856052678E-3</v>
      </c>
      <c r="AB18" s="31">
        <v>174920.85489401969</v>
      </c>
      <c r="AC18" s="31">
        <v>4656204.2902919129</v>
      </c>
      <c r="AE18" s="13">
        <f t="shared" si="0"/>
        <v>-2.9905821330007923E-2</v>
      </c>
    </row>
    <row r="19" spans="1:31" hidden="1" x14ac:dyDescent="0.35">
      <c r="A19" s="1">
        <v>17</v>
      </c>
      <c r="B19" t="s">
        <v>8</v>
      </c>
      <c r="C19" t="s">
        <v>16</v>
      </c>
      <c r="D19" t="s">
        <v>18</v>
      </c>
      <c r="E19" t="s">
        <v>21</v>
      </c>
      <c r="F19">
        <v>2050</v>
      </c>
      <c r="G19" t="s">
        <v>49</v>
      </c>
      <c r="H19">
        <v>3.47E-12</v>
      </c>
      <c r="I19" t="s">
        <v>53</v>
      </c>
      <c r="J19">
        <v>5.5597158458122585E-7</v>
      </c>
      <c r="K19" t="s">
        <v>25</v>
      </c>
      <c r="L19">
        <v>1.367071848313605E-5</v>
      </c>
      <c r="M19">
        <v>160222.35866894119</v>
      </c>
      <c r="N19">
        <v>3939688.3236703309</v>
      </c>
      <c r="P19" s="30">
        <v>17</v>
      </c>
      <c r="Q19" s="31" t="s">
        <v>8</v>
      </c>
      <c r="R19" s="31" t="s">
        <v>16</v>
      </c>
      <c r="S19" s="31" t="s">
        <v>18</v>
      </c>
      <c r="T19" s="31" t="s">
        <v>21</v>
      </c>
      <c r="U19" s="31">
        <v>2050</v>
      </c>
      <c r="V19" s="31" t="s">
        <v>49</v>
      </c>
      <c r="W19" s="31">
        <v>3.47E-12</v>
      </c>
      <c r="X19" s="31" t="s">
        <v>53</v>
      </c>
      <c r="Y19" s="31">
        <v>5.6935993806743393E-7</v>
      </c>
      <c r="Z19" s="31" t="s">
        <v>25</v>
      </c>
      <c r="AA19" s="31">
        <v>1.515574679735092E-5</v>
      </c>
      <c r="AB19" s="31">
        <v>164080.67379464951</v>
      </c>
      <c r="AC19" s="31">
        <v>4367650.3738763453</v>
      </c>
      <c r="AE19" s="13">
        <f t="shared" si="0"/>
        <v>-2.3794505382193694E-2</v>
      </c>
    </row>
    <row r="20" spans="1:31" hidden="1" x14ac:dyDescent="0.35">
      <c r="A20" s="1">
        <v>18</v>
      </c>
      <c r="B20" t="s">
        <v>8</v>
      </c>
      <c r="C20" t="s">
        <v>16</v>
      </c>
      <c r="D20" t="s">
        <v>18</v>
      </c>
      <c r="E20" t="s">
        <v>21</v>
      </c>
      <c r="F20">
        <v>2050</v>
      </c>
      <c r="G20" t="s">
        <v>50</v>
      </c>
      <c r="H20">
        <v>5.0000000000000004E-6</v>
      </c>
      <c r="I20" t="s">
        <v>54</v>
      </c>
      <c r="P20" s="30">
        <v>18</v>
      </c>
      <c r="Q20" s="31" t="s">
        <v>8</v>
      </c>
      <c r="R20" s="31" t="s">
        <v>16</v>
      </c>
      <c r="S20" s="31" t="s">
        <v>18</v>
      </c>
      <c r="T20" s="31" t="s">
        <v>21</v>
      </c>
      <c r="U20" s="31">
        <v>2050</v>
      </c>
      <c r="V20" s="31" t="s">
        <v>50</v>
      </c>
      <c r="W20" s="31">
        <v>5.0000000000000004E-6</v>
      </c>
      <c r="X20" s="31" t="s">
        <v>54</v>
      </c>
      <c r="Y20" s="31"/>
      <c r="Z20" s="31"/>
      <c r="AA20" s="31"/>
      <c r="AB20" s="31"/>
      <c r="AC20" s="31"/>
    </row>
    <row r="21" spans="1:31" hidden="1" x14ac:dyDescent="0.35">
      <c r="A21" s="1">
        <v>19</v>
      </c>
      <c r="B21" t="s">
        <v>8</v>
      </c>
      <c r="C21" t="s">
        <v>16</v>
      </c>
      <c r="D21" t="s">
        <v>18</v>
      </c>
      <c r="E21" t="s">
        <v>21</v>
      </c>
      <c r="F21">
        <v>2050</v>
      </c>
      <c r="G21" t="s">
        <v>51</v>
      </c>
      <c r="H21">
        <v>4.16E-6</v>
      </c>
      <c r="I21" t="s">
        <v>54</v>
      </c>
      <c r="P21" s="30">
        <v>19</v>
      </c>
      <c r="Q21" s="31" t="s">
        <v>8</v>
      </c>
      <c r="R21" s="31" t="s">
        <v>16</v>
      </c>
      <c r="S21" s="31" t="s">
        <v>18</v>
      </c>
      <c r="T21" s="31" t="s">
        <v>21</v>
      </c>
      <c r="U21" s="31">
        <v>2050</v>
      </c>
      <c r="V21" s="31" t="s">
        <v>51</v>
      </c>
      <c r="W21" s="31">
        <v>4.16E-6</v>
      </c>
      <c r="X21" s="31" t="s">
        <v>54</v>
      </c>
      <c r="Y21" s="31"/>
      <c r="Z21" s="31"/>
      <c r="AA21" s="31"/>
      <c r="AB21" s="31"/>
      <c r="AC21" s="31"/>
    </row>
    <row r="22" spans="1:31" hidden="1" x14ac:dyDescent="0.35">
      <c r="B22" s="1" t="s">
        <v>0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5</v>
      </c>
      <c r="H22" s="1" t="s">
        <v>27</v>
      </c>
      <c r="I22" s="1" t="s">
        <v>28</v>
      </c>
      <c r="J22" s="1" t="s">
        <v>6</v>
      </c>
      <c r="K22" s="1" t="s">
        <v>29</v>
      </c>
      <c r="L22" s="1" t="s">
        <v>30</v>
      </c>
      <c r="M22" s="1" t="s">
        <v>31</v>
      </c>
      <c r="N22" s="1" t="s">
        <v>32</v>
      </c>
      <c r="Q22" s="1" t="s">
        <v>0</v>
      </c>
      <c r="R22" s="1" t="s">
        <v>1</v>
      </c>
      <c r="S22" s="1" t="s">
        <v>2</v>
      </c>
      <c r="T22" s="1" t="s">
        <v>3</v>
      </c>
      <c r="U22" s="1" t="s">
        <v>4</v>
      </c>
      <c r="V22" s="1" t="s">
        <v>5</v>
      </c>
      <c r="W22" s="1" t="s">
        <v>27</v>
      </c>
      <c r="X22" s="1" t="s">
        <v>28</v>
      </c>
      <c r="Y22" s="1" t="s">
        <v>6</v>
      </c>
      <c r="Z22" s="1" t="s">
        <v>29</v>
      </c>
      <c r="AA22" s="1" t="s">
        <v>30</v>
      </c>
      <c r="AB22" s="1" t="s">
        <v>31</v>
      </c>
      <c r="AC22" s="1" t="s">
        <v>32</v>
      </c>
    </row>
    <row r="23" spans="1:31" hidden="1" x14ac:dyDescent="0.35">
      <c r="A23" s="1">
        <v>0</v>
      </c>
      <c r="B23" t="s">
        <v>9</v>
      </c>
      <c r="C23" t="s">
        <v>16</v>
      </c>
      <c r="D23" t="s">
        <v>18</v>
      </c>
      <c r="E23" t="s">
        <v>22</v>
      </c>
      <c r="F23">
        <v>2050</v>
      </c>
      <c r="G23" t="s">
        <v>55</v>
      </c>
      <c r="H23">
        <v>0.2116062390272804</v>
      </c>
      <c r="I23" t="s">
        <v>52</v>
      </c>
      <c r="J23">
        <v>1.242787791232288E-3</v>
      </c>
      <c r="K23" t="s">
        <v>25</v>
      </c>
      <c r="L23">
        <v>5.0451992035615893E-2</v>
      </c>
      <c r="M23">
        <v>5.8731150695044811E-3</v>
      </c>
      <c r="N23">
        <v>0.2384239343203467</v>
      </c>
      <c r="P23" s="1">
        <v>0</v>
      </c>
      <c r="Q23" t="s">
        <v>9</v>
      </c>
      <c r="R23" t="s">
        <v>16</v>
      </c>
      <c r="S23" t="s">
        <v>18</v>
      </c>
      <c r="T23" t="s">
        <v>22</v>
      </c>
      <c r="U23">
        <v>2050</v>
      </c>
      <c r="V23" t="s">
        <v>55</v>
      </c>
      <c r="W23">
        <v>0.2116062390272804</v>
      </c>
      <c r="X23" t="s">
        <v>52</v>
      </c>
      <c r="Y23">
        <v>1.2251324460629781E-3</v>
      </c>
      <c r="Z23" t="s">
        <v>25</v>
      </c>
      <c r="AA23">
        <v>5.6342744577852127E-2</v>
      </c>
      <c r="AB23">
        <v>5.7896801705597774E-3</v>
      </c>
      <c r="AC23">
        <v>0.26626220869881051</v>
      </c>
      <c r="AE23" s="13">
        <f t="shared" si="0"/>
        <v>1.4307873408955431E-2</v>
      </c>
    </row>
    <row r="24" spans="1:31" hidden="1" x14ac:dyDescent="0.35">
      <c r="A24" s="1">
        <v>1</v>
      </c>
      <c r="B24" t="s">
        <v>9</v>
      </c>
      <c r="C24" t="s">
        <v>16</v>
      </c>
      <c r="D24" t="s">
        <v>18</v>
      </c>
      <c r="E24" t="s">
        <v>22</v>
      </c>
      <c r="F24">
        <v>2050</v>
      </c>
      <c r="G24" t="s">
        <v>56</v>
      </c>
      <c r="H24">
        <v>0.23018560723254189</v>
      </c>
      <c r="I24" t="s">
        <v>52</v>
      </c>
      <c r="J24">
        <v>1.0737277428027631E-3</v>
      </c>
      <c r="K24" t="s">
        <v>25</v>
      </c>
      <c r="L24">
        <v>4.358886039151609E-2</v>
      </c>
      <c r="M24">
        <v>4.6646172004926644E-3</v>
      </c>
      <c r="N24">
        <v>0.18936396986576601</v>
      </c>
      <c r="P24" s="1">
        <v>1</v>
      </c>
      <c r="Q24" t="s">
        <v>9</v>
      </c>
      <c r="R24" t="s">
        <v>16</v>
      </c>
      <c r="S24" t="s">
        <v>18</v>
      </c>
      <c r="T24" t="s">
        <v>22</v>
      </c>
      <c r="U24">
        <v>2050</v>
      </c>
      <c r="V24" t="s">
        <v>56</v>
      </c>
      <c r="W24">
        <v>0.23018560723254189</v>
      </c>
      <c r="X24" t="s">
        <v>52</v>
      </c>
      <c r="Y24">
        <v>1.0515409402773619E-3</v>
      </c>
      <c r="Z24" t="s">
        <v>25</v>
      </c>
      <c r="AA24">
        <v>4.8359426608603838E-2</v>
      </c>
      <c r="AB24">
        <v>4.5682306244936386E-3</v>
      </c>
      <c r="AC24">
        <v>0.2100888373952477</v>
      </c>
      <c r="AE24" s="13">
        <f t="shared" si="0"/>
        <v>2.0879056565446807E-2</v>
      </c>
    </row>
    <row r="25" spans="1:31" hidden="1" x14ac:dyDescent="0.35">
      <c r="A25" s="1">
        <v>2</v>
      </c>
      <c r="B25" t="s">
        <v>9</v>
      </c>
      <c r="C25" t="s">
        <v>16</v>
      </c>
      <c r="D25" t="s">
        <v>18</v>
      </c>
      <c r="E25" t="s">
        <v>22</v>
      </c>
      <c r="F25">
        <v>2050</v>
      </c>
      <c r="G25" t="s">
        <v>57</v>
      </c>
      <c r="H25">
        <v>3.8293354248734521E-2</v>
      </c>
      <c r="I25" t="s">
        <v>52</v>
      </c>
      <c r="J25">
        <v>2.6178637327754572E-4</v>
      </c>
      <c r="K25" t="s">
        <v>25</v>
      </c>
      <c r="L25">
        <v>1.0627433028236819E-2</v>
      </c>
      <c r="M25">
        <v>6.8363395793722354E-3</v>
      </c>
      <c r="N25">
        <v>0.27752682513018628</v>
      </c>
      <c r="P25" s="1">
        <v>2</v>
      </c>
      <c r="Q25" t="s">
        <v>9</v>
      </c>
      <c r="R25" t="s">
        <v>16</v>
      </c>
      <c r="S25" t="s">
        <v>18</v>
      </c>
      <c r="T25" t="s">
        <v>22</v>
      </c>
      <c r="U25">
        <v>2050</v>
      </c>
      <c r="V25" t="s">
        <v>57</v>
      </c>
      <c r="W25">
        <v>3.8293354248734521E-2</v>
      </c>
      <c r="X25" t="s">
        <v>52</v>
      </c>
      <c r="Y25">
        <v>2.5747024835680402E-4</v>
      </c>
      <c r="Z25" t="s">
        <v>25</v>
      </c>
      <c r="AA25">
        <v>1.184082626019836E-2</v>
      </c>
      <c r="AB25">
        <v>6.723627465079339E-3</v>
      </c>
      <c r="AC25">
        <v>0.3092136087971365</v>
      </c>
      <c r="AE25" s="13">
        <f t="shared" si="0"/>
        <v>1.6624246050659184E-2</v>
      </c>
    </row>
    <row r="26" spans="1:31" hidden="1" x14ac:dyDescent="0.35">
      <c r="A26" s="1">
        <v>3</v>
      </c>
      <c r="B26" t="s">
        <v>9</v>
      </c>
      <c r="C26" t="s">
        <v>16</v>
      </c>
      <c r="D26" t="s">
        <v>18</v>
      </c>
      <c r="E26" t="s">
        <v>22</v>
      </c>
      <c r="F26">
        <v>2050</v>
      </c>
      <c r="G26" t="s">
        <v>33</v>
      </c>
      <c r="H26">
        <v>7.4697569674838565E-2</v>
      </c>
      <c r="I26" t="s">
        <v>52</v>
      </c>
      <c r="J26">
        <v>2.9351556994516799E-4</v>
      </c>
      <c r="K26" t="s">
        <v>25</v>
      </c>
      <c r="L26">
        <v>1.191550585037494E-2</v>
      </c>
      <c r="M26">
        <v>3.9293858049579498E-3</v>
      </c>
      <c r="N26">
        <v>0.15951664695710449</v>
      </c>
      <c r="P26" s="1">
        <v>3</v>
      </c>
      <c r="Q26" t="s">
        <v>9</v>
      </c>
      <c r="R26" t="s">
        <v>16</v>
      </c>
      <c r="S26" t="s">
        <v>18</v>
      </c>
      <c r="T26" t="s">
        <v>22</v>
      </c>
      <c r="U26">
        <v>2050</v>
      </c>
      <c r="V26" t="s">
        <v>33</v>
      </c>
      <c r="W26">
        <v>7.4697569674838565E-2</v>
      </c>
      <c r="X26" t="s">
        <v>52</v>
      </c>
      <c r="Y26">
        <v>2.8660996586142611E-4</v>
      </c>
      <c r="Z26" t="s">
        <v>25</v>
      </c>
      <c r="AA26">
        <v>1.318093578526214E-2</v>
      </c>
      <c r="AB26">
        <v>3.8369382981139869E-3</v>
      </c>
      <c r="AC26">
        <v>0.1764573578851262</v>
      </c>
      <c r="AE26" s="13">
        <f t="shared" si="0"/>
        <v>2.3807275003471899E-2</v>
      </c>
    </row>
    <row r="27" spans="1:31" hidden="1" x14ac:dyDescent="0.35">
      <c r="A27" s="1">
        <v>4</v>
      </c>
      <c r="B27" t="s">
        <v>9</v>
      </c>
      <c r="C27" t="s">
        <v>16</v>
      </c>
      <c r="D27" t="s">
        <v>18</v>
      </c>
      <c r="E27" t="s">
        <v>22</v>
      </c>
      <c r="F27">
        <v>2050</v>
      </c>
      <c r="G27" t="s">
        <v>34</v>
      </c>
      <c r="H27">
        <v>1.4228108509779789E-2</v>
      </c>
      <c r="I27" t="s">
        <v>52</v>
      </c>
      <c r="J27">
        <v>8.5016324584724198E-5</v>
      </c>
      <c r="K27" t="s">
        <v>25</v>
      </c>
      <c r="L27">
        <v>3.4513075853383111E-3</v>
      </c>
      <c r="M27">
        <v>5.9752372935789472E-3</v>
      </c>
      <c r="N27">
        <v>0.24256966995760751</v>
      </c>
      <c r="P27" s="1">
        <v>4</v>
      </c>
      <c r="Q27" t="s">
        <v>9</v>
      </c>
      <c r="R27" t="s">
        <v>16</v>
      </c>
      <c r="S27" t="s">
        <v>18</v>
      </c>
      <c r="T27" t="s">
        <v>22</v>
      </c>
      <c r="U27">
        <v>2050</v>
      </c>
      <c r="V27" t="s">
        <v>34</v>
      </c>
      <c r="W27">
        <v>1.4228108509779789E-2</v>
      </c>
      <c r="X27" t="s">
        <v>52</v>
      </c>
      <c r="Y27">
        <v>8.2939291930956175E-5</v>
      </c>
      <c r="Z27" t="s">
        <v>25</v>
      </c>
      <c r="AA27">
        <v>3.8143037969084678E-3</v>
      </c>
      <c r="AB27">
        <v>5.8292563536430199E-3</v>
      </c>
      <c r="AC27">
        <v>0.26808228193415018</v>
      </c>
      <c r="AE27" s="13">
        <f t="shared" si="0"/>
        <v>2.4733113388608917E-2</v>
      </c>
    </row>
    <row r="28" spans="1:31" hidden="1" x14ac:dyDescent="0.35">
      <c r="A28" s="1">
        <v>5</v>
      </c>
      <c r="B28" t="s">
        <v>9</v>
      </c>
      <c r="C28" t="s">
        <v>16</v>
      </c>
      <c r="D28" t="s">
        <v>18</v>
      </c>
      <c r="E28" t="s">
        <v>22</v>
      </c>
      <c r="F28">
        <v>2050</v>
      </c>
      <c r="G28" t="s">
        <v>35</v>
      </c>
      <c r="H28">
        <v>0.1215459429050977</v>
      </c>
      <c r="I28" t="s">
        <v>52</v>
      </c>
      <c r="J28">
        <v>2.1549562252646459E-3</v>
      </c>
      <c r="K28" t="s">
        <v>25</v>
      </c>
      <c r="L28">
        <v>8.7482219475578785E-2</v>
      </c>
      <c r="M28">
        <v>1.7729561133498481E-2</v>
      </c>
      <c r="N28">
        <v>0.71974610904030201</v>
      </c>
      <c r="P28" s="1">
        <v>5</v>
      </c>
      <c r="Q28" t="s">
        <v>9</v>
      </c>
      <c r="R28" t="s">
        <v>16</v>
      </c>
      <c r="S28" t="s">
        <v>18</v>
      </c>
      <c r="T28" t="s">
        <v>22</v>
      </c>
      <c r="U28">
        <v>2050</v>
      </c>
      <c r="V28" t="s">
        <v>35</v>
      </c>
      <c r="W28">
        <v>0.1215459429050977</v>
      </c>
      <c r="X28" t="s">
        <v>52</v>
      </c>
      <c r="Y28">
        <v>2.1252371126478831E-3</v>
      </c>
      <c r="Z28" t="s">
        <v>25</v>
      </c>
      <c r="AA28">
        <v>9.7737752510014153E-2</v>
      </c>
      <c r="AB28">
        <v>1.7485051840086949E-2</v>
      </c>
      <c r="AC28">
        <v>0.80412188324810774</v>
      </c>
      <c r="AE28" s="13">
        <f t="shared" si="0"/>
        <v>1.3886808501626222E-2</v>
      </c>
    </row>
    <row r="29" spans="1:31" hidden="1" x14ac:dyDescent="0.35">
      <c r="A29" s="1">
        <v>6</v>
      </c>
      <c r="B29" t="s">
        <v>9</v>
      </c>
      <c r="C29" t="s">
        <v>16</v>
      </c>
      <c r="D29" t="s">
        <v>18</v>
      </c>
      <c r="E29" t="s">
        <v>22</v>
      </c>
      <c r="F29">
        <v>2050</v>
      </c>
      <c r="G29" t="s">
        <v>36</v>
      </c>
      <c r="H29">
        <v>0.1229642152818928</v>
      </c>
      <c r="I29" t="s">
        <v>52</v>
      </c>
      <c r="J29">
        <v>1.5123865782514501E-3</v>
      </c>
      <c r="K29" t="s">
        <v>25</v>
      </c>
      <c r="L29">
        <v>6.1396576421994198E-2</v>
      </c>
      <c r="M29">
        <v>1.229940413789765E-2</v>
      </c>
      <c r="N29">
        <v>0.49930442186975998</v>
      </c>
      <c r="P29" s="1">
        <v>6</v>
      </c>
      <c r="Q29" t="s">
        <v>9</v>
      </c>
      <c r="R29" t="s">
        <v>16</v>
      </c>
      <c r="S29" t="s">
        <v>18</v>
      </c>
      <c r="T29" t="s">
        <v>22</v>
      </c>
      <c r="U29">
        <v>2050</v>
      </c>
      <c r="V29" t="s">
        <v>36</v>
      </c>
      <c r="W29">
        <v>0.1229642152818928</v>
      </c>
      <c r="X29" t="s">
        <v>52</v>
      </c>
      <c r="Y29">
        <v>1.4680286310908991E-3</v>
      </c>
      <c r="Z29" t="s">
        <v>25</v>
      </c>
      <c r="AA29">
        <v>6.7513322710805568E-2</v>
      </c>
      <c r="AB29">
        <v>1.1938665470482409E-2</v>
      </c>
      <c r="AC29">
        <v>0.54904853868284142</v>
      </c>
      <c r="AE29" s="13">
        <f t="shared" si="0"/>
        <v>2.976628693982452E-2</v>
      </c>
    </row>
    <row r="30" spans="1:31" hidden="1" x14ac:dyDescent="0.35">
      <c r="A30" s="1">
        <v>7</v>
      </c>
      <c r="B30" t="s">
        <v>9</v>
      </c>
      <c r="C30" t="s">
        <v>16</v>
      </c>
      <c r="D30" t="s">
        <v>18</v>
      </c>
      <c r="E30" t="s">
        <v>22</v>
      </c>
      <c r="F30">
        <v>2050</v>
      </c>
      <c r="G30" t="s">
        <v>37</v>
      </c>
      <c r="H30">
        <v>0.1104834183540533</v>
      </c>
      <c r="I30" t="s">
        <v>52</v>
      </c>
      <c r="J30">
        <v>1.461479621098593E-3</v>
      </c>
      <c r="K30" t="s">
        <v>25</v>
      </c>
      <c r="L30">
        <v>5.9329966647620157E-2</v>
      </c>
      <c r="M30">
        <v>1.322804492177424E-2</v>
      </c>
      <c r="N30">
        <v>0.5370033578929676</v>
      </c>
      <c r="P30" s="1">
        <v>7</v>
      </c>
      <c r="Q30" t="s">
        <v>9</v>
      </c>
      <c r="R30" t="s">
        <v>16</v>
      </c>
      <c r="S30" t="s">
        <v>18</v>
      </c>
      <c r="T30" t="s">
        <v>22</v>
      </c>
      <c r="U30">
        <v>2050</v>
      </c>
      <c r="V30" t="s">
        <v>37</v>
      </c>
      <c r="W30">
        <v>0.1104834183540533</v>
      </c>
      <c r="X30" t="s">
        <v>52</v>
      </c>
      <c r="Y30">
        <v>1.4247248488998959E-3</v>
      </c>
      <c r="Z30" t="s">
        <v>25</v>
      </c>
      <c r="AA30">
        <v>6.5521820529075583E-2</v>
      </c>
      <c r="AB30">
        <v>1.2895372628082951E-2</v>
      </c>
      <c r="AC30">
        <v>0.59304664451189826</v>
      </c>
      <c r="AE30" s="13">
        <f t="shared" si="0"/>
        <v>2.5469278133795153E-2</v>
      </c>
    </row>
    <row r="31" spans="1:31" x14ac:dyDescent="0.35">
      <c r="A31" s="1">
        <v>8</v>
      </c>
      <c r="B31" t="s">
        <v>9</v>
      </c>
      <c r="C31" t="s">
        <v>16</v>
      </c>
      <c r="D31" t="s">
        <v>18</v>
      </c>
      <c r="E31" t="s">
        <v>22</v>
      </c>
      <c r="F31">
        <v>2050</v>
      </c>
      <c r="G31" s="32" t="s">
        <v>38</v>
      </c>
      <c r="H31">
        <v>1.3899069316677349E-2</v>
      </c>
      <c r="I31" t="s">
        <v>52</v>
      </c>
      <c r="J31">
        <v>3.177591248659053E-3</v>
      </c>
      <c r="K31" t="s">
        <v>25</v>
      </c>
      <c r="L31">
        <v>0.12899692892125039</v>
      </c>
      <c r="M31">
        <v>0.22861899428376081</v>
      </c>
      <c r="N31">
        <v>9.280976012290866</v>
      </c>
      <c r="P31" s="1">
        <v>8</v>
      </c>
      <c r="Q31" t="s">
        <v>9</v>
      </c>
      <c r="R31" t="s">
        <v>16</v>
      </c>
      <c r="S31" t="s">
        <v>18</v>
      </c>
      <c r="T31" t="s">
        <v>22</v>
      </c>
      <c r="U31">
        <v>2050</v>
      </c>
      <c r="V31" t="s">
        <v>38</v>
      </c>
      <c r="W31">
        <v>1.3899069316677349E-2</v>
      </c>
      <c r="X31" t="s">
        <v>52</v>
      </c>
      <c r="Y31">
        <v>6.378793283131778E-4</v>
      </c>
      <c r="Z31" t="s">
        <v>25</v>
      </c>
      <c r="AA31">
        <v>2.9335499343059412E-2</v>
      </c>
      <c r="AB31">
        <v>4.5893671999159912E-2</v>
      </c>
      <c r="AC31">
        <v>2.1106088957956382</v>
      </c>
      <c r="AE31" s="37">
        <f t="shared" si="0"/>
        <v>1.3312706095410467</v>
      </c>
    </row>
    <row r="32" spans="1:31" hidden="1" x14ac:dyDescent="0.35">
      <c r="A32" s="1">
        <v>9</v>
      </c>
      <c r="B32" t="s">
        <v>9</v>
      </c>
      <c r="C32" t="s">
        <v>16</v>
      </c>
      <c r="D32" t="s">
        <v>18</v>
      </c>
      <c r="E32" t="s">
        <v>22</v>
      </c>
      <c r="F32">
        <v>2050</v>
      </c>
      <c r="G32" t="s">
        <v>39</v>
      </c>
      <c r="H32">
        <v>2.5528902827471871E-3</v>
      </c>
      <c r="I32" t="s">
        <v>52</v>
      </c>
      <c r="J32">
        <v>0</v>
      </c>
      <c r="K32" t="s">
        <v>25</v>
      </c>
      <c r="L32">
        <v>0</v>
      </c>
      <c r="M32">
        <v>0</v>
      </c>
      <c r="N32">
        <v>0</v>
      </c>
      <c r="P32" s="1">
        <v>9</v>
      </c>
      <c r="Q32" t="s">
        <v>9</v>
      </c>
      <c r="R32" t="s">
        <v>16</v>
      </c>
      <c r="S32" t="s">
        <v>18</v>
      </c>
      <c r="T32" t="s">
        <v>22</v>
      </c>
      <c r="U32">
        <v>2050</v>
      </c>
      <c r="V32" t="s">
        <v>39</v>
      </c>
      <c r="W32">
        <v>2.5528902827471871E-3</v>
      </c>
      <c r="X32" t="s">
        <v>52</v>
      </c>
      <c r="Y32">
        <v>0</v>
      </c>
      <c r="Z32" t="s">
        <v>25</v>
      </c>
      <c r="AA32">
        <v>0</v>
      </c>
      <c r="AB32">
        <v>0</v>
      </c>
      <c r="AC32">
        <v>0</v>
      </c>
    </row>
    <row r="33" spans="1:31" x14ac:dyDescent="0.35">
      <c r="A33" s="1">
        <v>10</v>
      </c>
      <c r="B33" t="s">
        <v>9</v>
      </c>
      <c r="C33" t="s">
        <v>16</v>
      </c>
      <c r="D33" t="s">
        <v>18</v>
      </c>
      <c r="E33" t="s">
        <v>22</v>
      </c>
      <c r="F33">
        <v>2050</v>
      </c>
      <c r="G33" s="35" t="s">
        <v>42</v>
      </c>
      <c r="H33">
        <v>2.1375884387427092E-2</v>
      </c>
      <c r="I33" t="s">
        <v>52</v>
      </c>
      <c r="J33">
        <v>7.042201164575247E-4</v>
      </c>
      <c r="K33" t="s">
        <v>25</v>
      </c>
      <c r="L33">
        <v>2.858839454128077E-2</v>
      </c>
      <c r="M33">
        <v>3.2944607282388481E-2</v>
      </c>
      <c r="N33">
        <v>1.3374134151893129</v>
      </c>
      <c r="P33" s="1">
        <v>10</v>
      </c>
      <c r="Q33" t="s">
        <v>9</v>
      </c>
      <c r="R33" t="s">
        <v>16</v>
      </c>
      <c r="S33" t="s">
        <v>18</v>
      </c>
      <c r="T33" t="s">
        <v>22</v>
      </c>
      <c r="U33">
        <v>2050</v>
      </c>
      <c r="V33" t="s">
        <v>42</v>
      </c>
      <c r="W33">
        <v>2.1375884387427092E-2</v>
      </c>
      <c r="X33" t="s">
        <v>52</v>
      </c>
      <c r="Y33">
        <v>6.3349241627849056E-4</v>
      </c>
      <c r="Z33" t="s">
        <v>25</v>
      </c>
      <c r="AA33">
        <v>2.913374918531101E-2</v>
      </c>
      <c r="AB33">
        <v>2.9635845927904601E-2</v>
      </c>
      <c r="AC33">
        <v>1.362926027165779</v>
      </c>
      <c r="AE33" s="37">
        <f>(M33-AB33)/AVERAGE(M33,AB33)</f>
        <v>0.10574424392118857</v>
      </c>
    </row>
    <row r="34" spans="1:31" x14ac:dyDescent="0.35">
      <c r="A34" s="1">
        <v>11</v>
      </c>
      <c r="B34" t="s">
        <v>9</v>
      </c>
      <c r="C34" t="s">
        <v>16</v>
      </c>
      <c r="D34" t="s">
        <v>18</v>
      </c>
      <c r="E34" t="s">
        <v>22</v>
      </c>
      <c r="F34">
        <v>2050</v>
      </c>
      <c r="G34" s="36" t="s">
        <v>44</v>
      </c>
      <c r="H34">
        <v>2.7096191477020259E-3</v>
      </c>
      <c r="I34" t="s">
        <v>52</v>
      </c>
      <c r="J34">
        <v>9.9747028345861972E-5</v>
      </c>
      <c r="K34" t="s">
        <v>25</v>
      </c>
      <c r="L34">
        <v>4.0493126140962983E-3</v>
      </c>
      <c r="M34">
        <v>3.6812194964910637E-2</v>
      </c>
      <c r="N34">
        <v>1.494421316564152</v>
      </c>
      <c r="P34" s="1">
        <v>11</v>
      </c>
      <c r="Q34" t="s">
        <v>9</v>
      </c>
      <c r="R34" t="s">
        <v>16</v>
      </c>
      <c r="S34" t="s">
        <v>18</v>
      </c>
      <c r="T34" t="s">
        <v>22</v>
      </c>
      <c r="U34">
        <v>2050</v>
      </c>
      <c r="V34" t="s">
        <v>44</v>
      </c>
      <c r="W34">
        <v>2.7096191477020259E-3</v>
      </c>
      <c r="X34" t="s">
        <v>52</v>
      </c>
      <c r="Y34">
        <v>8.9909248055705285E-5</v>
      </c>
      <c r="Z34" t="s">
        <v>25</v>
      </c>
      <c r="AA34">
        <v>4.1348458402749276E-3</v>
      </c>
      <c r="AB34">
        <v>3.3181507494127183E-2</v>
      </c>
      <c r="AC34">
        <v>1.525987828873149</v>
      </c>
      <c r="AE34" s="37">
        <f t="shared" si="0"/>
        <v>0.10374326098575024</v>
      </c>
    </row>
    <row r="35" spans="1:31" hidden="1" x14ac:dyDescent="0.35">
      <c r="A35" s="1">
        <v>12</v>
      </c>
      <c r="B35" t="s">
        <v>9</v>
      </c>
      <c r="C35" t="s">
        <v>16</v>
      </c>
      <c r="D35" t="s">
        <v>18</v>
      </c>
      <c r="E35" t="s">
        <v>22</v>
      </c>
      <c r="F35">
        <v>2050</v>
      </c>
      <c r="G35" t="s">
        <v>46</v>
      </c>
      <c r="H35">
        <v>3.5458081631227323E-2</v>
      </c>
      <c r="I35" t="s">
        <v>52</v>
      </c>
      <c r="J35">
        <v>9.5790080550025736E-3</v>
      </c>
      <c r="K35" t="s">
        <v>25</v>
      </c>
      <c r="L35">
        <v>0.38886770654617819</v>
      </c>
      <c r="M35">
        <v>0.27015020594251521</v>
      </c>
      <c r="N35">
        <v>10.96696969087321</v>
      </c>
      <c r="P35" s="1">
        <v>12</v>
      </c>
      <c r="Q35" t="s">
        <v>9</v>
      </c>
      <c r="R35" t="s">
        <v>16</v>
      </c>
      <c r="S35" t="s">
        <v>18</v>
      </c>
      <c r="T35" t="s">
        <v>22</v>
      </c>
      <c r="U35">
        <v>2050</v>
      </c>
      <c r="V35" t="s">
        <v>46</v>
      </c>
      <c r="W35">
        <v>3.5458081631227323E-2</v>
      </c>
      <c r="X35" t="s">
        <v>52</v>
      </c>
      <c r="Y35">
        <v>9.5928442604028483E-3</v>
      </c>
      <c r="Z35" t="s">
        <v>25</v>
      </c>
      <c r="AA35">
        <v>0.44116632097686581</v>
      </c>
      <c r="AB35">
        <v>0.27054041897051179</v>
      </c>
      <c r="AC35">
        <v>12.441911707607391</v>
      </c>
      <c r="AE35" s="13">
        <f t="shared" si="0"/>
        <v>-1.4433874382761694E-3</v>
      </c>
    </row>
    <row r="36" spans="1:31" ht="1.5" customHeight="1" x14ac:dyDescent="0.35">
      <c r="A36" s="1">
        <v>13</v>
      </c>
      <c r="B36" t="s">
        <v>9</v>
      </c>
      <c r="C36" t="s">
        <v>16</v>
      </c>
      <c r="D36" t="s">
        <v>18</v>
      </c>
      <c r="E36" t="s">
        <v>22</v>
      </c>
      <c r="F36">
        <v>2050</v>
      </c>
      <c r="G36" s="33" t="s">
        <v>24</v>
      </c>
      <c r="H36">
        <v>3.1242684515255099E-2</v>
      </c>
      <c r="I36" t="s">
        <v>52</v>
      </c>
      <c r="J36">
        <v>7.6960344506264537E-4</v>
      </c>
      <c r="K36" t="s">
        <v>25</v>
      </c>
      <c r="L36">
        <v>3.124268451525675E-2</v>
      </c>
      <c r="M36">
        <v>2.463307673471098E-2</v>
      </c>
      <c r="N36">
        <v>1.0000000000000531</v>
      </c>
      <c r="P36" s="1">
        <v>13</v>
      </c>
      <c r="Q36" t="s">
        <v>9</v>
      </c>
      <c r="R36" t="s">
        <v>16</v>
      </c>
      <c r="S36" t="s">
        <v>18</v>
      </c>
      <c r="T36" t="s">
        <v>22</v>
      </c>
      <c r="U36">
        <v>2050</v>
      </c>
      <c r="V36" t="s">
        <v>24</v>
      </c>
      <c r="W36">
        <v>3.1242684515255099E-2</v>
      </c>
      <c r="X36" t="s">
        <v>52</v>
      </c>
      <c r="Y36">
        <v>6.7934969779222612E-4</v>
      </c>
      <c r="Z36" t="s">
        <v>25</v>
      </c>
      <c r="AA36">
        <v>3.124268451525512E-2</v>
      </c>
      <c r="AB36">
        <v>2.174428056784029E-2</v>
      </c>
      <c r="AC36">
        <v>1.0000000000000011</v>
      </c>
      <c r="AE36" s="37">
        <f t="shared" si="0"/>
        <v>0.12457786880891439</v>
      </c>
    </row>
    <row r="37" spans="1:31" hidden="1" x14ac:dyDescent="0.35">
      <c r="A37" s="1">
        <v>14</v>
      </c>
      <c r="B37" t="s">
        <v>9</v>
      </c>
      <c r="C37" t="s">
        <v>16</v>
      </c>
      <c r="D37" t="s">
        <v>18</v>
      </c>
      <c r="E37" t="s">
        <v>22</v>
      </c>
      <c r="F37">
        <v>2050</v>
      </c>
      <c r="G37" t="s">
        <v>47</v>
      </c>
      <c r="H37">
        <v>5.6500000000000001E-9</v>
      </c>
      <c r="I37" t="s">
        <v>53</v>
      </c>
      <c r="J37">
        <v>7.8616505407044053E-4</v>
      </c>
      <c r="K37" t="s">
        <v>25</v>
      </c>
      <c r="L37">
        <v>3.1915016647623251E-2</v>
      </c>
      <c r="M37">
        <v>139144.25735760009</v>
      </c>
      <c r="N37">
        <v>5648675.5128536727</v>
      </c>
      <c r="P37" s="1">
        <v>14</v>
      </c>
      <c r="Q37" t="s">
        <v>9</v>
      </c>
      <c r="R37" t="s">
        <v>16</v>
      </c>
      <c r="S37" t="s">
        <v>18</v>
      </c>
      <c r="T37" t="s">
        <v>22</v>
      </c>
      <c r="U37">
        <v>2050</v>
      </c>
      <c r="V37" t="s">
        <v>47</v>
      </c>
      <c r="W37">
        <v>5.6500000000000001E-9</v>
      </c>
      <c r="X37" t="s">
        <v>53</v>
      </c>
      <c r="Y37">
        <v>7.5603370498733677E-4</v>
      </c>
      <c r="Z37" t="s">
        <v>25</v>
      </c>
      <c r="AA37">
        <v>3.4769313366270142E-2</v>
      </c>
      <c r="AB37">
        <v>133811.27521899759</v>
      </c>
      <c r="AC37">
        <v>6153860.7727911742</v>
      </c>
      <c r="AE37" s="13">
        <f t="shared" si="0"/>
        <v>3.9075831057616986E-2</v>
      </c>
    </row>
    <row r="38" spans="1:31" hidden="1" x14ac:dyDescent="0.35">
      <c r="A38" s="1">
        <v>15</v>
      </c>
      <c r="B38" t="s">
        <v>9</v>
      </c>
      <c r="C38" t="s">
        <v>16</v>
      </c>
      <c r="D38" t="s">
        <v>18</v>
      </c>
      <c r="E38" t="s">
        <v>22</v>
      </c>
      <c r="F38">
        <v>2050</v>
      </c>
      <c r="G38" t="s">
        <v>48</v>
      </c>
      <c r="H38">
        <v>3.8600000000000001E-10</v>
      </c>
      <c r="I38" t="s">
        <v>53</v>
      </c>
      <c r="J38">
        <v>6.5529935791625873E-5</v>
      </c>
      <c r="K38" t="s">
        <v>25</v>
      </c>
      <c r="L38">
        <v>2.6602416132325739E-3</v>
      </c>
      <c r="M38">
        <v>169766.67303530019</v>
      </c>
      <c r="N38">
        <v>6891817.6508615911</v>
      </c>
      <c r="P38" s="1">
        <v>15</v>
      </c>
      <c r="Q38" t="s">
        <v>9</v>
      </c>
      <c r="R38" t="s">
        <v>16</v>
      </c>
      <c r="S38" t="s">
        <v>18</v>
      </c>
      <c r="T38" t="s">
        <v>22</v>
      </c>
      <c r="U38">
        <v>2050</v>
      </c>
      <c r="V38" t="s">
        <v>48</v>
      </c>
      <c r="W38">
        <v>3.8600000000000001E-10</v>
      </c>
      <c r="X38" t="s">
        <v>53</v>
      </c>
      <c r="Y38">
        <v>6.7519412441451545E-5</v>
      </c>
      <c r="Z38" t="s">
        <v>25</v>
      </c>
      <c r="AA38">
        <v>3.1051573415269741E-3</v>
      </c>
      <c r="AB38">
        <v>174920.7576203408</v>
      </c>
      <c r="AC38">
        <v>8044449.0713134035</v>
      </c>
      <c r="AE38" s="13">
        <f t="shared" si="0"/>
        <v>-2.9905845857139929E-2</v>
      </c>
    </row>
    <row r="39" spans="1:31" hidden="1" x14ac:dyDescent="0.35">
      <c r="A39" s="1">
        <v>16</v>
      </c>
      <c r="B39" t="s">
        <v>9</v>
      </c>
      <c r="C39" t="s">
        <v>16</v>
      </c>
      <c r="D39" t="s">
        <v>18</v>
      </c>
      <c r="E39" t="s">
        <v>22</v>
      </c>
      <c r="F39">
        <v>2050</v>
      </c>
      <c r="G39" t="s">
        <v>49</v>
      </c>
      <c r="H39">
        <v>3.47E-12</v>
      </c>
      <c r="I39" t="s">
        <v>53</v>
      </c>
      <c r="J39">
        <v>5.5597085619891997E-7</v>
      </c>
      <c r="K39" t="s">
        <v>25</v>
      </c>
      <c r="L39">
        <v>2.2570093950769831E-5</v>
      </c>
      <c r="M39">
        <v>160222.14876049571</v>
      </c>
      <c r="N39">
        <v>6504349.8417204116</v>
      </c>
      <c r="P39" s="1">
        <v>16</v>
      </c>
      <c r="Q39" t="s">
        <v>9</v>
      </c>
      <c r="R39" t="s">
        <v>16</v>
      </c>
      <c r="S39" t="s">
        <v>18</v>
      </c>
      <c r="T39" t="s">
        <v>22</v>
      </c>
      <c r="U39">
        <v>2050</v>
      </c>
      <c r="V39" t="s">
        <v>49</v>
      </c>
      <c r="W39">
        <v>3.47E-12</v>
      </c>
      <c r="X39" t="s">
        <v>53</v>
      </c>
      <c r="Y39">
        <v>5.6935921889804972E-7</v>
      </c>
      <c r="Z39" t="s">
        <v>25</v>
      </c>
      <c r="AA39">
        <v>2.6184320843437351E-5</v>
      </c>
      <c r="AB39">
        <v>164080.46654122471</v>
      </c>
      <c r="AC39">
        <v>7545913.7877341062</v>
      </c>
      <c r="AE39" s="13">
        <f t="shared" si="0"/>
        <v>-2.3794552363627122E-2</v>
      </c>
    </row>
    <row r="40" spans="1:31" hidden="1" x14ac:dyDescent="0.35">
      <c r="A40" s="1">
        <v>17</v>
      </c>
      <c r="B40" t="s">
        <v>9</v>
      </c>
      <c r="C40" t="s">
        <v>16</v>
      </c>
      <c r="D40" t="s">
        <v>18</v>
      </c>
      <c r="E40" t="s">
        <v>22</v>
      </c>
      <c r="F40">
        <v>2050</v>
      </c>
      <c r="G40" t="s">
        <v>50</v>
      </c>
      <c r="H40">
        <v>5.0000000000000004E-6</v>
      </c>
      <c r="I40" t="s">
        <v>54</v>
      </c>
      <c r="P40" s="1">
        <v>17</v>
      </c>
      <c r="Q40" t="s">
        <v>9</v>
      </c>
      <c r="R40" t="s">
        <v>16</v>
      </c>
      <c r="S40" t="s">
        <v>18</v>
      </c>
      <c r="T40" t="s">
        <v>22</v>
      </c>
      <c r="U40">
        <v>2050</v>
      </c>
      <c r="V40" t="s">
        <v>50</v>
      </c>
      <c r="W40">
        <v>5.0000000000000004E-6</v>
      </c>
      <c r="X40" t="s">
        <v>54</v>
      </c>
    </row>
    <row r="41" spans="1:31" hidden="1" x14ac:dyDescent="0.35">
      <c r="A41" s="1">
        <v>18</v>
      </c>
      <c r="B41" t="s">
        <v>9</v>
      </c>
      <c r="C41" t="s">
        <v>16</v>
      </c>
      <c r="D41" t="s">
        <v>18</v>
      </c>
      <c r="E41" t="s">
        <v>22</v>
      </c>
      <c r="F41">
        <v>2050</v>
      </c>
      <c r="G41" t="s">
        <v>51</v>
      </c>
      <c r="H41">
        <v>4.16E-6</v>
      </c>
      <c r="I41" t="s">
        <v>54</v>
      </c>
      <c r="P41" s="1">
        <v>18</v>
      </c>
      <c r="Q41" t="s">
        <v>9</v>
      </c>
      <c r="R41" t="s">
        <v>16</v>
      </c>
      <c r="S41" t="s">
        <v>18</v>
      </c>
      <c r="T41" t="s">
        <v>22</v>
      </c>
      <c r="U41">
        <v>2050</v>
      </c>
      <c r="V41" t="s">
        <v>51</v>
      </c>
      <c r="W41">
        <v>4.16E-6</v>
      </c>
      <c r="X41" t="s">
        <v>54</v>
      </c>
    </row>
    <row r="42" spans="1:31" hidden="1" x14ac:dyDescent="0.35">
      <c r="B42" s="1" t="s">
        <v>0</v>
      </c>
      <c r="C42" s="1" t="s">
        <v>1</v>
      </c>
      <c r="D42" s="1" t="s">
        <v>2</v>
      </c>
      <c r="E42" s="1" t="s">
        <v>3</v>
      </c>
      <c r="F42" s="1" t="s">
        <v>4</v>
      </c>
      <c r="G42" s="1" t="s">
        <v>5</v>
      </c>
      <c r="H42" s="1" t="s">
        <v>27</v>
      </c>
      <c r="I42" s="1" t="s">
        <v>28</v>
      </c>
      <c r="J42" s="1" t="s">
        <v>6</v>
      </c>
      <c r="K42" s="1" t="s">
        <v>29</v>
      </c>
      <c r="L42" s="1" t="s">
        <v>30</v>
      </c>
      <c r="M42" s="1" t="s">
        <v>31</v>
      </c>
      <c r="N42" s="1" t="s">
        <v>32</v>
      </c>
      <c r="P42" s="31"/>
      <c r="Q42" s="30" t="s">
        <v>0</v>
      </c>
      <c r="R42" s="30" t="s">
        <v>1</v>
      </c>
      <c r="S42" s="30" t="s">
        <v>2</v>
      </c>
      <c r="T42" s="30" t="s">
        <v>3</v>
      </c>
      <c r="U42" s="30" t="s">
        <v>4</v>
      </c>
      <c r="V42" s="30" t="s">
        <v>5</v>
      </c>
      <c r="W42" s="30" t="s">
        <v>27</v>
      </c>
      <c r="X42" s="30" t="s">
        <v>28</v>
      </c>
      <c r="Y42" s="30" t="s">
        <v>6</v>
      </c>
      <c r="Z42" s="30" t="s">
        <v>29</v>
      </c>
      <c r="AA42" s="30" t="s">
        <v>30</v>
      </c>
      <c r="AB42" s="30" t="s">
        <v>31</v>
      </c>
      <c r="AC42" s="30" t="s">
        <v>32</v>
      </c>
    </row>
    <row r="43" spans="1:31" hidden="1" x14ac:dyDescent="0.35">
      <c r="A43" s="1">
        <v>0</v>
      </c>
      <c r="B43" t="s">
        <v>10</v>
      </c>
      <c r="C43" t="s">
        <v>16</v>
      </c>
      <c r="D43" t="s">
        <v>19</v>
      </c>
      <c r="E43" t="s">
        <v>21</v>
      </c>
      <c r="F43">
        <v>2050</v>
      </c>
      <c r="G43" t="s">
        <v>33</v>
      </c>
      <c r="H43">
        <v>6.3879361199835186E-2</v>
      </c>
      <c r="I43" t="s">
        <v>52</v>
      </c>
      <c r="J43">
        <v>1.306110102951873E-4</v>
      </c>
      <c r="K43" t="s">
        <v>25</v>
      </c>
      <c r="L43">
        <v>8.3259040996520248E-3</v>
      </c>
      <c r="M43">
        <v>2.0446511649763379E-3</v>
      </c>
      <c r="N43">
        <v>0.13033793612315439</v>
      </c>
      <c r="P43" s="30">
        <v>0</v>
      </c>
      <c r="Q43" s="31" t="s">
        <v>10</v>
      </c>
      <c r="R43" s="31" t="s">
        <v>16</v>
      </c>
      <c r="S43" s="31" t="s">
        <v>19</v>
      </c>
      <c r="T43" s="31" t="s">
        <v>21</v>
      </c>
      <c r="U43" s="31">
        <v>2050</v>
      </c>
      <c r="V43" s="31" t="s">
        <v>33</v>
      </c>
      <c r="W43" s="31">
        <v>6.3879361199835186E-2</v>
      </c>
      <c r="X43" s="31" t="s">
        <v>52</v>
      </c>
      <c r="Y43" s="31">
        <v>1.3310232161614779E-4</v>
      </c>
      <c r="Z43" s="31" t="s">
        <v>25</v>
      </c>
      <c r="AA43" s="31">
        <v>7.6420349739062549E-3</v>
      </c>
      <c r="AB43" s="31">
        <v>2.0836514191142409E-3</v>
      </c>
      <c r="AC43" s="31">
        <v>0.11963230111208389</v>
      </c>
      <c r="AE43" s="13">
        <f t="shared" si="0"/>
        <v>-1.8894087021721694E-2</v>
      </c>
    </row>
    <row r="44" spans="1:31" hidden="1" x14ac:dyDescent="0.35">
      <c r="A44" s="1">
        <v>1</v>
      </c>
      <c r="B44" t="s">
        <v>10</v>
      </c>
      <c r="C44" t="s">
        <v>16</v>
      </c>
      <c r="D44" t="s">
        <v>19</v>
      </c>
      <c r="E44" t="s">
        <v>21</v>
      </c>
      <c r="F44">
        <v>2050</v>
      </c>
      <c r="G44" t="s">
        <v>34</v>
      </c>
      <c r="H44">
        <v>1.2167497371459781E-2</v>
      </c>
      <c r="I44" t="s">
        <v>52</v>
      </c>
      <c r="J44">
        <v>3.1976249026376587E-5</v>
      </c>
      <c r="K44" t="s">
        <v>25</v>
      </c>
      <c r="L44">
        <v>2.038351761145613E-3</v>
      </c>
      <c r="M44">
        <v>2.6280054188777091E-3</v>
      </c>
      <c r="N44">
        <v>0.16752432311403609</v>
      </c>
      <c r="P44" s="30">
        <v>1</v>
      </c>
      <c r="Q44" s="31" t="s">
        <v>10</v>
      </c>
      <c r="R44" s="31" t="s">
        <v>16</v>
      </c>
      <c r="S44" s="31" t="s">
        <v>19</v>
      </c>
      <c r="T44" s="31" t="s">
        <v>21</v>
      </c>
      <c r="U44" s="31">
        <v>2050</v>
      </c>
      <c r="V44" s="31" t="s">
        <v>34</v>
      </c>
      <c r="W44" s="31">
        <v>1.2167497371459781E-2</v>
      </c>
      <c r="X44" s="31" t="s">
        <v>52</v>
      </c>
      <c r="Y44" s="31">
        <v>3.3500783783058429E-5</v>
      </c>
      <c r="Z44" s="31" t="s">
        <v>25</v>
      </c>
      <c r="AA44" s="31">
        <v>1.923438736566296E-3</v>
      </c>
      <c r="AB44" s="31">
        <v>2.7533010906284012E-3</v>
      </c>
      <c r="AC44" s="31">
        <v>0.15808006181106191</v>
      </c>
      <c r="AE44" s="13">
        <f t="shared" si="0"/>
        <v>-4.6567008041395345E-2</v>
      </c>
    </row>
    <row r="45" spans="1:31" hidden="1" x14ac:dyDescent="0.35">
      <c r="A45" s="1">
        <v>2</v>
      </c>
      <c r="B45" t="s">
        <v>10</v>
      </c>
      <c r="C45" t="s">
        <v>16</v>
      </c>
      <c r="D45" t="s">
        <v>19</v>
      </c>
      <c r="E45" t="s">
        <v>21</v>
      </c>
      <c r="F45">
        <v>2050</v>
      </c>
      <c r="G45" t="s">
        <v>35</v>
      </c>
      <c r="H45">
        <v>0.30818352720644221</v>
      </c>
      <c r="I45" t="s">
        <v>52</v>
      </c>
      <c r="J45">
        <v>4.5228118024938958E-3</v>
      </c>
      <c r="K45" t="s">
        <v>25</v>
      </c>
      <c r="L45">
        <v>0.28831028290213012</v>
      </c>
      <c r="M45">
        <v>1.467570912531029E-2</v>
      </c>
      <c r="N45">
        <v>0.93551490410777349</v>
      </c>
      <c r="P45" s="30">
        <v>2</v>
      </c>
      <c r="Q45" s="31" t="s">
        <v>10</v>
      </c>
      <c r="R45" s="31" t="s">
        <v>16</v>
      </c>
      <c r="S45" s="31" t="s">
        <v>19</v>
      </c>
      <c r="T45" s="31" t="s">
        <v>21</v>
      </c>
      <c r="U45" s="31">
        <v>2050</v>
      </c>
      <c r="V45" s="31" t="s">
        <v>35</v>
      </c>
      <c r="W45" s="31">
        <v>0.30818352720644221</v>
      </c>
      <c r="X45" s="31" t="s">
        <v>52</v>
      </c>
      <c r="Y45" s="31">
        <v>4.6146982337499252E-3</v>
      </c>
      <c r="Z45" s="31" t="s">
        <v>25</v>
      </c>
      <c r="AA45" s="31">
        <v>0.26495169181227851</v>
      </c>
      <c r="AB45" s="31">
        <v>1.4973864033487711E-2</v>
      </c>
      <c r="AC45" s="31">
        <v>0.85972048608164542</v>
      </c>
      <c r="AE45" s="13">
        <f t="shared" si="0"/>
        <v>-2.0111919087708565E-2</v>
      </c>
    </row>
    <row r="46" spans="1:31" hidden="1" x14ac:dyDescent="0.35">
      <c r="A46" s="1">
        <v>3</v>
      </c>
      <c r="B46" t="s">
        <v>10</v>
      </c>
      <c r="C46" t="s">
        <v>16</v>
      </c>
      <c r="D46" t="s">
        <v>19</v>
      </c>
      <c r="E46" t="s">
        <v>21</v>
      </c>
      <c r="F46">
        <v>2050</v>
      </c>
      <c r="G46" t="s">
        <v>36</v>
      </c>
      <c r="H46">
        <v>0.1807929296555647</v>
      </c>
      <c r="I46" t="s">
        <v>52</v>
      </c>
      <c r="J46">
        <v>1.951449938186568E-3</v>
      </c>
      <c r="K46" t="s">
        <v>25</v>
      </c>
      <c r="L46">
        <v>0.124396748818441</v>
      </c>
      <c r="M46">
        <v>1.0793839902391911E-2</v>
      </c>
      <c r="N46">
        <v>0.68806202242219239</v>
      </c>
      <c r="P46" s="30">
        <v>3</v>
      </c>
      <c r="Q46" s="31" t="s">
        <v>10</v>
      </c>
      <c r="R46" s="31" t="s">
        <v>16</v>
      </c>
      <c r="S46" s="31" t="s">
        <v>19</v>
      </c>
      <c r="T46" s="31" t="s">
        <v>21</v>
      </c>
      <c r="U46" s="31">
        <v>2050</v>
      </c>
      <c r="V46" s="31" t="s">
        <v>36</v>
      </c>
      <c r="W46" s="31">
        <v>0.1807929296555647</v>
      </c>
      <c r="X46" s="31" t="s">
        <v>52</v>
      </c>
      <c r="Y46" s="31">
        <v>1.908309095421326E-3</v>
      </c>
      <c r="Z46" s="31" t="s">
        <v>25</v>
      </c>
      <c r="AA46" s="31">
        <v>0.1095650674695967</v>
      </c>
      <c r="AB46" s="31">
        <v>1.0555219714935289E-2</v>
      </c>
      <c r="AC46" s="31">
        <v>0.60602517851960869</v>
      </c>
      <c r="AE46" s="13">
        <f t="shared" si="0"/>
        <v>2.2354163764942044E-2</v>
      </c>
    </row>
    <row r="47" spans="1:31" hidden="1" x14ac:dyDescent="0.35">
      <c r="A47" s="1">
        <v>4</v>
      </c>
      <c r="B47" t="s">
        <v>10</v>
      </c>
      <c r="C47" t="s">
        <v>16</v>
      </c>
      <c r="D47" t="s">
        <v>19</v>
      </c>
      <c r="E47" t="s">
        <v>21</v>
      </c>
      <c r="F47">
        <v>2050</v>
      </c>
      <c r="G47" t="s">
        <v>37</v>
      </c>
      <c r="H47">
        <v>0.27064447277681541</v>
      </c>
      <c r="I47" t="s">
        <v>52</v>
      </c>
      <c r="J47">
        <v>3.0855762547780702E-3</v>
      </c>
      <c r="K47" t="s">
        <v>25</v>
      </c>
      <c r="L47">
        <v>0.19669254476620709</v>
      </c>
      <c r="M47">
        <v>1.140084710808989E-2</v>
      </c>
      <c r="N47">
        <v>0.72675618588526614</v>
      </c>
      <c r="P47" s="30">
        <v>4</v>
      </c>
      <c r="Q47" s="31" t="s">
        <v>10</v>
      </c>
      <c r="R47" s="31" t="s">
        <v>16</v>
      </c>
      <c r="S47" s="31" t="s">
        <v>19</v>
      </c>
      <c r="T47" s="31" t="s">
        <v>21</v>
      </c>
      <c r="U47" s="31">
        <v>2050</v>
      </c>
      <c r="V47" s="31" t="s">
        <v>37</v>
      </c>
      <c r="W47" s="31">
        <v>0.27064447277681541</v>
      </c>
      <c r="X47" s="31" t="s">
        <v>52</v>
      </c>
      <c r="Y47" s="31">
        <v>3.0361434317389322E-3</v>
      </c>
      <c r="Z47" s="31" t="s">
        <v>25</v>
      </c>
      <c r="AA47" s="31">
        <v>0.17431938082986681</v>
      </c>
      <c r="AB47" s="31">
        <v>1.1218198548775321E-2</v>
      </c>
      <c r="AC47" s="31">
        <v>0.64408993481872334</v>
      </c>
      <c r="AE47" s="13">
        <f t="shared" si="0"/>
        <v>1.6149979277232027E-2</v>
      </c>
    </row>
    <row r="48" spans="1:31" ht="13.5" customHeight="1" x14ac:dyDescent="0.35">
      <c r="A48" s="1">
        <v>5</v>
      </c>
      <c r="B48" t="s">
        <v>10</v>
      </c>
      <c r="C48" t="s">
        <v>16</v>
      </c>
      <c r="D48" t="s">
        <v>19</v>
      </c>
      <c r="E48" t="s">
        <v>21</v>
      </c>
      <c r="F48">
        <v>2050</v>
      </c>
      <c r="G48" s="32" t="s">
        <v>38</v>
      </c>
      <c r="H48">
        <v>1.1867184935233919E-2</v>
      </c>
      <c r="I48" t="s">
        <v>52</v>
      </c>
      <c r="J48">
        <v>2.734528748161364E-3</v>
      </c>
      <c r="K48" t="s">
        <v>25</v>
      </c>
      <c r="L48">
        <v>0.1743147385773797</v>
      </c>
      <c r="M48">
        <v>0.2304277520814976</v>
      </c>
      <c r="N48">
        <v>14.688802738704741</v>
      </c>
      <c r="P48" s="30">
        <v>5</v>
      </c>
      <c r="Q48" s="31" t="s">
        <v>10</v>
      </c>
      <c r="R48" s="31" t="s">
        <v>16</v>
      </c>
      <c r="S48" s="31" t="s">
        <v>19</v>
      </c>
      <c r="T48" s="31" t="s">
        <v>21</v>
      </c>
      <c r="U48" s="31">
        <v>2050</v>
      </c>
      <c r="V48" s="31" t="s">
        <v>38</v>
      </c>
      <c r="W48" s="31">
        <v>1.1867184935233919E-2</v>
      </c>
      <c r="X48" s="31" t="s">
        <v>52</v>
      </c>
      <c r="Y48" s="31">
        <v>4.8637278724385647E-4</v>
      </c>
      <c r="Z48" s="31" t="s">
        <v>25</v>
      </c>
      <c r="AA48" s="31">
        <v>2.792496633674714E-2</v>
      </c>
      <c r="AB48" s="31">
        <v>4.0984680857193478E-2</v>
      </c>
      <c r="AC48" s="31">
        <v>2.3531247291712232</v>
      </c>
      <c r="AE48" s="37">
        <f t="shared" si="0"/>
        <v>1.3959793158561538</v>
      </c>
    </row>
    <row r="49" spans="1:31" hidden="1" x14ac:dyDescent="0.35">
      <c r="A49" s="1">
        <v>6</v>
      </c>
      <c r="B49" t="s">
        <v>10</v>
      </c>
      <c r="C49" t="s">
        <v>16</v>
      </c>
      <c r="D49" t="s">
        <v>19</v>
      </c>
      <c r="E49" t="s">
        <v>21</v>
      </c>
      <c r="F49">
        <v>2050</v>
      </c>
      <c r="G49" t="s">
        <v>39</v>
      </c>
      <c r="H49">
        <v>2.1796870285985359E-3</v>
      </c>
      <c r="I49" t="s">
        <v>52</v>
      </c>
      <c r="J49">
        <v>0</v>
      </c>
      <c r="K49" t="s">
        <v>25</v>
      </c>
      <c r="L49">
        <v>0</v>
      </c>
      <c r="M49">
        <v>0</v>
      </c>
      <c r="N49">
        <v>0</v>
      </c>
      <c r="P49" s="30">
        <v>6</v>
      </c>
      <c r="Q49" s="31" t="s">
        <v>10</v>
      </c>
      <c r="R49" s="31" t="s">
        <v>16</v>
      </c>
      <c r="S49" s="31" t="s">
        <v>19</v>
      </c>
      <c r="T49" s="31" t="s">
        <v>21</v>
      </c>
      <c r="U49" s="31">
        <v>2050</v>
      </c>
      <c r="V49" s="31" t="s">
        <v>39</v>
      </c>
      <c r="W49" s="31">
        <v>2.1796870285985359E-3</v>
      </c>
      <c r="X49" s="31" t="s">
        <v>52</v>
      </c>
      <c r="Y49" s="31">
        <v>0</v>
      </c>
      <c r="Z49" s="31" t="s">
        <v>25</v>
      </c>
      <c r="AA49" s="31">
        <v>0</v>
      </c>
      <c r="AB49" s="31">
        <v>0</v>
      </c>
      <c r="AC49" s="31">
        <v>0</v>
      </c>
    </row>
    <row r="50" spans="1:31" hidden="1" x14ac:dyDescent="0.35">
      <c r="A50" s="1">
        <v>7</v>
      </c>
      <c r="B50" t="s">
        <v>10</v>
      </c>
      <c r="C50" t="s">
        <v>16</v>
      </c>
      <c r="D50" t="s">
        <v>19</v>
      </c>
      <c r="E50" t="s">
        <v>21</v>
      </c>
      <c r="F50">
        <v>2050</v>
      </c>
      <c r="G50" t="s">
        <v>40</v>
      </c>
      <c r="H50">
        <v>1.0535153974189091E-2</v>
      </c>
      <c r="I50" t="s">
        <v>52</v>
      </c>
      <c r="J50">
        <v>3.9272992672075989E-4</v>
      </c>
      <c r="K50" t="s">
        <v>25</v>
      </c>
      <c r="L50">
        <v>2.5034885646703389E-2</v>
      </c>
      <c r="M50">
        <v>3.7278043366327618E-2</v>
      </c>
      <c r="N50">
        <v>2.3763189136142042</v>
      </c>
      <c r="P50" s="30">
        <v>7</v>
      </c>
      <c r="Q50" s="31" t="s">
        <v>10</v>
      </c>
      <c r="R50" s="31" t="s">
        <v>16</v>
      </c>
      <c r="S50" s="31" t="s">
        <v>19</v>
      </c>
      <c r="T50" s="31" t="s">
        <v>21</v>
      </c>
      <c r="U50" s="31">
        <v>2050</v>
      </c>
      <c r="V50" s="31" t="s">
        <v>40</v>
      </c>
      <c r="W50" s="31">
        <v>1.0535153974189091E-2</v>
      </c>
      <c r="X50" s="31" t="s">
        <v>52</v>
      </c>
      <c r="Y50" s="31">
        <v>3.8737452673886532E-4</v>
      </c>
      <c r="Z50" s="31" t="s">
        <v>25</v>
      </c>
      <c r="AA50" s="31">
        <v>2.224100710937299E-2</v>
      </c>
      <c r="AB50" s="31">
        <v>3.6769707181112367E-2</v>
      </c>
      <c r="AC50" s="31">
        <v>2.1111231182631962</v>
      </c>
      <c r="AE50" s="13">
        <f t="shared" si="0"/>
        <v>1.3729956182519727E-2</v>
      </c>
    </row>
    <row r="51" spans="1:31" hidden="1" x14ac:dyDescent="0.35">
      <c r="A51" s="1">
        <v>8</v>
      </c>
      <c r="B51" t="s">
        <v>10</v>
      </c>
      <c r="C51" t="s">
        <v>16</v>
      </c>
      <c r="D51" t="s">
        <v>19</v>
      </c>
      <c r="E51" t="s">
        <v>21</v>
      </c>
      <c r="F51">
        <v>2050</v>
      </c>
      <c r="G51" t="s">
        <v>41</v>
      </c>
      <c r="H51">
        <v>6.0546861949339924E-4</v>
      </c>
      <c r="I51" t="s">
        <v>52</v>
      </c>
      <c r="J51">
        <v>1.2612478852384161E-5</v>
      </c>
      <c r="K51" t="s">
        <v>25</v>
      </c>
      <c r="L51">
        <v>8.0399262777702525E-4</v>
      </c>
      <c r="M51">
        <v>2.0830937304293539E-2</v>
      </c>
      <c r="N51">
        <v>1.3278848843557449</v>
      </c>
      <c r="P51" s="30">
        <v>8</v>
      </c>
      <c r="Q51" s="31" t="s">
        <v>10</v>
      </c>
      <c r="R51" s="31" t="s">
        <v>16</v>
      </c>
      <c r="S51" s="31" t="s">
        <v>19</v>
      </c>
      <c r="T51" s="31" t="s">
        <v>21</v>
      </c>
      <c r="U51" s="31">
        <v>2050</v>
      </c>
      <c r="V51" s="31" t="s">
        <v>41</v>
      </c>
      <c r="W51" s="31">
        <v>6.0546861949339924E-4</v>
      </c>
      <c r="X51" s="31" t="s">
        <v>52</v>
      </c>
      <c r="Y51" s="31">
        <v>2.3487145652467311E-5</v>
      </c>
      <c r="Z51" s="31" t="s">
        <v>25</v>
      </c>
      <c r="AA51" s="31">
        <v>1.3485083230254491E-3</v>
      </c>
      <c r="AB51" s="31">
        <v>3.8791681180965598E-2</v>
      </c>
      <c r="AC51" s="31">
        <v>2.227214226484203</v>
      </c>
      <c r="AE51" s="38">
        <f t="shared" si="0"/>
        <v>-0.60248088168461111</v>
      </c>
    </row>
    <row r="52" spans="1:31" hidden="1" x14ac:dyDescent="0.35">
      <c r="A52" s="1">
        <v>9</v>
      </c>
      <c r="B52" t="s">
        <v>10</v>
      </c>
      <c r="C52" t="s">
        <v>16</v>
      </c>
      <c r="D52" t="s">
        <v>19</v>
      </c>
      <c r="E52" t="s">
        <v>21</v>
      </c>
      <c r="F52">
        <v>2050</v>
      </c>
      <c r="G52" t="s">
        <v>42</v>
      </c>
      <c r="H52">
        <v>2.235077570274557E-2</v>
      </c>
      <c r="I52" t="s">
        <v>52</v>
      </c>
      <c r="J52">
        <v>4.4261587392182688E-4</v>
      </c>
      <c r="K52" t="s">
        <v>25</v>
      </c>
      <c r="L52">
        <v>2.8214905549908229E-2</v>
      </c>
      <c r="M52">
        <v>1.9803154924392889E-2</v>
      </c>
      <c r="N52">
        <v>1.2623680683459371</v>
      </c>
      <c r="P52" s="30">
        <v>9</v>
      </c>
      <c r="Q52" s="31" t="s">
        <v>10</v>
      </c>
      <c r="R52" s="31" t="s">
        <v>16</v>
      </c>
      <c r="S52" s="31" t="s">
        <v>19</v>
      </c>
      <c r="T52" s="31" t="s">
        <v>21</v>
      </c>
      <c r="U52" s="31">
        <v>2050</v>
      </c>
      <c r="V52" s="31" t="s">
        <v>42</v>
      </c>
      <c r="W52" s="31">
        <v>2.235077570274557E-2</v>
      </c>
      <c r="X52" s="31" t="s">
        <v>52</v>
      </c>
      <c r="Y52" s="31">
        <v>4.8774617410084442E-4</v>
      </c>
      <c r="Z52" s="31" t="s">
        <v>25</v>
      </c>
      <c r="AA52" s="31">
        <v>2.8003818983841251E-2</v>
      </c>
      <c r="AB52" s="31">
        <v>2.182233764893134E-2</v>
      </c>
      <c r="AC52" s="31">
        <v>1.2529238070426909</v>
      </c>
      <c r="AE52" s="13">
        <f t="shared" si="0"/>
        <v>-9.7016640510937682E-2</v>
      </c>
    </row>
    <row r="53" spans="1:31" hidden="1" x14ac:dyDescent="0.35">
      <c r="A53" s="1">
        <v>10</v>
      </c>
      <c r="B53" t="s">
        <v>10</v>
      </c>
      <c r="C53" t="s">
        <v>16</v>
      </c>
      <c r="D53" t="s">
        <v>19</v>
      </c>
      <c r="E53" t="s">
        <v>21</v>
      </c>
      <c r="F53">
        <v>2050</v>
      </c>
      <c r="G53" t="s">
        <v>43</v>
      </c>
      <c r="H53">
        <v>2.1036024190819361E-2</v>
      </c>
      <c r="I53" t="s">
        <v>52</v>
      </c>
      <c r="J53">
        <v>1.465008331823109E-3</v>
      </c>
      <c r="K53" t="s">
        <v>25</v>
      </c>
      <c r="L53">
        <v>9.3388136638583544E-2</v>
      </c>
      <c r="M53">
        <v>6.9642833576055441E-2</v>
      </c>
      <c r="N53">
        <v>4.4394385455850749</v>
      </c>
      <c r="P53" s="30">
        <v>10</v>
      </c>
      <c r="Q53" s="31" t="s">
        <v>10</v>
      </c>
      <c r="R53" s="31" t="s">
        <v>16</v>
      </c>
      <c r="S53" s="31" t="s">
        <v>19</v>
      </c>
      <c r="T53" s="31" t="s">
        <v>21</v>
      </c>
      <c r="U53" s="31">
        <v>2050</v>
      </c>
      <c r="V53" s="31" t="s">
        <v>43</v>
      </c>
      <c r="W53" s="31">
        <v>2.1036024190819361E-2</v>
      </c>
      <c r="X53" s="31" t="s">
        <v>52</v>
      </c>
      <c r="Y53" s="31">
        <v>1.427313157809598E-3</v>
      </c>
      <c r="Z53" s="31" t="s">
        <v>25</v>
      </c>
      <c r="AA53" s="31">
        <v>8.1948811547808753E-2</v>
      </c>
      <c r="AB53" s="31">
        <v>6.7850899241336318E-2</v>
      </c>
      <c r="AC53" s="31">
        <v>3.8956416290666391</v>
      </c>
      <c r="AE53" s="13">
        <f t="shared" si="0"/>
        <v>2.6065687475356092E-2</v>
      </c>
    </row>
    <row r="54" spans="1:31" hidden="1" x14ac:dyDescent="0.35">
      <c r="A54" s="1">
        <v>11</v>
      </c>
      <c r="B54" t="s">
        <v>10</v>
      </c>
      <c r="C54" t="s">
        <v>16</v>
      </c>
      <c r="D54" t="s">
        <v>19</v>
      </c>
      <c r="E54" t="s">
        <v>21</v>
      </c>
      <c r="F54">
        <v>2050</v>
      </c>
      <c r="G54" t="s">
        <v>44</v>
      </c>
      <c r="H54">
        <v>2.4980278726597989E-3</v>
      </c>
      <c r="I54" t="s">
        <v>52</v>
      </c>
      <c r="J54">
        <v>6.2916544559713097E-5</v>
      </c>
      <c r="K54" t="s">
        <v>25</v>
      </c>
      <c r="L54">
        <v>4.0106658320899352E-3</v>
      </c>
      <c r="M54">
        <v>2.5186486207106291E-2</v>
      </c>
      <c r="N54">
        <v>1.605532858934652</v>
      </c>
      <c r="P54" s="30">
        <v>11</v>
      </c>
      <c r="Q54" s="31" t="s">
        <v>10</v>
      </c>
      <c r="R54" s="31" t="s">
        <v>16</v>
      </c>
      <c r="S54" s="31" t="s">
        <v>19</v>
      </c>
      <c r="T54" s="31" t="s">
        <v>21</v>
      </c>
      <c r="U54" s="31">
        <v>2050</v>
      </c>
      <c r="V54" s="31" t="s">
        <v>44</v>
      </c>
      <c r="W54" s="31">
        <v>2.4980278726597989E-3</v>
      </c>
      <c r="X54" s="31" t="s">
        <v>52</v>
      </c>
      <c r="Y54" s="31">
        <v>6.8174374858828468E-5</v>
      </c>
      <c r="Z54" s="31" t="s">
        <v>25</v>
      </c>
      <c r="AA54" s="31">
        <v>3.9142138970185824E-3</v>
      </c>
      <c r="AB54" s="31">
        <v>2.7291278694276201E-2</v>
      </c>
      <c r="AC54" s="31">
        <v>1.566921626399183</v>
      </c>
      <c r="AE54" s="13">
        <f t="shared" si="0"/>
        <v>-8.0216544707088333E-2</v>
      </c>
    </row>
    <row r="55" spans="1:31" hidden="1" x14ac:dyDescent="0.35">
      <c r="A55" s="1">
        <v>12</v>
      </c>
      <c r="B55" t="s">
        <v>10</v>
      </c>
      <c r="C55" t="s">
        <v>16</v>
      </c>
      <c r="D55" t="s">
        <v>19</v>
      </c>
      <c r="E55" t="s">
        <v>21</v>
      </c>
      <c r="F55">
        <v>2050</v>
      </c>
      <c r="G55" t="s">
        <v>45</v>
      </c>
      <c r="H55">
        <v>3.6155666577970771E-2</v>
      </c>
      <c r="I55" t="s">
        <v>52</v>
      </c>
      <c r="J55">
        <v>1.545284807310361E-3</v>
      </c>
      <c r="K55" t="s">
        <v>25</v>
      </c>
      <c r="L55">
        <v>9.8505425256552037E-2</v>
      </c>
      <c r="M55">
        <v>4.273976816270026E-2</v>
      </c>
      <c r="N55">
        <v>2.7244809619018411</v>
      </c>
      <c r="P55" s="30">
        <v>12</v>
      </c>
      <c r="Q55" s="31" t="s">
        <v>10</v>
      </c>
      <c r="R55" s="31" t="s">
        <v>16</v>
      </c>
      <c r="S55" s="31" t="s">
        <v>19</v>
      </c>
      <c r="T55" s="31" t="s">
        <v>21</v>
      </c>
      <c r="U55" s="31">
        <v>2050</v>
      </c>
      <c r="V55" s="31" t="s">
        <v>45</v>
      </c>
      <c r="W55" s="31">
        <v>3.6155666577970771E-2</v>
      </c>
      <c r="X55" s="31" t="s">
        <v>52</v>
      </c>
      <c r="Y55" s="31">
        <v>1.619591889271551E-3</v>
      </c>
      <c r="Z55" s="31" t="s">
        <v>25</v>
      </c>
      <c r="AA55" s="31">
        <v>9.2988444611521642E-2</v>
      </c>
      <c r="AB55" s="31">
        <v>4.4794966946020823E-2</v>
      </c>
      <c r="AC55" s="31">
        <v>2.5718913081297861</v>
      </c>
      <c r="AE55" s="13">
        <f t="shared" si="0"/>
        <v>-4.6957331412905659E-2</v>
      </c>
    </row>
    <row r="56" spans="1:31" x14ac:dyDescent="0.35">
      <c r="A56" s="1">
        <v>13</v>
      </c>
      <c r="B56" t="s">
        <v>10</v>
      </c>
      <c r="C56" t="s">
        <v>16</v>
      </c>
      <c r="D56" t="s">
        <v>19</v>
      </c>
      <c r="E56" t="s">
        <v>21</v>
      </c>
      <c r="F56">
        <v>2050</v>
      </c>
      <c r="G56" s="33" t="s">
        <v>46</v>
      </c>
      <c r="H56">
        <v>5.7104222888172101E-2</v>
      </c>
      <c r="I56" t="s">
        <v>52</v>
      </c>
      <c r="J56">
        <v>-3.1981359785693748E-3</v>
      </c>
      <c r="K56" t="s">
        <v>25</v>
      </c>
      <c r="L56">
        <v>-0.20386775506166149</v>
      </c>
      <c r="M56">
        <v>-5.6005244740521633E-2</v>
      </c>
      <c r="N56">
        <v>-3.570099455882592</v>
      </c>
      <c r="P56" s="30">
        <v>13</v>
      </c>
      <c r="Q56" s="31" t="s">
        <v>10</v>
      </c>
      <c r="R56" s="31" t="s">
        <v>16</v>
      </c>
      <c r="S56" s="31" t="s">
        <v>19</v>
      </c>
      <c r="T56" s="31" t="s">
        <v>21</v>
      </c>
      <c r="U56" s="31">
        <v>2050</v>
      </c>
      <c r="V56" s="31" t="s">
        <v>46</v>
      </c>
      <c r="W56" s="31">
        <v>5.7104222888172101E-2</v>
      </c>
      <c r="X56" s="31" t="s">
        <v>52</v>
      </c>
      <c r="Y56" s="31">
        <v>6.4718751670110456E-4</v>
      </c>
      <c r="Z56" s="31" t="s">
        <v>25</v>
      </c>
      <c r="AA56" s="31">
        <v>3.7158101956843402E-2</v>
      </c>
      <c r="AB56" s="31">
        <v>1.1333444077656039E-2</v>
      </c>
      <c r="AC56" s="31">
        <v>0.65070672670934626</v>
      </c>
      <c r="AE56" s="37">
        <f t="shared" si="0"/>
        <v>3.0148186470644971</v>
      </c>
    </row>
    <row r="57" spans="1:31" hidden="1" x14ac:dyDescent="0.35">
      <c r="A57" s="1">
        <v>14</v>
      </c>
      <c r="B57" t="s">
        <v>10</v>
      </c>
      <c r="C57" t="s">
        <v>16</v>
      </c>
      <c r="D57" t="s">
        <v>19</v>
      </c>
      <c r="E57" t="s">
        <v>21</v>
      </c>
      <c r="F57">
        <v>2050</v>
      </c>
      <c r="G57" t="s">
        <v>24</v>
      </c>
      <c r="H57">
        <v>3.1242684515255099E-2</v>
      </c>
      <c r="I57" t="s">
        <v>52</v>
      </c>
      <c r="J57">
        <v>4.9011357085424682E-4</v>
      </c>
      <c r="K57" t="s">
        <v>25</v>
      </c>
      <c r="L57">
        <v>3.124268451524892E-2</v>
      </c>
      <c r="M57">
        <v>1.5687306595402691E-2</v>
      </c>
      <c r="N57">
        <v>0.99999999999980227</v>
      </c>
      <c r="P57" s="30">
        <v>14</v>
      </c>
      <c r="Q57" s="31" t="s">
        <v>10</v>
      </c>
      <c r="R57" s="31" t="s">
        <v>16</v>
      </c>
      <c r="S57" s="31" t="s">
        <v>19</v>
      </c>
      <c r="T57" s="31" t="s">
        <v>21</v>
      </c>
      <c r="U57" s="31">
        <v>2050</v>
      </c>
      <c r="V57" s="31" t="s">
        <v>24</v>
      </c>
      <c r="W57" s="31">
        <v>3.1242684515255099E-2</v>
      </c>
      <c r="X57" s="31" t="s">
        <v>52</v>
      </c>
      <c r="Y57" s="31">
        <v>5.4415791823780445E-4</v>
      </c>
      <c r="Z57" s="31" t="s">
        <v>25</v>
      </c>
      <c r="AA57" s="31">
        <v>3.1242684515255081E-2</v>
      </c>
      <c r="AB57" s="31">
        <v>1.7417130655725321E-2</v>
      </c>
      <c r="AC57" s="31">
        <v>0.99999999999999956</v>
      </c>
      <c r="AE57" s="13">
        <f t="shared" si="0"/>
        <v>-0.104507081464657</v>
      </c>
    </row>
    <row r="58" spans="1:31" hidden="1" x14ac:dyDescent="0.35">
      <c r="A58" s="1">
        <v>15</v>
      </c>
      <c r="B58" t="s">
        <v>10</v>
      </c>
      <c r="C58" t="s">
        <v>16</v>
      </c>
      <c r="D58" t="s">
        <v>19</v>
      </c>
      <c r="E58" t="s">
        <v>21</v>
      </c>
      <c r="F58">
        <v>2050</v>
      </c>
      <c r="G58" t="s">
        <v>47</v>
      </c>
      <c r="H58">
        <v>5.6500000000000001E-9</v>
      </c>
      <c r="I58" t="s">
        <v>53</v>
      </c>
      <c r="J58">
        <v>6.002825906769564E-4</v>
      </c>
      <c r="K58" t="s">
        <v>25</v>
      </c>
      <c r="L58">
        <v>3.8265497459758713E-2</v>
      </c>
      <c r="M58">
        <v>106244.7063145056</v>
      </c>
      <c r="N58">
        <v>6772654.4176564086</v>
      </c>
      <c r="P58" s="30">
        <v>15</v>
      </c>
      <c r="Q58" s="31" t="s">
        <v>10</v>
      </c>
      <c r="R58" s="31" t="s">
        <v>16</v>
      </c>
      <c r="S58" s="31" t="s">
        <v>19</v>
      </c>
      <c r="T58" s="31" t="s">
        <v>21</v>
      </c>
      <c r="U58" s="31">
        <v>2050</v>
      </c>
      <c r="V58" s="31" t="s">
        <v>47</v>
      </c>
      <c r="W58" s="31">
        <v>5.6500000000000001E-9</v>
      </c>
      <c r="X58" s="31" t="s">
        <v>53</v>
      </c>
      <c r="Y58" s="31">
        <v>5.7973266022976399E-4</v>
      </c>
      <c r="Z58" s="31" t="s">
        <v>25</v>
      </c>
      <c r="AA58" s="31">
        <v>3.3285199019804979E-2</v>
      </c>
      <c r="AB58" s="31">
        <v>102607.55048314411</v>
      </c>
      <c r="AC58" s="31">
        <v>5891185.6672221189</v>
      </c>
      <c r="AE58" s="13">
        <f t="shared" si="0"/>
        <v>3.482994042899349E-2</v>
      </c>
    </row>
    <row r="59" spans="1:31" hidden="1" x14ac:dyDescent="0.35">
      <c r="A59" s="1">
        <v>16</v>
      </c>
      <c r="B59" t="s">
        <v>10</v>
      </c>
      <c r="C59" t="s">
        <v>16</v>
      </c>
      <c r="D59" t="s">
        <v>19</v>
      </c>
      <c r="E59" t="s">
        <v>21</v>
      </c>
      <c r="F59">
        <v>2050</v>
      </c>
      <c r="G59" t="s">
        <v>48</v>
      </c>
      <c r="H59">
        <v>3.8600000000000001E-10</v>
      </c>
      <c r="I59" t="s">
        <v>53</v>
      </c>
      <c r="J59">
        <v>5.1634572281502312E-5</v>
      </c>
      <c r="K59" t="s">
        <v>25</v>
      </c>
      <c r="L59">
        <v>3.2914874180265011E-3</v>
      </c>
      <c r="M59">
        <v>133768.32197280391</v>
      </c>
      <c r="N59">
        <v>8527169.4767525923</v>
      </c>
      <c r="P59" s="30">
        <v>16</v>
      </c>
      <c r="Q59" s="31" t="s">
        <v>10</v>
      </c>
      <c r="R59" s="31" t="s">
        <v>16</v>
      </c>
      <c r="S59" s="31" t="s">
        <v>19</v>
      </c>
      <c r="T59" s="31" t="s">
        <v>21</v>
      </c>
      <c r="U59" s="31">
        <v>2050</v>
      </c>
      <c r="V59" s="31" t="s">
        <v>48</v>
      </c>
      <c r="W59" s="31">
        <v>3.8600000000000001E-10</v>
      </c>
      <c r="X59" s="31" t="s">
        <v>53</v>
      </c>
      <c r="Y59" s="31">
        <v>5.48958845762348E-5</v>
      </c>
      <c r="Z59" s="31" t="s">
        <v>25</v>
      </c>
      <c r="AA59" s="31">
        <v>3.1518328513077728E-3</v>
      </c>
      <c r="AB59" s="31">
        <v>142217.31755501241</v>
      </c>
      <c r="AC59" s="31">
        <v>8165370.0811082218</v>
      </c>
      <c r="AE59" s="13">
        <f t="shared" si="0"/>
        <v>-6.1227791392797715E-2</v>
      </c>
    </row>
    <row r="60" spans="1:31" hidden="1" x14ac:dyDescent="0.35">
      <c r="A60" s="1">
        <v>17</v>
      </c>
      <c r="B60" t="s">
        <v>10</v>
      </c>
      <c r="C60" t="s">
        <v>16</v>
      </c>
      <c r="D60" t="s">
        <v>19</v>
      </c>
      <c r="E60" t="s">
        <v>21</v>
      </c>
      <c r="F60">
        <v>2050</v>
      </c>
      <c r="G60" t="s">
        <v>49</v>
      </c>
      <c r="H60">
        <v>3.47E-12</v>
      </c>
      <c r="I60" t="s">
        <v>53</v>
      </c>
      <c r="J60">
        <v>2.8985000798184501E-7</v>
      </c>
      <c r="K60" t="s">
        <v>25</v>
      </c>
      <c r="L60">
        <v>1.8476722324451219E-5</v>
      </c>
      <c r="M60">
        <v>83530.261666237755</v>
      </c>
      <c r="N60">
        <v>5324703.8398994859</v>
      </c>
      <c r="P60" s="30">
        <v>17</v>
      </c>
      <c r="Q60" s="31" t="s">
        <v>10</v>
      </c>
      <c r="R60" s="31" t="s">
        <v>16</v>
      </c>
      <c r="S60" s="31" t="s">
        <v>19</v>
      </c>
      <c r="T60" s="31" t="s">
        <v>21</v>
      </c>
      <c r="U60" s="31">
        <v>2050</v>
      </c>
      <c r="V60" s="31" t="s">
        <v>49</v>
      </c>
      <c r="W60" s="31">
        <v>3.47E-12</v>
      </c>
      <c r="X60" s="31" t="s">
        <v>53</v>
      </c>
      <c r="Y60" s="31">
        <v>3.4279108740019658E-7</v>
      </c>
      <c r="Z60" s="31" t="s">
        <v>25</v>
      </c>
      <c r="AA60" s="31">
        <v>1.9681260603480331E-5</v>
      </c>
      <c r="AB60" s="31">
        <v>98787.05688766473</v>
      </c>
      <c r="AC60" s="31">
        <v>5671833.0269395784</v>
      </c>
      <c r="AE60" s="13">
        <f t="shared" si="0"/>
        <v>-0.16736528753757721</v>
      </c>
    </row>
    <row r="61" spans="1:31" hidden="1" x14ac:dyDescent="0.35">
      <c r="A61" s="1">
        <v>18</v>
      </c>
      <c r="B61" t="s">
        <v>10</v>
      </c>
      <c r="C61" t="s">
        <v>16</v>
      </c>
      <c r="D61" t="s">
        <v>19</v>
      </c>
      <c r="E61" t="s">
        <v>21</v>
      </c>
      <c r="F61">
        <v>2050</v>
      </c>
      <c r="G61" t="s">
        <v>50</v>
      </c>
      <c r="H61">
        <v>5.0000000000000004E-6</v>
      </c>
      <c r="I61" t="s">
        <v>54</v>
      </c>
      <c r="P61" s="30">
        <v>18</v>
      </c>
      <c r="Q61" s="31" t="s">
        <v>10</v>
      </c>
      <c r="R61" s="31" t="s">
        <v>16</v>
      </c>
      <c r="S61" s="31" t="s">
        <v>19</v>
      </c>
      <c r="T61" s="31" t="s">
        <v>21</v>
      </c>
      <c r="U61" s="31">
        <v>2050</v>
      </c>
      <c r="V61" s="31" t="s">
        <v>50</v>
      </c>
      <c r="W61" s="31">
        <v>5.0000000000000004E-6</v>
      </c>
      <c r="X61" s="31" t="s">
        <v>54</v>
      </c>
      <c r="Y61" s="31"/>
      <c r="Z61" s="31"/>
      <c r="AA61" s="31"/>
      <c r="AB61" s="31"/>
      <c r="AC61" s="31"/>
    </row>
    <row r="62" spans="1:31" hidden="1" x14ac:dyDescent="0.35">
      <c r="A62" s="1">
        <v>19</v>
      </c>
      <c r="B62" t="s">
        <v>10</v>
      </c>
      <c r="C62" t="s">
        <v>16</v>
      </c>
      <c r="D62" t="s">
        <v>19</v>
      </c>
      <c r="E62" t="s">
        <v>21</v>
      </c>
      <c r="F62">
        <v>2050</v>
      </c>
      <c r="G62" t="s">
        <v>51</v>
      </c>
      <c r="H62">
        <v>4.16E-6</v>
      </c>
      <c r="I62" t="s">
        <v>54</v>
      </c>
      <c r="P62" s="30">
        <v>19</v>
      </c>
      <c r="Q62" s="31" t="s">
        <v>10</v>
      </c>
      <c r="R62" s="31" t="s">
        <v>16</v>
      </c>
      <c r="S62" s="31" t="s">
        <v>19</v>
      </c>
      <c r="T62" s="31" t="s">
        <v>21</v>
      </c>
      <c r="U62" s="31">
        <v>2050</v>
      </c>
      <c r="V62" s="31" t="s">
        <v>51</v>
      </c>
      <c r="W62" s="31">
        <v>4.16E-6</v>
      </c>
      <c r="X62" s="31" t="s">
        <v>54</v>
      </c>
      <c r="Y62" s="31"/>
      <c r="Z62" s="31"/>
      <c r="AA62" s="31"/>
      <c r="AB62" s="31"/>
      <c r="AC62" s="31"/>
    </row>
    <row r="63" spans="1:31" hidden="1" x14ac:dyDescent="0.35">
      <c r="B63" s="1" t="s">
        <v>0</v>
      </c>
      <c r="C63" s="1" t="s">
        <v>1</v>
      </c>
      <c r="D63" s="1" t="s">
        <v>2</v>
      </c>
      <c r="E63" s="1" t="s">
        <v>3</v>
      </c>
      <c r="F63" s="1" t="s">
        <v>4</v>
      </c>
      <c r="G63" s="1" t="s">
        <v>5</v>
      </c>
      <c r="H63" s="1" t="s">
        <v>27</v>
      </c>
      <c r="I63" s="1" t="s">
        <v>28</v>
      </c>
      <c r="J63" s="1" t="s">
        <v>6</v>
      </c>
      <c r="K63" s="1" t="s">
        <v>29</v>
      </c>
      <c r="L63" s="1" t="s">
        <v>30</v>
      </c>
      <c r="M63" s="1" t="s">
        <v>31</v>
      </c>
      <c r="N63" s="1" t="s">
        <v>32</v>
      </c>
      <c r="Q63" s="1" t="s">
        <v>0</v>
      </c>
      <c r="R63" s="1" t="s">
        <v>1</v>
      </c>
      <c r="S63" s="1" t="s">
        <v>2</v>
      </c>
      <c r="T63" s="1" t="s">
        <v>3</v>
      </c>
      <c r="U63" s="1" t="s">
        <v>4</v>
      </c>
      <c r="V63" s="1" t="s">
        <v>5</v>
      </c>
      <c r="W63" s="1" t="s">
        <v>27</v>
      </c>
      <c r="X63" s="1" t="s">
        <v>28</v>
      </c>
      <c r="Y63" s="1" t="s">
        <v>6</v>
      </c>
      <c r="Z63" s="1" t="s">
        <v>29</v>
      </c>
      <c r="AA63" s="1" t="s">
        <v>30</v>
      </c>
      <c r="AB63" s="1" t="s">
        <v>31</v>
      </c>
      <c r="AC63" s="1" t="s">
        <v>32</v>
      </c>
    </row>
    <row r="64" spans="1:31" hidden="1" x14ac:dyDescent="0.35">
      <c r="A64" s="1">
        <v>0</v>
      </c>
      <c r="B64" t="s">
        <v>11</v>
      </c>
      <c r="C64" t="s">
        <v>16</v>
      </c>
      <c r="D64" t="s">
        <v>19</v>
      </c>
      <c r="E64" t="s">
        <v>22</v>
      </c>
      <c r="F64">
        <v>2050</v>
      </c>
      <c r="G64" t="s">
        <v>55</v>
      </c>
      <c r="H64">
        <v>0.2116062390272804</v>
      </c>
      <c r="I64" t="s">
        <v>52</v>
      </c>
      <c r="J64">
        <v>8.6353026668270982E-4</v>
      </c>
      <c r="K64" t="s">
        <v>25</v>
      </c>
      <c r="L64">
        <v>8.4624163092258967E-2</v>
      </c>
      <c r="M64">
        <v>4.0808355682338034E-3</v>
      </c>
      <c r="N64">
        <v>0.39991336494265262</v>
      </c>
      <c r="P64" s="1">
        <v>0</v>
      </c>
      <c r="Q64" t="s">
        <v>11</v>
      </c>
      <c r="R64" t="s">
        <v>16</v>
      </c>
      <c r="S64" t="s">
        <v>19</v>
      </c>
      <c r="T64" t="s">
        <v>22</v>
      </c>
      <c r="U64">
        <v>2050</v>
      </c>
      <c r="V64" t="s">
        <v>55</v>
      </c>
      <c r="W64">
        <v>0.2116062390272804</v>
      </c>
      <c r="X64" t="s">
        <v>52</v>
      </c>
      <c r="Y64">
        <v>9.0805811280414417E-4</v>
      </c>
      <c r="Z64" t="s">
        <v>25</v>
      </c>
      <c r="AA64">
        <v>9.0643807398755757E-2</v>
      </c>
      <c r="AB64">
        <v>4.2912634191616473E-3</v>
      </c>
      <c r="AC64">
        <v>0.42836075068216628</v>
      </c>
      <c r="AE64" s="13">
        <f t="shared" si="0"/>
        <v>-5.0268839688745161E-2</v>
      </c>
    </row>
    <row r="65" spans="1:31" hidden="1" x14ac:dyDescent="0.35">
      <c r="A65" s="1">
        <v>1</v>
      </c>
      <c r="B65" t="s">
        <v>11</v>
      </c>
      <c r="C65" t="s">
        <v>16</v>
      </c>
      <c r="D65" t="s">
        <v>19</v>
      </c>
      <c r="E65" t="s">
        <v>22</v>
      </c>
      <c r="F65">
        <v>2050</v>
      </c>
      <c r="G65" t="s">
        <v>56</v>
      </c>
      <c r="H65">
        <v>0.23018560723254189</v>
      </c>
      <c r="I65" t="s">
        <v>52</v>
      </c>
      <c r="J65">
        <v>6.9612390062625434E-4</v>
      </c>
      <c r="K65" t="s">
        <v>25</v>
      </c>
      <c r="L65">
        <v>6.8218688761561078E-2</v>
      </c>
      <c r="M65">
        <v>3.0241851738497479E-3</v>
      </c>
      <c r="N65">
        <v>0.29636383256857618</v>
      </c>
      <c r="P65" s="1">
        <v>1</v>
      </c>
      <c r="Q65" t="s">
        <v>11</v>
      </c>
      <c r="R65" t="s">
        <v>16</v>
      </c>
      <c r="S65" t="s">
        <v>19</v>
      </c>
      <c r="T65" t="s">
        <v>22</v>
      </c>
      <c r="U65">
        <v>2050</v>
      </c>
      <c r="V65" t="s">
        <v>56</v>
      </c>
      <c r="W65">
        <v>0.23018560723254189</v>
      </c>
      <c r="X65" t="s">
        <v>52</v>
      </c>
      <c r="Y65">
        <v>7.3706925489527885E-4</v>
      </c>
      <c r="Z65" t="s">
        <v>25</v>
      </c>
      <c r="AA65">
        <v>7.3575427209119873E-2</v>
      </c>
      <c r="AB65">
        <v>3.2020649064763841E-3</v>
      </c>
      <c r="AC65">
        <v>0.3196352200022276</v>
      </c>
      <c r="AE65" s="13">
        <f t="shared" si="0"/>
        <v>-5.7138640540220248E-2</v>
      </c>
    </row>
    <row r="66" spans="1:31" hidden="1" x14ac:dyDescent="0.35">
      <c r="A66" s="1">
        <v>2</v>
      </c>
      <c r="B66" t="s">
        <v>11</v>
      </c>
      <c r="C66" t="s">
        <v>16</v>
      </c>
      <c r="D66" t="s">
        <v>19</v>
      </c>
      <c r="E66" t="s">
        <v>22</v>
      </c>
      <c r="F66">
        <v>2050</v>
      </c>
      <c r="G66" t="s">
        <v>57</v>
      </c>
      <c r="H66">
        <v>3.8293354248734521E-2</v>
      </c>
      <c r="I66" t="s">
        <v>52</v>
      </c>
      <c r="J66">
        <v>1.8602624254640971E-4</v>
      </c>
      <c r="K66" t="s">
        <v>25</v>
      </c>
      <c r="L66">
        <v>1.8230183348595649E-2</v>
      </c>
      <c r="M66">
        <v>4.8579249897534706E-3</v>
      </c>
      <c r="N66">
        <v>0.47606650569656228</v>
      </c>
      <c r="P66" s="1">
        <v>2</v>
      </c>
      <c r="Q66" t="s">
        <v>11</v>
      </c>
      <c r="R66" t="s">
        <v>16</v>
      </c>
      <c r="S66" t="s">
        <v>19</v>
      </c>
      <c r="T66" t="s">
        <v>22</v>
      </c>
      <c r="U66">
        <v>2050</v>
      </c>
      <c r="V66" t="s">
        <v>57</v>
      </c>
      <c r="W66">
        <v>3.8293354248734521E-2</v>
      </c>
      <c r="X66" t="s">
        <v>52</v>
      </c>
      <c r="Y66">
        <v>1.93525173427291E-4</v>
      </c>
      <c r="Z66" t="s">
        <v>25</v>
      </c>
      <c r="AA66">
        <v>1.9317991106079919E-2</v>
      </c>
      <c r="AB66">
        <v>5.0537535095580314E-3</v>
      </c>
      <c r="AC66">
        <v>0.50447372618757524</v>
      </c>
      <c r="AE66" s="13">
        <f t="shared" si="0"/>
        <v>-3.951470375439714E-2</v>
      </c>
    </row>
    <row r="67" spans="1:31" hidden="1" x14ac:dyDescent="0.35">
      <c r="A67" s="1">
        <v>3</v>
      </c>
      <c r="B67" t="s">
        <v>11</v>
      </c>
      <c r="C67" t="s">
        <v>16</v>
      </c>
      <c r="D67" t="s">
        <v>19</v>
      </c>
      <c r="E67" t="s">
        <v>22</v>
      </c>
      <c r="F67">
        <v>2050</v>
      </c>
      <c r="G67" t="s">
        <v>33</v>
      </c>
      <c r="H67">
        <v>7.4697569674838565E-2</v>
      </c>
      <c r="I67" t="s">
        <v>52</v>
      </c>
      <c r="J67">
        <v>1.5273038285113321E-4</v>
      </c>
      <c r="K67" t="s">
        <v>25</v>
      </c>
      <c r="L67">
        <v>1.4967258619883919E-2</v>
      </c>
      <c r="M67">
        <v>2.0446499600452138E-3</v>
      </c>
      <c r="N67">
        <v>0.20037142687555951</v>
      </c>
      <c r="P67" s="1">
        <v>3</v>
      </c>
      <c r="Q67" t="s">
        <v>11</v>
      </c>
      <c r="R67" t="s">
        <v>16</v>
      </c>
      <c r="S67" t="s">
        <v>19</v>
      </c>
      <c r="T67" t="s">
        <v>22</v>
      </c>
      <c r="U67">
        <v>2050</v>
      </c>
      <c r="V67" t="s">
        <v>33</v>
      </c>
      <c r="W67">
        <v>7.4697569674838565E-2</v>
      </c>
      <c r="X67" t="s">
        <v>52</v>
      </c>
      <c r="Y67">
        <v>1.5564357556781499E-4</v>
      </c>
      <c r="Z67" t="s">
        <v>25</v>
      </c>
      <c r="AA67">
        <v>1.553658966060649E-2</v>
      </c>
      <c r="AB67">
        <v>2.083649792695231E-3</v>
      </c>
      <c r="AC67">
        <v>0.207993241657498</v>
      </c>
      <c r="AE67" s="13">
        <f t="shared" ref="AE67:AE130" si="1">(M67-AB67)/AVERAGE(M67,AB67)</f>
        <v>-1.8893895785609221E-2</v>
      </c>
    </row>
    <row r="68" spans="1:31" hidden="1" x14ac:dyDescent="0.35">
      <c r="A68" s="1">
        <v>4</v>
      </c>
      <c r="B68" t="s">
        <v>11</v>
      </c>
      <c r="C68" t="s">
        <v>16</v>
      </c>
      <c r="D68" t="s">
        <v>19</v>
      </c>
      <c r="E68" t="s">
        <v>22</v>
      </c>
      <c r="F68">
        <v>2050</v>
      </c>
      <c r="G68" t="s">
        <v>34</v>
      </c>
      <c r="H68">
        <v>1.4228108509779789E-2</v>
      </c>
      <c r="I68" t="s">
        <v>52</v>
      </c>
      <c r="J68">
        <v>3.7391525185727387E-5</v>
      </c>
      <c r="K68" t="s">
        <v>25</v>
      </c>
      <c r="L68">
        <v>3.664291395066928E-3</v>
      </c>
      <c r="M68">
        <v>2.6280039374190919E-3</v>
      </c>
      <c r="N68">
        <v>0.25753889862087093</v>
      </c>
      <c r="P68" s="1">
        <v>4</v>
      </c>
      <c r="Q68" t="s">
        <v>11</v>
      </c>
      <c r="R68" t="s">
        <v>16</v>
      </c>
      <c r="S68" t="s">
        <v>19</v>
      </c>
      <c r="T68" t="s">
        <v>22</v>
      </c>
      <c r="U68">
        <v>2050</v>
      </c>
      <c r="V68" t="s">
        <v>34</v>
      </c>
      <c r="W68">
        <v>1.4228108509779789E-2</v>
      </c>
      <c r="X68" t="s">
        <v>52</v>
      </c>
      <c r="Y68">
        <v>3.9174238226981762E-5</v>
      </c>
      <c r="Z68" t="s">
        <v>25</v>
      </c>
      <c r="AA68">
        <v>3.9104348661938458E-3</v>
      </c>
      <c r="AB68">
        <v>2.753299091024999E-3</v>
      </c>
      <c r="AC68">
        <v>0.27483870139913402</v>
      </c>
      <c r="AE68" s="13">
        <f t="shared" si="1"/>
        <v>-4.6566845592463893E-2</v>
      </c>
    </row>
    <row r="69" spans="1:31" hidden="1" x14ac:dyDescent="0.35">
      <c r="A69" s="1">
        <v>5</v>
      </c>
      <c r="B69" t="s">
        <v>11</v>
      </c>
      <c r="C69" t="s">
        <v>16</v>
      </c>
      <c r="D69" t="s">
        <v>19</v>
      </c>
      <c r="E69" t="s">
        <v>22</v>
      </c>
      <c r="F69">
        <v>2050</v>
      </c>
      <c r="G69" t="s">
        <v>35</v>
      </c>
      <c r="H69">
        <v>0.1215459429050977</v>
      </c>
      <c r="I69" t="s">
        <v>52</v>
      </c>
      <c r="J69">
        <v>1.783764113924348E-3</v>
      </c>
      <c r="K69" t="s">
        <v>25</v>
      </c>
      <c r="L69">
        <v>0.17480515868277821</v>
      </c>
      <c r="M69">
        <v>1.4675636810988411E-2</v>
      </c>
      <c r="N69">
        <v>1.4381817648925139</v>
      </c>
      <c r="P69" s="1">
        <v>5</v>
      </c>
      <c r="Q69" t="s">
        <v>11</v>
      </c>
      <c r="R69" t="s">
        <v>16</v>
      </c>
      <c r="S69" t="s">
        <v>19</v>
      </c>
      <c r="T69" t="s">
        <v>22</v>
      </c>
      <c r="U69">
        <v>2050</v>
      </c>
      <c r="V69" t="s">
        <v>35</v>
      </c>
      <c r="W69">
        <v>0.1215459429050977</v>
      </c>
      <c r="X69" t="s">
        <v>52</v>
      </c>
      <c r="Y69">
        <v>1.8200005613001611E-3</v>
      </c>
      <c r="Z69" t="s">
        <v>25</v>
      </c>
      <c r="AA69">
        <v>0.18167535537420099</v>
      </c>
      <c r="AB69">
        <v>1.497376644419309E-2</v>
      </c>
      <c r="AC69">
        <v>1.494705220363068</v>
      </c>
      <c r="AE69" s="13">
        <f t="shared" si="1"/>
        <v>-2.0110329414645352E-2</v>
      </c>
    </row>
    <row r="70" spans="1:31" hidden="1" x14ac:dyDescent="0.35">
      <c r="A70" s="1">
        <v>6</v>
      </c>
      <c r="B70" t="s">
        <v>11</v>
      </c>
      <c r="C70" t="s">
        <v>16</v>
      </c>
      <c r="D70" t="s">
        <v>19</v>
      </c>
      <c r="E70" t="s">
        <v>22</v>
      </c>
      <c r="F70">
        <v>2050</v>
      </c>
      <c r="G70" t="s">
        <v>36</v>
      </c>
      <c r="H70">
        <v>0.1229642152818928</v>
      </c>
      <c r="I70" t="s">
        <v>52</v>
      </c>
      <c r="J70">
        <v>1.327255345850917E-3</v>
      </c>
      <c r="K70" t="s">
        <v>25</v>
      </c>
      <c r="L70">
        <v>0.13006825259736951</v>
      </c>
      <c r="M70">
        <v>1.0793834147668191E-2</v>
      </c>
      <c r="N70">
        <v>1.057773209052657</v>
      </c>
      <c r="P70" s="1">
        <v>6</v>
      </c>
      <c r="Q70" t="s">
        <v>11</v>
      </c>
      <c r="R70" t="s">
        <v>16</v>
      </c>
      <c r="S70" t="s">
        <v>19</v>
      </c>
      <c r="T70" t="s">
        <v>22</v>
      </c>
      <c r="U70">
        <v>2050</v>
      </c>
      <c r="V70" t="s">
        <v>36</v>
      </c>
      <c r="W70">
        <v>0.1229642152818928</v>
      </c>
      <c r="X70" t="s">
        <v>52</v>
      </c>
      <c r="Y70">
        <v>1.2979133542375761E-3</v>
      </c>
      <c r="Z70" t="s">
        <v>25</v>
      </c>
      <c r="AA70">
        <v>0.12955977865610341</v>
      </c>
      <c r="AB70">
        <v>1.0555211947330679E-2</v>
      </c>
      <c r="AC70">
        <v>1.0536380715242271</v>
      </c>
      <c r="AE70" s="13">
        <f t="shared" si="1"/>
        <v>2.2354366492600329E-2</v>
      </c>
    </row>
    <row r="71" spans="1:31" hidden="1" x14ac:dyDescent="0.35">
      <c r="A71" s="1">
        <v>7</v>
      </c>
      <c r="B71" t="s">
        <v>11</v>
      </c>
      <c r="C71" t="s">
        <v>16</v>
      </c>
      <c r="D71" t="s">
        <v>19</v>
      </c>
      <c r="E71" t="s">
        <v>22</v>
      </c>
      <c r="F71">
        <v>2050</v>
      </c>
      <c r="G71" t="s">
        <v>37</v>
      </c>
      <c r="H71">
        <v>0.1104834183540533</v>
      </c>
      <c r="I71" t="s">
        <v>52</v>
      </c>
      <c r="J71">
        <v>1.2596040311575951E-3</v>
      </c>
      <c r="K71" t="s">
        <v>25</v>
      </c>
      <c r="L71">
        <v>0.1234385650126992</v>
      </c>
      <c r="M71">
        <v>1.140084231573184E-2</v>
      </c>
      <c r="N71">
        <v>1.1172587420958511</v>
      </c>
      <c r="P71" s="1">
        <v>7</v>
      </c>
      <c r="Q71" t="s">
        <v>11</v>
      </c>
      <c r="R71" t="s">
        <v>16</v>
      </c>
      <c r="S71" t="s">
        <v>19</v>
      </c>
      <c r="T71" t="s">
        <v>22</v>
      </c>
      <c r="U71">
        <v>2050</v>
      </c>
      <c r="V71" t="s">
        <v>37</v>
      </c>
      <c r="W71">
        <v>0.1104834183540533</v>
      </c>
      <c r="X71" t="s">
        <v>52</v>
      </c>
      <c r="Y71">
        <v>1.239424208697358E-3</v>
      </c>
      <c r="Z71" t="s">
        <v>25</v>
      </c>
      <c r="AA71">
        <v>0.1237212989723601</v>
      </c>
      <c r="AB71">
        <v>1.1218192079516579E-2</v>
      </c>
      <c r="AC71">
        <v>1.1198178044770919</v>
      </c>
      <c r="AE71" s="13">
        <f t="shared" si="1"/>
        <v>1.6150135591431764E-2</v>
      </c>
    </row>
    <row r="72" spans="1:31" x14ac:dyDescent="0.35">
      <c r="A72" s="1">
        <v>8</v>
      </c>
      <c r="B72" t="s">
        <v>11</v>
      </c>
      <c r="C72" t="s">
        <v>16</v>
      </c>
      <c r="D72" t="s">
        <v>19</v>
      </c>
      <c r="E72" t="s">
        <v>22</v>
      </c>
      <c r="F72">
        <v>2050</v>
      </c>
      <c r="G72" s="32" t="s">
        <v>38</v>
      </c>
      <c r="H72">
        <v>1.3899069316677349E-2</v>
      </c>
      <c r="I72" t="s">
        <v>52</v>
      </c>
      <c r="J72">
        <v>3.2027311065271919E-3</v>
      </c>
      <c r="K72" t="s">
        <v>25</v>
      </c>
      <c r="L72">
        <v>0.31386096116882622</v>
      </c>
      <c r="M72">
        <v>0.23042773825757309</v>
      </c>
      <c r="N72">
        <v>22.581437218406261</v>
      </c>
      <c r="P72" s="1">
        <v>8</v>
      </c>
      <c r="Q72" t="s">
        <v>11</v>
      </c>
      <c r="R72" t="s">
        <v>16</v>
      </c>
      <c r="S72" t="s">
        <v>19</v>
      </c>
      <c r="T72" t="s">
        <v>22</v>
      </c>
      <c r="U72">
        <v>2050</v>
      </c>
      <c r="V72" t="s">
        <v>38</v>
      </c>
      <c r="W72">
        <v>1.3899069316677349E-2</v>
      </c>
      <c r="X72" t="s">
        <v>52</v>
      </c>
      <c r="Y72">
        <v>5.6964866084069626E-4</v>
      </c>
      <c r="Z72" t="s">
        <v>25</v>
      </c>
      <c r="AA72">
        <v>5.6863236801828129E-2</v>
      </c>
      <c r="AB72">
        <v>4.0984662200164793E-2</v>
      </c>
      <c r="AC72">
        <v>4.0911542712862454</v>
      </c>
      <c r="AE72" s="37">
        <f t="shared" si="1"/>
        <v>1.395979518532771</v>
      </c>
    </row>
    <row r="73" spans="1:31" hidden="1" x14ac:dyDescent="0.35">
      <c r="A73" s="1">
        <v>9</v>
      </c>
      <c r="B73" t="s">
        <v>11</v>
      </c>
      <c r="C73" t="s">
        <v>16</v>
      </c>
      <c r="D73" t="s">
        <v>19</v>
      </c>
      <c r="E73" t="s">
        <v>22</v>
      </c>
      <c r="F73">
        <v>2050</v>
      </c>
      <c r="G73" t="s">
        <v>39</v>
      </c>
      <c r="H73">
        <v>2.5528902827471871E-3</v>
      </c>
      <c r="I73" t="s">
        <v>52</v>
      </c>
      <c r="J73">
        <v>0</v>
      </c>
      <c r="K73" t="s">
        <v>25</v>
      </c>
      <c r="L73">
        <v>0</v>
      </c>
      <c r="M73">
        <v>0</v>
      </c>
      <c r="N73">
        <v>0</v>
      </c>
      <c r="P73" s="1">
        <v>9</v>
      </c>
      <c r="Q73" t="s">
        <v>11</v>
      </c>
      <c r="R73" t="s">
        <v>16</v>
      </c>
      <c r="S73" t="s">
        <v>19</v>
      </c>
      <c r="T73" t="s">
        <v>22</v>
      </c>
      <c r="U73">
        <v>2050</v>
      </c>
      <c r="V73" t="s">
        <v>39</v>
      </c>
      <c r="W73">
        <v>2.5528902827471871E-3</v>
      </c>
      <c r="X73" t="s">
        <v>52</v>
      </c>
      <c r="Y73">
        <v>0</v>
      </c>
      <c r="Z73" t="s">
        <v>25</v>
      </c>
      <c r="AA73">
        <v>0</v>
      </c>
      <c r="AB73">
        <v>0</v>
      </c>
      <c r="AC73">
        <v>0</v>
      </c>
    </row>
    <row r="74" spans="1:31" hidden="1" x14ac:dyDescent="0.35">
      <c r="A74" s="1">
        <v>10</v>
      </c>
      <c r="B74" t="s">
        <v>11</v>
      </c>
      <c r="C74" t="s">
        <v>16</v>
      </c>
      <c r="D74" t="s">
        <v>19</v>
      </c>
      <c r="E74" t="s">
        <v>22</v>
      </c>
      <c r="F74">
        <v>2050</v>
      </c>
      <c r="G74" t="s">
        <v>42</v>
      </c>
      <c r="H74">
        <v>2.1375884387427092E-2</v>
      </c>
      <c r="I74" t="s">
        <v>52</v>
      </c>
      <c r="J74">
        <v>2.9498970391903868E-4</v>
      </c>
      <c r="K74" t="s">
        <v>25</v>
      </c>
      <c r="L74">
        <v>2.8908375048484841E-2</v>
      </c>
      <c r="M74">
        <v>1.3800116924871949E-2</v>
      </c>
      <c r="N74">
        <v>1.352382644129954</v>
      </c>
      <c r="P74" s="1">
        <v>10</v>
      </c>
      <c r="Q74" t="s">
        <v>11</v>
      </c>
      <c r="R74" t="s">
        <v>16</v>
      </c>
      <c r="S74" t="s">
        <v>19</v>
      </c>
      <c r="T74" t="s">
        <v>22</v>
      </c>
      <c r="U74">
        <v>2050</v>
      </c>
      <c r="V74" t="s">
        <v>42</v>
      </c>
      <c r="W74">
        <v>2.1375884387427092E-2</v>
      </c>
      <c r="X74" t="s">
        <v>52</v>
      </c>
      <c r="Y74">
        <v>2.9330501280497431E-4</v>
      </c>
      <c r="Z74" t="s">
        <v>25</v>
      </c>
      <c r="AA74">
        <v>2.927817362666742E-2</v>
      </c>
      <c r="AB74">
        <v>1.3721304227182809E-2</v>
      </c>
      <c r="AC74">
        <v>1.3696824466307611</v>
      </c>
      <c r="AE74" s="13">
        <f t="shared" si="1"/>
        <v>5.7273712177654708E-3</v>
      </c>
    </row>
    <row r="75" spans="1:31" hidden="1" x14ac:dyDescent="0.35">
      <c r="A75" s="1">
        <v>11</v>
      </c>
      <c r="B75" t="s">
        <v>11</v>
      </c>
      <c r="C75" t="s">
        <v>16</v>
      </c>
      <c r="D75" t="s">
        <v>19</v>
      </c>
      <c r="E75" t="s">
        <v>22</v>
      </c>
      <c r="F75">
        <v>2050</v>
      </c>
      <c r="G75" t="s">
        <v>44</v>
      </c>
      <c r="H75">
        <v>2.7096191477020259E-3</v>
      </c>
      <c r="I75" t="s">
        <v>52</v>
      </c>
      <c r="J75">
        <v>4.9985937469354339E-5</v>
      </c>
      <c r="K75" t="s">
        <v>25</v>
      </c>
      <c r="L75">
        <v>4.8985175018542246E-3</v>
      </c>
      <c r="M75">
        <v>1.8447587924578408E-2</v>
      </c>
      <c r="N75">
        <v>1.8078250982277571</v>
      </c>
      <c r="P75" s="1">
        <v>11</v>
      </c>
      <c r="Q75" t="s">
        <v>11</v>
      </c>
      <c r="R75" t="s">
        <v>16</v>
      </c>
      <c r="S75" t="s">
        <v>19</v>
      </c>
      <c r="T75" t="s">
        <v>22</v>
      </c>
      <c r="U75">
        <v>2050</v>
      </c>
      <c r="V75" t="s">
        <v>44</v>
      </c>
      <c r="W75">
        <v>2.7096191477020259E-3</v>
      </c>
      <c r="X75" t="s">
        <v>52</v>
      </c>
      <c r="Y75">
        <v>4.9307508375244768E-5</v>
      </c>
      <c r="Z75" t="s">
        <v>25</v>
      </c>
      <c r="AA75">
        <v>4.9219540351623028E-3</v>
      </c>
      <c r="AB75">
        <v>1.8197209898321499E-2</v>
      </c>
      <c r="AC75">
        <v>1.8164744810489379</v>
      </c>
      <c r="AE75" s="13">
        <f t="shared" si="1"/>
        <v>1.3665133450426283E-2</v>
      </c>
    </row>
    <row r="76" spans="1:31" x14ac:dyDescent="0.35">
      <c r="A76" s="1">
        <v>12</v>
      </c>
      <c r="B76" t="s">
        <v>11</v>
      </c>
      <c r="C76" t="s">
        <v>16</v>
      </c>
      <c r="D76" t="s">
        <v>19</v>
      </c>
      <c r="E76" t="s">
        <v>22</v>
      </c>
      <c r="F76">
        <v>2050</v>
      </c>
      <c r="G76" s="33" t="s">
        <v>46</v>
      </c>
      <c r="H76">
        <v>3.5458081631227323E-2</v>
      </c>
      <c r="I76" t="s">
        <v>52</v>
      </c>
      <c r="J76">
        <v>-1.9858489448901259E-3</v>
      </c>
      <c r="K76" t="s">
        <v>25</v>
      </c>
      <c r="L76">
        <v>-0.19460905016629829</v>
      </c>
      <c r="M76">
        <v>-5.6005538188541593E-2</v>
      </c>
      <c r="N76">
        <v>-5.4884258034678766</v>
      </c>
      <c r="P76" s="1">
        <v>12</v>
      </c>
      <c r="Q76" t="s">
        <v>11</v>
      </c>
      <c r="R76" t="s">
        <v>16</v>
      </c>
      <c r="S76" t="s">
        <v>19</v>
      </c>
      <c r="T76" t="s">
        <v>22</v>
      </c>
      <c r="U76">
        <v>2050</v>
      </c>
      <c r="V76" t="s">
        <v>46</v>
      </c>
      <c r="W76">
        <v>3.5458081631227323E-2</v>
      </c>
      <c r="X76" t="s">
        <v>52</v>
      </c>
      <c r="Y76">
        <v>4.0184814521954701E-4</v>
      </c>
      <c r="Z76" t="s">
        <v>25</v>
      </c>
      <c r="AA76">
        <v>4.0113122018529047E-2</v>
      </c>
      <c r="AB76" s="31">
        <v>1.133304811576852E-2</v>
      </c>
      <c r="AC76">
        <v>1.131282916986748</v>
      </c>
      <c r="AE76" s="37">
        <f t="shared" si="1"/>
        <v>3.014767531185889</v>
      </c>
    </row>
    <row r="77" spans="1:31" hidden="1" x14ac:dyDescent="0.35">
      <c r="A77" s="1">
        <v>13</v>
      </c>
      <c r="B77" t="s">
        <v>11</v>
      </c>
      <c r="C77" t="s">
        <v>16</v>
      </c>
      <c r="D77" t="s">
        <v>19</v>
      </c>
      <c r="E77" t="s">
        <v>22</v>
      </c>
      <c r="F77">
        <v>2050</v>
      </c>
      <c r="G77" t="s">
        <v>24</v>
      </c>
      <c r="H77">
        <v>3.1242684515255099E-2</v>
      </c>
      <c r="I77" t="s">
        <v>52</v>
      </c>
      <c r="J77">
        <v>3.1880969581746352E-4</v>
      </c>
      <c r="K77" t="s">
        <v>25</v>
      </c>
      <c r="L77">
        <v>3.1242684518623241E-2</v>
      </c>
      <c r="M77">
        <v>1.020429904676712E-2</v>
      </c>
      <c r="N77">
        <v>1.000000000107806</v>
      </c>
      <c r="P77" s="1">
        <v>13</v>
      </c>
      <c r="Q77" t="s">
        <v>11</v>
      </c>
      <c r="R77" t="s">
        <v>16</v>
      </c>
      <c r="S77" t="s">
        <v>19</v>
      </c>
      <c r="T77" t="s">
        <v>22</v>
      </c>
      <c r="U77">
        <v>2050</v>
      </c>
      <c r="V77" t="s">
        <v>24</v>
      </c>
      <c r="W77">
        <v>3.1242684515255099E-2</v>
      </c>
      <c r="X77" t="s">
        <v>52</v>
      </c>
      <c r="Y77">
        <v>3.1298523257141108E-4</v>
      </c>
      <c r="Z77" t="s">
        <v>25</v>
      </c>
      <c r="AA77">
        <v>3.1242684515255061E-2</v>
      </c>
      <c r="AB77">
        <v>1.0017872581294589E-2</v>
      </c>
      <c r="AC77">
        <v>0.99999999999999878</v>
      </c>
      <c r="AE77" s="13">
        <f t="shared" si="1"/>
        <v>1.8437828429250572E-2</v>
      </c>
    </row>
    <row r="78" spans="1:31" hidden="1" x14ac:dyDescent="0.35">
      <c r="A78" s="1">
        <v>14</v>
      </c>
      <c r="B78" t="s">
        <v>11</v>
      </c>
      <c r="C78" t="s">
        <v>16</v>
      </c>
      <c r="D78" t="s">
        <v>19</v>
      </c>
      <c r="E78" t="s">
        <v>22</v>
      </c>
      <c r="F78">
        <v>2050</v>
      </c>
      <c r="G78" t="s">
        <v>47</v>
      </c>
      <c r="H78">
        <v>5.6500000000000001E-9</v>
      </c>
      <c r="I78" t="s">
        <v>53</v>
      </c>
      <c r="J78">
        <v>6.0028132445237884E-4</v>
      </c>
      <c r="K78" t="s">
        <v>25</v>
      </c>
      <c r="L78">
        <v>5.8826316414871349E-2</v>
      </c>
      <c r="M78">
        <v>106244.4822039609</v>
      </c>
      <c r="N78">
        <v>10411737.4185613</v>
      </c>
      <c r="P78" s="1">
        <v>14</v>
      </c>
      <c r="Q78" t="s">
        <v>11</v>
      </c>
      <c r="R78" t="s">
        <v>16</v>
      </c>
      <c r="S78" t="s">
        <v>19</v>
      </c>
      <c r="T78" t="s">
        <v>22</v>
      </c>
      <c r="U78">
        <v>2050</v>
      </c>
      <c r="V78" t="s">
        <v>47</v>
      </c>
      <c r="W78">
        <v>5.6500000000000001E-9</v>
      </c>
      <c r="X78" t="s">
        <v>53</v>
      </c>
      <c r="Y78">
        <v>5.7973095170574533E-4</v>
      </c>
      <c r="Z78" t="s">
        <v>25</v>
      </c>
      <c r="AA78">
        <v>5.786966713753381E-2</v>
      </c>
      <c r="AB78">
        <v>102607.2480895124</v>
      </c>
      <c r="AC78">
        <v>10242418.962395361</v>
      </c>
      <c r="AE78" s="13">
        <f t="shared" si="1"/>
        <v>3.4830777885704323E-2</v>
      </c>
    </row>
    <row r="79" spans="1:31" hidden="1" x14ac:dyDescent="0.35">
      <c r="A79" s="1">
        <v>15</v>
      </c>
      <c r="B79" t="s">
        <v>11</v>
      </c>
      <c r="C79" t="s">
        <v>16</v>
      </c>
      <c r="D79" t="s">
        <v>19</v>
      </c>
      <c r="E79" t="s">
        <v>22</v>
      </c>
      <c r="F79">
        <v>2050</v>
      </c>
      <c r="G79" t="s">
        <v>48</v>
      </c>
      <c r="H79">
        <v>3.8600000000000001E-10</v>
      </c>
      <c r="I79" t="s">
        <v>53</v>
      </c>
      <c r="J79">
        <v>5.1634555782934412E-5</v>
      </c>
      <c r="K79" t="s">
        <v>25</v>
      </c>
      <c r="L79">
        <v>5.060078654286356E-3</v>
      </c>
      <c r="M79">
        <v>133768.27923039999</v>
      </c>
      <c r="N79">
        <v>13109012.057736671</v>
      </c>
      <c r="P79" s="1">
        <v>15</v>
      </c>
      <c r="Q79" t="s">
        <v>11</v>
      </c>
      <c r="R79" t="s">
        <v>16</v>
      </c>
      <c r="S79" t="s">
        <v>19</v>
      </c>
      <c r="T79" t="s">
        <v>22</v>
      </c>
      <c r="U79">
        <v>2050</v>
      </c>
      <c r="V79" t="s">
        <v>48</v>
      </c>
      <c r="W79">
        <v>3.8600000000000001E-10</v>
      </c>
      <c r="X79" t="s">
        <v>53</v>
      </c>
      <c r="Y79">
        <v>5.4895862370416148E-5</v>
      </c>
      <c r="Z79" t="s">
        <v>25</v>
      </c>
      <c r="AA79">
        <v>5.4797924334671457E-3</v>
      </c>
      <c r="AB79">
        <v>142217.26002698479</v>
      </c>
      <c r="AC79">
        <v>14196353.4545781</v>
      </c>
      <c r="AE79" s="13">
        <f t="shared" si="1"/>
        <v>-6.1227706490123462E-2</v>
      </c>
    </row>
    <row r="80" spans="1:31" hidden="1" x14ac:dyDescent="0.35">
      <c r="A80" s="1">
        <v>16</v>
      </c>
      <c r="B80" t="s">
        <v>11</v>
      </c>
      <c r="C80" t="s">
        <v>16</v>
      </c>
      <c r="D80" t="s">
        <v>19</v>
      </c>
      <c r="E80" t="s">
        <v>22</v>
      </c>
      <c r="F80">
        <v>2050</v>
      </c>
      <c r="G80" t="s">
        <v>49</v>
      </c>
      <c r="H80">
        <v>3.47E-12</v>
      </c>
      <c r="I80" t="s">
        <v>53</v>
      </c>
      <c r="J80">
        <v>2.8984973792147901E-7</v>
      </c>
      <c r="K80" t="s">
        <v>25</v>
      </c>
      <c r="L80">
        <v>2.840466911292211E-5</v>
      </c>
      <c r="M80">
        <v>83530.183839042948</v>
      </c>
      <c r="N80">
        <v>8185783.6060294267</v>
      </c>
      <c r="P80" s="1">
        <v>16</v>
      </c>
      <c r="Q80" t="s">
        <v>11</v>
      </c>
      <c r="R80" t="s">
        <v>16</v>
      </c>
      <c r="S80" t="s">
        <v>19</v>
      </c>
      <c r="T80" t="s">
        <v>22</v>
      </c>
      <c r="U80">
        <v>2050</v>
      </c>
      <c r="V80" t="s">
        <v>49</v>
      </c>
      <c r="W80">
        <v>3.47E-12</v>
      </c>
      <c r="X80" t="s">
        <v>53</v>
      </c>
      <c r="Y80">
        <v>3.4279072278681678E-7</v>
      </c>
      <c r="Z80" t="s">
        <v>25</v>
      </c>
      <c r="AA80">
        <v>3.4217916030083717E-5</v>
      </c>
      <c r="AB80">
        <v>98786.951811762759</v>
      </c>
      <c r="AC80">
        <v>9861070.9020414185</v>
      </c>
      <c r="AE80" s="13">
        <f t="shared" si="1"/>
        <v>-0.16736515652528997</v>
      </c>
    </row>
    <row r="81" spans="1:31" hidden="1" x14ac:dyDescent="0.35">
      <c r="A81" s="1">
        <v>17</v>
      </c>
      <c r="B81" t="s">
        <v>11</v>
      </c>
      <c r="C81" t="s">
        <v>16</v>
      </c>
      <c r="D81" t="s">
        <v>19</v>
      </c>
      <c r="E81" t="s">
        <v>22</v>
      </c>
      <c r="F81">
        <v>2050</v>
      </c>
      <c r="G81" t="s">
        <v>50</v>
      </c>
      <c r="H81">
        <v>5.0000000000000004E-6</v>
      </c>
      <c r="I81" t="s">
        <v>54</v>
      </c>
      <c r="P81" s="1">
        <v>17</v>
      </c>
      <c r="Q81" t="s">
        <v>11</v>
      </c>
      <c r="R81" t="s">
        <v>16</v>
      </c>
      <c r="S81" t="s">
        <v>19</v>
      </c>
      <c r="T81" t="s">
        <v>22</v>
      </c>
      <c r="U81">
        <v>2050</v>
      </c>
      <c r="V81" t="s">
        <v>50</v>
      </c>
      <c r="W81">
        <v>5.0000000000000004E-6</v>
      </c>
      <c r="X81" t="s">
        <v>54</v>
      </c>
    </row>
    <row r="82" spans="1:31" hidden="1" x14ac:dyDescent="0.35">
      <c r="A82" s="1">
        <v>18</v>
      </c>
      <c r="B82" t="s">
        <v>11</v>
      </c>
      <c r="C82" t="s">
        <v>16</v>
      </c>
      <c r="D82" t="s">
        <v>19</v>
      </c>
      <c r="E82" t="s">
        <v>22</v>
      </c>
      <c r="F82">
        <v>2050</v>
      </c>
      <c r="G82" t="s">
        <v>51</v>
      </c>
      <c r="H82">
        <v>4.16E-6</v>
      </c>
      <c r="I82" t="s">
        <v>54</v>
      </c>
      <c r="P82" s="1">
        <v>18</v>
      </c>
      <c r="Q82" t="s">
        <v>11</v>
      </c>
      <c r="R82" t="s">
        <v>16</v>
      </c>
      <c r="S82" t="s">
        <v>19</v>
      </c>
      <c r="T82" t="s">
        <v>22</v>
      </c>
      <c r="U82">
        <v>2050</v>
      </c>
      <c r="V82" t="s">
        <v>51</v>
      </c>
      <c r="W82">
        <v>4.16E-6</v>
      </c>
      <c r="X82" t="s">
        <v>54</v>
      </c>
    </row>
    <row r="83" spans="1:31" hidden="1" x14ac:dyDescent="0.35">
      <c r="B83" s="1" t="s">
        <v>0</v>
      </c>
      <c r="C83" s="1" t="s">
        <v>1</v>
      </c>
      <c r="D83" s="1" t="s">
        <v>2</v>
      </c>
      <c r="E83" s="1" t="s">
        <v>3</v>
      </c>
      <c r="F83" s="1" t="s">
        <v>4</v>
      </c>
      <c r="G83" s="1" t="s">
        <v>5</v>
      </c>
      <c r="H83" s="1" t="s">
        <v>27</v>
      </c>
      <c r="I83" s="1" t="s">
        <v>28</v>
      </c>
      <c r="J83" s="1" t="s">
        <v>6</v>
      </c>
      <c r="K83" s="1" t="s">
        <v>29</v>
      </c>
      <c r="L83" s="1" t="s">
        <v>30</v>
      </c>
      <c r="M83" s="1" t="s">
        <v>31</v>
      </c>
      <c r="N83" s="1" t="s">
        <v>32</v>
      </c>
      <c r="P83" s="31"/>
      <c r="Q83" s="30" t="s">
        <v>0</v>
      </c>
      <c r="R83" s="30" t="s">
        <v>1</v>
      </c>
      <c r="S83" s="30" t="s">
        <v>2</v>
      </c>
      <c r="T83" s="30" t="s">
        <v>3</v>
      </c>
      <c r="U83" s="30" t="s">
        <v>4</v>
      </c>
      <c r="V83" s="30" t="s">
        <v>5</v>
      </c>
      <c r="W83" s="30" t="s">
        <v>27</v>
      </c>
      <c r="X83" s="30" t="s">
        <v>28</v>
      </c>
      <c r="Y83" s="30" t="s">
        <v>6</v>
      </c>
      <c r="Z83" s="30" t="s">
        <v>29</v>
      </c>
      <c r="AA83" s="30" t="s">
        <v>30</v>
      </c>
      <c r="AB83" s="30" t="s">
        <v>31</v>
      </c>
      <c r="AC83" s="30" t="s">
        <v>32</v>
      </c>
    </row>
    <row r="84" spans="1:31" hidden="1" x14ac:dyDescent="0.35">
      <c r="A84" s="1">
        <v>0</v>
      </c>
      <c r="B84" t="s">
        <v>12</v>
      </c>
      <c r="C84" t="s">
        <v>16</v>
      </c>
      <c r="D84" t="s">
        <v>18</v>
      </c>
      <c r="E84" t="s">
        <v>23</v>
      </c>
      <c r="F84">
        <v>2050</v>
      </c>
      <c r="G84" t="s">
        <v>55</v>
      </c>
      <c r="H84">
        <v>0.1238413121453323</v>
      </c>
      <c r="I84" t="s">
        <v>52</v>
      </c>
      <c r="J84">
        <v>7.2734037478822458E-4</v>
      </c>
      <c r="K84" t="s">
        <v>25</v>
      </c>
      <c r="L84">
        <v>2.328465564401987E-2</v>
      </c>
      <c r="M84">
        <v>5.8731643115559383E-3</v>
      </c>
      <c r="N84">
        <v>0.1880200979838979</v>
      </c>
      <c r="P84" s="30">
        <v>0</v>
      </c>
      <c r="Q84" s="31" t="s">
        <v>12</v>
      </c>
      <c r="R84" s="31" t="s">
        <v>16</v>
      </c>
      <c r="S84" s="31" t="s">
        <v>18</v>
      </c>
      <c r="T84" s="31" t="s">
        <v>23</v>
      </c>
      <c r="U84" s="31">
        <v>2050</v>
      </c>
      <c r="V84" s="31" t="s">
        <v>55</v>
      </c>
      <c r="W84" s="31">
        <v>0.1238413121453323</v>
      </c>
      <c r="X84" s="31" t="s">
        <v>52</v>
      </c>
      <c r="Y84" s="31">
        <v>7.1700762271516597E-4</v>
      </c>
      <c r="Z84" s="31" t="s">
        <v>25</v>
      </c>
      <c r="AA84" s="31">
        <v>2.5356249419708279E-2</v>
      </c>
      <c r="AB84" s="31">
        <v>5.7897288900955069E-3</v>
      </c>
      <c r="AC84" s="31">
        <v>0.20474790665938511</v>
      </c>
      <c r="AE84" s="13">
        <f t="shared" si="1"/>
        <v>1.43078428341635E-2</v>
      </c>
    </row>
    <row r="85" spans="1:31" hidden="1" x14ac:dyDescent="0.35">
      <c r="A85" s="1">
        <v>1</v>
      </c>
      <c r="B85" t="s">
        <v>12</v>
      </c>
      <c r="C85" t="s">
        <v>16</v>
      </c>
      <c r="D85" t="s">
        <v>18</v>
      </c>
      <c r="E85" t="s">
        <v>23</v>
      </c>
      <c r="F85">
        <v>2050</v>
      </c>
      <c r="G85" t="s">
        <v>56</v>
      </c>
      <c r="H85">
        <v>0.1200885451119403</v>
      </c>
      <c r="I85" t="s">
        <v>52</v>
      </c>
      <c r="J85">
        <v>5.601674143853266E-4</v>
      </c>
      <c r="K85" t="s">
        <v>25</v>
      </c>
      <c r="L85">
        <v>1.7932876819551032E-2</v>
      </c>
      <c r="M85">
        <v>4.6646198758022051E-3</v>
      </c>
      <c r="N85">
        <v>0.149330452815753</v>
      </c>
      <c r="P85" s="30">
        <v>1</v>
      </c>
      <c r="Q85" s="31" t="s">
        <v>12</v>
      </c>
      <c r="R85" s="31" t="s">
        <v>16</v>
      </c>
      <c r="S85" s="31" t="s">
        <v>18</v>
      </c>
      <c r="T85" s="31" t="s">
        <v>23</v>
      </c>
      <c r="U85" s="31">
        <v>2050</v>
      </c>
      <c r="V85" s="31" t="s">
        <v>56</v>
      </c>
      <c r="W85" s="31">
        <v>0.1200885451119403</v>
      </c>
      <c r="X85" s="31" t="s">
        <v>52</v>
      </c>
      <c r="Y85" s="31">
        <v>5.485924628432213E-4</v>
      </c>
      <c r="Z85" s="31" t="s">
        <v>25</v>
      </c>
      <c r="AA85" s="31">
        <v>1.9400417620316801E-2</v>
      </c>
      <c r="AB85" s="31">
        <v>4.5682330677905359E-3</v>
      </c>
      <c r="AC85" s="31">
        <v>0.16155094228373509</v>
      </c>
      <c r="AE85" s="13">
        <f t="shared" si="1"/>
        <v>2.0879095248356169E-2</v>
      </c>
    </row>
    <row r="86" spans="1:31" hidden="1" x14ac:dyDescent="0.35">
      <c r="A86" s="1">
        <v>2</v>
      </c>
      <c r="B86" t="s">
        <v>12</v>
      </c>
      <c r="C86" t="s">
        <v>16</v>
      </c>
      <c r="D86" t="s">
        <v>18</v>
      </c>
      <c r="E86" t="s">
        <v>23</v>
      </c>
      <c r="F86">
        <v>2050</v>
      </c>
      <c r="G86" t="s">
        <v>33</v>
      </c>
      <c r="H86">
        <v>7.0702130932249987E-2</v>
      </c>
      <c r="I86" t="s">
        <v>52</v>
      </c>
      <c r="J86">
        <v>2.7781603760886981E-4</v>
      </c>
      <c r="K86" t="s">
        <v>25</v>
      </c>
      <c r="L86">
        <v>8.8938425424164077E-3</v>
      </c>
      <c r="M86">
        <v>3.9293870488159091E-3</v>
      </c>
      <c r="N86">
        <v>0.1257931327549221</v>
      </c>
      <c r="P86" s="30">
        <v>2</v>
      </c>
      <c r="Q86" s="31" t="s">
        <v>12</v>
      </c>
      <c r="R86" s="31" t="s">
        <v>16</v>
      </c>
      <c r="S86" s="31" t="s">
        <v>18</v>
      </c>
      <c r="T86" s="31" t="s">
        <v>23</v>
      </c>
      <c r="U86" s="31">
        <v>2050</v>
      </c>
      <c r="V86" s="31" t="s">
        <v>33</v>
      </c>
      <c r="W86" s="31">
        <v>7.0702130932249987E-2</v>
      </c>
      <c r="X86" s="31" t="s">
        <v>52</v>
      </c>
      <c r="Y86" s="31">
        <v>2.7127980098588588E-4</v>
      </c>
      <c r="Z86" s="31" t="s">
        <v>25</v>
      </c>
      <c r="AA86" s="31">
        <v>9.5935357985162065E-3</v>
      </c>
      <c r="AB86" s="31">
        <v>3.8369395293875739E-3</v>
      </c>
      <c r="AC86" s="31">
        <v>0.13568948590402699</v>
      </c>
      <c r="AE86" s="13">
        <f t="shared" si="1"/>
        <v>2.3807270656836153E-2</v>
      </c>
    </row>
    <row r="87" spans="1:31" hidden="1" x14ac:dyDescent="0.35">
      <c r="A87" s="1">
        <v>3</v>
      </c>
      <c r="B87" t="s">
        <v>12</v>
      </c>
      <c r="C87" t="s">
        <v>16</v>
      </c>
      <c r="D87" t="s">
        <v>18</v>
      </c>
      <c r="E87" t="s">
        <v>23</v>
      </c>
      <c r="F87">
        <v>2050</v>
      </c>
      <c r="G87" t="s">
        <v>34</v>
      </c>
      <c r="H87">
        <v>1.346707255845492E-2</v>
      </c>
      <c r="I87" t="s">
        <v>52</v>
      </c>
      <c r="J87">
        <v>8.0468970651332344E-5</v>
      </c>
      <c r="K87" t="s">
        <v>25</v>
      </c>
      <c r="L87">
        <v>2.5760872578956808E-3</v>
      </c>
      <c r="M87">
        <v>5.9752385161697353E-3</v>
      </c>
      <c r="N87">
        <v>0.19128784275231051</v>
      </c>
      <c r="P87" s="30">
        <v>3</v>
      </c>
      <c r="Q87" s="31" t="s">
        <v>12</v>
      </c>
      <c r="R87" s="31" t="s">
        <v>16</v>
      </c>
      <c r="S87" s="31" t="s">
        <v>18</v>
      </c>
      <c r="T87" s="31" t="s">
        <v>23</v>
      </c>
      <c r="U87" s="31">
        <v>2050</v>
      </c>
      <c r="V87" s="31" t="s">
        <v>34</v>
      </c>
      <c r="W87" s="31">
        <v>1.346707255845492E-2</v>
      </c>
      <c r="X87" s="31" t="s">
        <v>52</v>
      </c>
      <c r="Y87" s="31">
        <v>7.8503034537038326E-5</v>
      </c>
      <c r="Z87" s="31" t="s">
        <v>25</v>
      </c>
      <c r="AA87" s="31">
        <v>2.776180421049536E-3</v>
      </c>
      <c r="AB87" s="31">
        <v>5.8292575610838608E-3</v>
      </c>
      <c r="AC87" s="31">
        <v>0.2061457981309078</v>
      </c>
      <c r="AE87" s="13">
        <f t="shared" si="1"/>
        <v>2.4733110863947708E-2</v>
      </c>
    </row>
    <row r="88" spans="1:31" hidden="1" x14ac:dyDescent="0.35">
      <c r="A88" s="1">
        <v>4</v>
      </c>
      <c r="B88" t="s">
        <v>12</v>
      </c>
      <c r="C88" t="s">
        <v>16</v>
      </c>
      <c r="D88" t="s">
        <v>18</v>
      </c>
      <c r="E88" t="s">
        <v>23</v>
      </c>
      <c r="F88">
        <v>2050</v>
      </c>
      <c r="G88" t="s">
        <v>35</v>
      </c>
      <c r="H88">
        <v>0.19353555708011469</v>
      </c>
      <c r="I88" t="s">
        <v>52</v>
      </c>
      <c r="J88">
        <v>3.4313170246352779E-3</v>
      </c>
      <c r="K88" t="s">
        <v>25</v>
      </c>
      <c r="L88">
        <v>0.1098482060030813</v>
      </c>
      <c r="M88">
        <v>1.772964656419633E-2</v>
      </c>
      <c r="N88">
        <v>0.5675866887737292</v>
      </c>
      <c r="P88" s="30">
        <v>4</v>
      </c>
      <c r="Q88" s="31" t="s">
        <v>12</v>
      </c>
      <c r="R88" s="31" t="s">
        <v>16</v>
      </c>
      <c r="S88" s="31" t="s">
        <v>18</v>
      </c>
      <c r="T88" s="31" t="s">
        <v>23</v>
      </c>
      <c r="U88" s="31">
        <v>2050</v>
      </c>
      <c r="V88" s="31" t="s">
        <v>35</v>
      </c>
      <c r="W88" s="31">
        <v>0.19353555708011469</v>
      </c>
      <c r="X88" s="31" t="s">
        <v>52</v>
      </c>
      <c r="Y88" s="31">
        <v>3.383995605052436E-3</v>
      </c>
      <c r="Z88" s="31" t="s">
        <v>25</v>
      </c>
      <c r="AA88" s="31">
        <v>0.1196715821123044</v>
      </c>
      <c r="AB88" s="31">
        <v>1.7485136354822999E-2</v>
      </c>
      <c r="AC88" s="31">
        <v>0.61834416330414144</v>
      </c>
      <c r="AE88" s="13">
        <f t="shared" si="1"/>
        <v>1.3886793505762164E-2</v>
      </c>
    </row>
    <row r="89" spans="1:31" hidden="1" x14ac:dyDescent="0.35">
      <c r="A89" s="1">
        <v>5</v>
      </c>
      <c r="B89" t="s">
        <v>12</v>
      </c>
      <c r="C89" t="s">
        <v>16</v>
      </c>
      <c r="D89" t="s">
        <v>18</v>
      </c>
      <c r="E89" t="s">
        <v>23</v>
      </c>
      <c r="F89">
        <v>2050</v>
      </c>
      <c r="G89" t="s">
        <v>36</v>
      </c>
      <c r="H89">
        <v>0.1572141332383965</v>
      </c>
      <c r="I89" t="s">
        <v>52</v>
      </c>
      <c r="J89">
        <v>1.93364120848993E-3</v>
      </c>
      <c r="K89" t="s">
        <v>25</v>
      </c>
      <c r="L89">
        <v>6.1902475428899248E-2</v>
      </c>
      <c r="M89">
        <v>1.2299410801430899E-2</v>
      </c>
      <c r="N89">
        <v>0.39374625012263698</v>
      </c>
      <c r="P89" s="30">
        <v>5</v>
      </c>
      <c r="Q89" s="31" t="s">
        <v>12</v>
      </c>
      <c r="R89" s="31" t="s">
        <v>16</v>
      </c>
      <c r="S89" s="31" t="s">
        <v>18</v>
      </c>
      <c r="T89" s="31" t="s">
        <v>23</v>
      </c>
      <c r="U89" s="31">
        <v>2050</v>
      </c>
      <c r="V89" s="31" t="s">
        <v>36</v>
      </c>
      <c r="W89" s="31">
        <v>0.1572141332383965</v>
      </c>
      <c r="X89" s="31" t="s">
        <v>52</v>
      </c>
      <c r="Y89" s="31">
        <v>1.8769279804633811E-3</v>
      </c>
      <c r="Z89" s="31" t="s">
        <v>25</v>
      </c>
      <c r="AA89" s="31">
        <v>6.6375659766681264E-2</v>
      </c>
      <c r="AB89" s="31">
        <v>1.19386720633904E-2</v>
      </c>
      <c r="AC89" s="31">
        <v>0.42219906314676231</v>
      </c>
      <c r="AE89" s="13">
        <f t="shared" si="1"/>
        <v>2.976627648749143E-2</v>
      </c>
    </row>
    <row r="90" spans="1:31" hidden="1" x14ac:dyDescent="0.35">
      <c r="A90" s="1">
        <v>6</v>
      </c>
      <c r="B90" t="s">
        <v>12</v>
      </c>
      <c r="C90" t="s">
        <v>16</v>
      </c>
      <c r="D90" t="s">
        <v>18</v>
      </c>
      <c r="E90" t="s">
        <v>23</v>
      </c>
      <c r="F90">
        <v>2050</v>
      </c>
      <c r="G90" t="s">
        <v>37</v>
      </c>
      <c r="H90">
        <v>0.21471188530380569</v>
      </c>
      <c r="I90" t="s">
        <v>52</v>
      </c>
      <c r="J90">
        <v>2.840219662217511E-3</v>
      </c>
      <c r="K90" t="s">
        <v>25</v>
      </c>
      <c r="L90">
        <v>9.0925155649945688E-2</v>
      </c>
      <c r="M90">
        <v>1.322805050218228E-2</v>
      </c>
      <c r="N90">
        <v>0.42347518639357812</v>
      </c>
      <c r="P90" s="30">
        <v>6</v>
      </c>
      <c r="Q90" s="31" t="s">
        <v>12</v>
      </c>
      <c r="R90" s="31" t="s">
        <v>16</v>
      </c>
      <c r="S90" s="31" t="s">
        <v>18</v>
      </c>
      <c r="T90" s="31" t="s">
        <v>23</v>
      </c>
      <c r="U90" s="31">
        <v>2050</v>
      </c>
      <c r="V90" s="31" t="s">
        <v>37</v>
      </c>
      <c r="W90" s="31">
        <v>0.21471188530380569</v>
      </c>
      <c r="X90" s="31" t="s">
        <v>52</v>
      </c>
      <c r="Y90" s="31">
        <v>2.7687909547365178E-3</v>
      </c>
      <c r="Z90" s="31" t="s">
        <v>25</v>
      </c>
      <c r="AA90" s="31">
        <v>9.7915491851362113E-2</v>
      </c>
      <c r="AB90" s="31">
        <v>1.2895378152070289E-2</v>
      </c>
      <c r="AC90" s="31">
        <v>0.45603200639227293</v>
      </c>
      <c r="AE90" s="13">
        <f t="shared" si="1"/>
        <v>2.5469271627010241E-2</v>
      </c>
    </row>
    <row r="91" spans="1:31" x14ac:dyDescent="0.35">
      <c r="A91" s="1">
        <v>7</v>
      </c>
      <c r="B91" t="s">
        <v>12</v>
      </c>
      <c r="C91" t="s">
        <v>16</v>
      </c>
      <c r="D91" t="s">
        <v>18</v>
      </c>
      <c r="E91" t="s">
        <v>23</v>
      </c>
      <c r="F91">
        <v>2050</v>
      </c>
      <c r="G91" s="32" t="s">
        <v>38</v>
      </c>
      <c r="H91">
        <v>1.313468462121163E-2</v>
      </c>
      <c r="I91" t="s">
        <v>52</v>
      </c>
      <c r="J91">
        <v>3.0028385974906458E-3</v>
      </c>
      <c r="K91" t="s">
        <v>25</v>
      </c>
      <c r="L91">
        <v>9.6131144538070618E-2</v>
      </c>
      <c r="M91">
        <v>0.2286190102076196</v>
      </c>
      <c r="N91">
        <v>7.3188772559354254</v>
      </c>
      <c r="P91" s="30">
        <v>7</v>
      </c>
      <c r="Q91" s="31" t="s">
        <v>12</v>
      </c>
      <c r="R91" s="31" t="s">
        <v>16</v>
      </c>
      <c r="S91" s="31" t="s">
        <v>18</v>
      </c>
      <c r="T91" s="31" t="s">
        <v>23</v>
      </c>
      <c r="U91" s="31">
        <v>2050</v>
      </c>
      <c r="V91" s="31" t="s">
        <v>38</v>
      </c>
      <c r="W91" s="31">
        <v>1.313468462121163E-2</v>
      </c>
      <c r="X91" s="31" t="s">
        <v>52</v>
      </c>
      <c r="Y91" s="31">
        <v>6.0279911475999014E-4</v>
      </c>
      <c r="Z91" s="31" t="s">
        <v>25</v>
      </c>
      <c r="AA91" s="31">
        <v>2.1317381042552149E-2</v>
      </c>
      <c r="AB91" s="31">
        <v>4.5893687754520587E-2</v>
      </c>
      <c r="AC91" s="31">
        <v>1.6229838520923461</v>
      </c>
      <c r="AE91" s="37">
        <f t="shared" si="1"/>
        <v>1.3312704571378324</v>
      </c>
    </row>
    <row r="92" spans="1:31" hidden="1" x14ac:dyDescent="0.35">
      <c r="A92" s="1">
        <v>8</v>
      </c>
      <c r="B92" t="s">
        <v>12</v>
      </c>
      <c r="C92" t="s">
        <v>16</v>
      </c>
      <c r="D92" t="s">
        <v>18</v>
      </c>
      <c r="E92" t="s">
        <v>23</v>
      </c>
      <c r="F92">
        <v>2050</v>
      </c>
      <c r="G92" t="s">
        <v>39</v>
      </c>
      <c r="H92">
        <v>2.412493094341404E-3</v>
      </c>
      <c r="I92" t="s">
        <v>52</v>
      </c>
      <c r="J92">
        <v>0</v>
      </c>
      <c r="K92" t="s">
        <v>25</v>
      </c>
      <c r="L92">
        <v>0</v>
      </c>
      <c r="M92">
        <v>0</v>
      </c>
      <c r="N92">
        <v>0</v>
      </c>
      <c r="P92" s="30">
        <v>8</v>
      </c>
      <c r="Q92" s="31" t="s">
        <v>12</v>
      </c>
      <c r="R92" s="31" t="s">
        <v>16</v>
      </c>
      <c r="S92" s="31" t="s">
        <v>18</v>
      </c>
      <c r="T92" s="31" t="s">
        <v>23</v>
      </c>
      <c r="U92" s="31">
        <v>2050</v>
      </c>
      <c r="V92" s="31" t="s">
        <v>39</v>
      </c>
      <c r="W92" s="31">
        <v>2.412493094341404E-3</v>
      </c>
      <c r="X92" s="31" t="s">
        <v>52</v>
      </c>
      <c r="Y92" s="31">
        <v>0</v>
      </c>
      <c r="Z92" s="31" t="s">
        <v>25</v>
      </c>
      <c r="AA92" s="31">
        <v>0</v>
      </c>
      <c r="AB92" s="31">
        <v>0</v>
      </c>
      <c r="AC92" s="31">
        <v>0</v>
      </c>
    </row>
    <row r="93" spans="1:31" hidden="1" x14ac:dyDescent="0.35">
      <c r="A93" s="1">
        <v>9</v>
      </c>
      <c r="B93" t="s">
        <v>12</v>
      </c>
      <c r="C93" t="s">
        <v>16</v>
      </c>
      <c r="D93" t="s">
        <v>18</v>
      </c>
      <c r="E93" t="s">
        <v>23</v>
      </c>
      <c r="F93">
        <v>2050</v>
      </c>
      <c r="G93" t="s">
        <v>41</v>
      </c>
      <c r="H93">
        <v>6.7013697097184535E-4</v>
      </c>
      <c r="I93" t="s">
        <v>52</v>
      </c>
      <c r="J93">
        <v>9.8083801311509997E-6</v>
      </c>
      <c r="K93" t="s">
        <v>25</v>
      </c>
      <c r="L93">
        <v>3.1399982964783841E-4</v>
      </c>
      <c r="M93">
        <v>1.4636381151940769E-2</v>
      </c>
      <c r="N93">
        <v>0.46856067229430698</v>
      </c>
      <c r="P93" s="30">
        <v>9</v>
      </c>
      <c r="Q93" s="31" t="s">
        <v>12</v>
      </c>
      <c r="R93" s="31" t="s">
        <v>16</v>
      </c>
      <c r="S93" s="31" t="s">
        <v>18</v>
      </c>
      <c r="T93" s="31" t="s">
        <v>23</v>
      </c>
      <c r="U93" s="31">
        <v>2050</v>
      </c>
      <c r="V93" s="31" t="s">
        <v>41</v>
      </c>
      <c r="W93" s="31">
        <v>6.7013697097184535E-4</v>
      </c>
      <c r="X93" s="31" t="s">
        <v>52</v>
      </c>
      <c r="Y93" s="31">
        <v>2.138571322405724E-5</v>
      </c>
      <c r="Z93" s="31" t="s">
        <v>25</v>
      </c>
      <c r="AA93" s="31">
        <v>7.5628411937116115E-4</v>
      </c>
      <c r="AB93" s="31">
        <v>3.1912450962141778E-2</v>
      </c>
      <c r="AC93" s="31">
        <v>1.128551553086802</v>
      </c>
      <c r="AE93" s="38">
        <f t="shared" si="1"/>
        <v>-0.74227726134398253</v>
      </c>
    </row>
    <row r="94" spans="1:31" hidden="1" x14ac:dyDescent="0.35">
      <c r="A94" s="1">
        <v>10</v>
      </c>
      <c r="B94" t="s">
        <v>12</v>
      </c>
      <c r="C94" t="s">
        <v>16</v>
      </c>
      <c r="D94" t="s">
        <v>18</v>
      </c>
      <c r="E94" t="s">
        <v>23</v>
      </c>
      <c r="F94">
        <v>2050</v>
      </c>
      <c r="G94" t="s">
        <v>42</v>
      </c>
      <c r="H94">
        <v>2.1842904673904678E-2</v>
      </c>
      <c r="I94" t="s">
        <v>52</v>
      </c>
      <c r="J94">
        <v>8.7753343332458943E-4</v>
      </c>
      <c r="K94" t="s">
        <v>25</v>
      </c>
      <c r="L94">
        <v>2.8092849674441499E-2</v>
      </c>
      <c r="M94">
        <v>4.017475910028407E-2</v>
      </c>
      <c r="N94">
        <v>1.2861315879844279</v>
      </c>
      <c r="P94" s="30">
        <v>10</v>
      </c>
      <c r="Q94" s="31" t="s">
        <v>12</v>
      </c>
      <c r="R94" s="31" t="s">
        <v>16</v>
      </c>
      <c r="S94" s="31" t="s">
        <v>18</v>
      </c>
      <c r="T94" s="31" t="s">
        <v>23</v>
      </c>
      <c r="U94" s="31">
        <v>2050</v>
      </c>
      <c r="V94" s="31" t="s">
        <v>42</v>
      </c>
      <c r="W94" s="31">
        <v>2.1842904673904678E-2</v>
      </c>
      <c r="X94" s="31" t="s">
        <v>52</v>
      </c>
      <c r="Y94" s="31">
        <v>8.0356859267378435E-4</v>
      </c>
      <c r="Z94" s="31" t="s">
        <v>25</v>
      </c>
      <c r="AA94" s="31">
        <v>2.8417390577414652E-2</v>
      </c>
      <c r="AB94" s="31">
        <v>3.6788540932186239E-2</v>
      </c>
      <c r="AC94" s="31">
        <v>1.300989543362536</v>
      </c>
      <c r="AE94" s="13">
        <f t="shared" si="1"/>
        <v>8.7995659403097504E-2</v>
      </c>
    </row>
    <row r="95" spans="1:31" x14ac:dyDescent="0.35">
      <c r="A95" s="1">
        <v>11</v>
      </c>
      <c r="B95" t="s">
        <v>12</v>
      </c>
      <c r="C95" t="s">
        <v>16</v>
      </c>
      <c r="D95" t="s">
        <v>18</v>
      </c>
      <c r="E95" t="s">
        <v>23</v>
      </c>
      <c r="F95">
        <v>2050</v>
      </c>
      <c r="G95" s="34" t="s">
        <v>43</v>
      </c>
      <c r="H95">
        <v>8.2453348769044171E-3</v>
      </c>
      <c r="I95" t="s">
        <v>52</v>
      </c>
      <c r="J95">
        <v>9.8656309381157568E-4</v>
      </c>
      <c r="K95" t="s">
        <v>25</v>
      </c>
      <c r="L95">
        <v>3.1583262399244597E-2</v>
      </c>
      <c r="M95">
        <v>0.119651064333965</v>
      </c>
      <c r="N95">
        <v>3.8304402272017901</v>
      </c>
      <c r="P95" s="30">
        <v>11</v>
      </c>
      <c r="Q95" s="31" t="s">
        <v>12</v>
      </c>
      <c r="R95" s="31" t="s">
        <v>16</v>
      </c>
      <c r="S95" s="31" t="s">
        <v>18</v>
      </c>
      <c r="T95" s="31" t="s">
        <v>23</v>
      </c>
      <c r="U95" s="31">
        <v>2050</v>
      </c>
      <c r="V95" s="31" t="s">
        <v>43</v>
      </c>
      <c r="W95" s="31">
        <v>8.2453348769044171E-3</v>
      </c>
      <c r="X95" s="31" t="s">
        <v>52</v>
      </c>
      <c r="Y95" s="31">
        <v>8.5565654635787474E-4</v>
      </c>
      <c r="Z95" s="31" t="s">
        <v>25</v>
      </c>
      <c r="AA95" s="31">
        <v>3.0259428379432119E-2</v>
      </c>
      <c r="AB95" s="31">
        <v>0.10377462639566171</v>
      </c>
      <c r="AC95" s="31">
        <v>3.6698847082839832</v>
      </c>
      <c r="AE95" s="37">
        <f t="shared" si="1"/>
        <v>0.14211828448605568</v>
      </c>
    </row>
    <row r="96" spans="1:31" hidden="1" x14ac:dyDescent="0.35">
      <c r="A96" s="1">
        <v>12</v>
      </c>
      <c r="B96" t="s">
        <v>12</v>
      </c>
      <c r="C96" t="s">
        <v>16</v>
      </c>
      <c r="D96" t="s">
        <v>18</v>
      </c>
      <c r="E96" t="s">
        <v>23</v>
      </c>
      <c r="F96">
        <v>2050</v>
      </c>
      <c r="G96" t="s">
        <v>44</v>
      </c>
      <c r="H96">
        <v>2.748444958968138E-3</v>
      </c>
      <c r="I96" t="s">
        <v>52</v>
      </c>
      <c r="J96">
        <v>1.234838629381523E-4</v>
      </c>
      <c r="K96" t="s">
        <v>25</v>
      </c>
      <c r="L96">
        <v>3.9531412331474123E-3</v>
      </c>
      <c r="M96">
        <v>4.4928628654259978E-2</v>
      </c>
      <c r="N96">
        <v>1.438319228569001</v>
      </c>
      <c r="P96" s="30">
        <v>12</v>
      </c>
      <c r="Q96" s="31" t="s">
        <v>12</v>
      </c>
      <c r="R96" s="31" t="s">
        <v>16</v>
      </c>
      <c r="S96" s="31" t="s">
        <v>18</v>
      </c>
      <c r="T96" s="31" t="s">
        <v>23</v>
      </c>
      <c r="U96" s="31">
        <v>2050</v>
      </c>
      <c r="V96" s="31" t="s">
        <v>44</v>
      </c>
      <c r="W96" s="31">
        <v>2.748444958968138E-3</v>
      </c>
      <c r="X96" s="31" t="s">
        <v>52</v>
      </c>
      <c r="Y96" s="31">
        <v>1.1326613663669641E-4</v>
      </c>
      <c r="Z96" s="31" t="s">
        <v>25</v>
      </c>
      <c r="AA96" s="31">
        <v>4.0055423685610471E-3</v>
      </c>
      <c r="AB96" s="31">
        <v>4.1210989605999053E-2</v>
      </c>
      <c r="AC96" s="31">
        <v>1.4573849679947259</v>
      </c>
      <c r="AE96" s="13">
        <f t="shared" si="1"/>
        <v>8.6316589818835471E-2</v>
      </c>
    </row>
    <row r="97" spans="1:31" hidden="1" x14ac:dyDescent="0.35">
      <c r="A97" s="1">
        <v>13</v>
      </c>
      <c r="B97" t="s">
        <v>12</v>
      </c>
      <c r="C97" t="s">
        <v>16</v>
      </c>
      <c r="D97" t="s">
        <v>18</v>
      </c>
      <c r="E97" t="s">
        <v>23</v>
      </c>
      <c r="F97">
        <v>2050</v>
      </c>
      <c r="G97" t="s">
        <v>45</v>
      </c>
      <c r="H97">
        <v>1.113843483371298E-2</v>
      </c>
      <c r="I97" t="s">
        <v>52</v>
      </c>
      <c r="J97">
        <v>6.9889461734303545E-4</v>
      </c>
      <c r="K97" t="s">
        <v>25</v>
      </c>
      <c r="L97">
        <v>2.2374009556433441E-2</v>
      </c>
      <c r="M97">
        <v>6.2746214147401891E-2</v>
      </c>
      <c r="N97">
        <v>2.0087211435410528</v>
      </c>
      <c r="P97" s="30">
        <v>13</v>
      </c>
      <c r="Q97" s="31" t="s">
        <v>12</v>
      </c>
      <c r="R97" s="31" t="s">
        <v>16</v>
      </c>
      <c r="S97" s="31" t="s">
        <v>18</v>
      </c>
      <c r="T97" s="31" t="s">
        <v>23</v>
      </c>
      <c r="U97" s="31">
        <v>2050</v>
      </c>
      <c r="V97" s="31" t="s">
        <v>45</v>
      </c>
      <c r="W97" s="31">
        <v>1.113843483371298E-2</v>
      </c>
      <c r="X97" s="31" t="s">
        <v>52</v>
      </c>
      <c r="Y97" s="31">
        <v>6.5132252999845601E-4</v>
      </c>
      <c r="Z97" s="31" t="s">
        <v>25</v>
      </c>
      <c r="AA97" s="31">
        <v>2.3033362547495481E-2</v>
      </c>
      <c r="AB97" s="31">
        <v>5.8475229215067252E-2</v>
      </c>
      <c r="AC97" s="31">
        <v>2.0679173412928562</v>
      </c>
      <c r="AE97" s="13">
        <f t="shared" si="1"/>
        <v>7.0465832015607896E-2</v>
      </c>
    </row>
    <row r="98" spans="1:31" hidden="1" x14ac:dyDescent="0.35">
      <c r="A98" s="1">
        <v>14</v>
      </c>
      <c r="B98" t="s">
        <v>12</v>
      </c>
      <c r="C98" t="s">
        <v>16</v>
      </c>
      <c r="D98" t="s">
        <v>18</v>
      </c>
      <c r="E98" t="s">
        <v>23</v>
      </c>
      <c r="F98">
        <v>2050</v>
      </c>
      <c r="G98" t="s">
        <v>46</v>
      </c>
      <c r="H98">
        <v>4.6246929599690588E-2</v>
      </c>
      <c r="I98" t="s">
        <v>52</v>
      </c>
      <c r="J98">
        <v>1.24936263948519E-2</v>
      </c>
      <c r="K98" t="s">
        <v>25</v>
      </c>
      <c r="L98">
        <v>0.39996375621780428</v>
      </c>
      <c r="M98">
        <v>0.27015039707491167</v>
      </c>
      <c r="N98">
        <v>8.6484391435248984</v>
      </c>
      <c r="P98" s="30">
        <v>14</v>
      </c>
      <c r="Q98" s="31" t="s">
        <v>12</v>
      </c>
      <c r="R98" s="31" t="s">
        <v>16</v>
      </c>
      <c r="S98" s="31" t="s">
        <v>18</v>
      </c>
      <c r="T98" s="31" t="s">
        <v>23</v>
      </c>
      <c r="U98" s="31">
        <v>2050</v>
      </c>
      <c r="V98" s="31" t="s">
        <v>46</v>
      </c>
      <c r="W98" s="31">
        <v>4.6246929599690588E-2</v>
      </c>
      <c r="X98" s="31" t="s">
        <v>52</v>
      </c>
      <c r="Y98" s="31">
        <v>1.251167244888981E-2</v>
      </c>
      <c r="Z98" s="31" t="s">
        <v>25</v>
      </c>
      <c r="AA98" s="31">
        <v>0.44246264226645537</v>
      </c>
      <c r="AB98" s="31">
        <v>0.27054060793202389</v>
      </c>
      <c r="AC98" s="31">
        <v>9.5673949837615968</v>
      </c>
      <c r="AE98" s="13">
        <f t="shared" si="1"/>
        <v>-1.4433783935695812E-3</v>
      </c>
    </row>
    <row r="99" spans="1:31" hidden="1" x14ac:dyDescent="0.35">
      <c r="A99" s="1">
        <v>15</v>
      </c>
      <c r="B99" t="s">
        <v>12</v>
      </c>
      <c r="C99" t="s">
        <v>16</v>
      </c>
      <c r="D99" t="s">
        <v>18</v>
      </c>
      <c r="E99" t="s">
        <v>23</v>
      </c>
      <c r="F99">
        <v>2050</v>
      </c>
      <c r="G99" t="s">
        <v>24</v>
      </c>
      <c r="H99">
        <v>3.1242684515255099E-2</v>
      </c>
      <c r="I99" t="s">
        <v>52</v>
      </c>
      <c r="J99">
        <v>9.7592449775074424E-4</v>
      </c>
      <c r="K99" t="s">
        <v>25</v>
      </c>
      <c r="L99">
        <v>3.1242684515218271E-2</v>
      </c>
      <c r="M99">
        <v>3.1236896345261951E-2</v>
      </c>
      <c r="N99">
        <v>0.99999999999882139</v>
      </c>
      <c r="P99" s="30">
        <v>15</v>
      </c>
      <c r="Q99" s="31" t="s">
        <v>12</v>
      </c>
      <c r="R99" s="31" t="s">
        <v>16</v>
      </c>
      <c r="S99" s="31" t="s">
        <v>18</v>
      </c>
      <c r="T99" s="31" t="s">
        <v>23</v>
      </c>
      <c r="U99" s="31">
        <v>2050</v>
      </c>
      <c r="V99" s="31" t="s">
        <v>24</v>
      </c>
      <c r="W99" s="31">
        <v>3.1242684515255099E-2</v>
      </c>
      <c r="X99" s="31" t="s">
        <v>52</v>
      </c>
      <c r="Y99" s="31">
        <v>8.8346042747597744E-4</v>
      </c>
      <c r="Z99" s="31" t="s">
        <v>25</v>
      </c>
      <c r="AA99" s="31">
        <v>3.1242684515255081E-2</v>
      </c>
      <c r="AB99" s="31">
        <v>2.827735328072092E-2</v>
      </c>
      <c r="AC99" s="31">
        <v>0.99999999999999967</v>
      </c>
      <c r="AE99" s="13">
        <f t="shared" si="1"/>
        <v>9.9456620326737563E-2</v>
      </c>
    </row>
    <row r="100" spans="1:31" hidden="1" x14ac:dyDescent="0.35">
      <c r="A100" s="1">
        <v>16</v>
      </c>
      <c r="B100" t="s">
        <v>12</v>
      </c>
      <c r="C100" t="s">
        <v>16</v>
      </c>
      <c r="D100" t="s">
        <v>18</v>
      </c>
      <c r="E100" t="s">
        <v>23</v>
      </c>
      <c r="F100">
        <v>2050</v>
      </c>
      <c r="G100" t="s">
        <v>47</v>
      </c>
      <c r="H100">
        <v>5.6500000000000001E-9</v>
      </c>
      <c r="I100" t="s">
        <v>53</v>
      </c>
      <c r="J100">
        <v>7.8616656134174721E-4</v>
      </c>
      <c r="K100" t="s">
        <v>25</v>
      </c>
      <c r="L100">
        <v>2.5167883283003151E-2</v>
      </c>
      <c r="M100">
        <v>139144.5241312827</v>
      </c>
      <c r="N100">
        <v>4454492.616460735</v>
      </c>
      <c r="P100" s="30">
        <v>16</v>
      </c>
      <c r="Q100" s="31" t="s">
        <v>12</v>
      </c>
      <c r="R100" s="31" t="s">
        <v>16</v>
      </c>
      <c r="S100" s="31" t="s">
        <v>18</v>
      </c>
      <c r="T100" s="31" t="s">
        <v>23</v>
      </c>
      <c r="U100" s="31">
        <v>2050</v>
      </c>
      <c r="V100" s="31" t="s">
        <v>47</v>
      </c>
      <c r="W100" s="31">
        <v>5.6500000000000001E-9</v>
      </c>
      <c r="X100" s="31" t="s">
        <v>53</v>
      </c>
      <c r="Y100" s="31">
        <v>7.5603519590436527E-4</v>
      </c>
      <c r="Z100" s="31" t="s">
        <v>25</v>
      </c>
      <c r="AA100" s="31">
        <v>2.6736420074357479E-2</v>
      </c>
      <c r="AB100" s="31">
        <v>133811.5390981177</v>
      </c>
      <c r="AC100" s="31">
        <v>4732109.7476738887</v>
      </c>
      <c r="AE100" s="13">
        <f t="shared" si="1"/>
        <v>3.9075776299447827E-2</v>
      </c>
    </row>
    <row r="101" spans="1:31" hidden="1" x14ac:dyDescent="0.35">
      <c r="A101" s="1">
        <v>17</v>
      </c>
      <c r="B101" t="s">
        <v>12</v>
      </c>
      <c r="C101" t="s">
        <v>16</v>
      </c>
      <c r="D101" t="s">
        <v>18</v>
      </c>
      <c r="E101" t="s">
        <v>23</v>
      </c>
      <c r="F101">
        <v>2050</v>
      </c>
      <c r="G101" t="s">
        <v>48</v>
      </c>
      <c r="H101">
        <v>3.8600000000000001E-10</v>
      </c>
      <c r="I101" t="s">
        <v>53</v>
      </c>
      <c r="J101">
        <v>6.5529951429783606E-5</v>
      </c>
      <c r="K101" t="s">
        <v>25</v>
      </c>
      <c r="L101">
        <v>2.0978381048297082E-3</v>
      </c>
      <c r="M101">
        <v>169766.7135486622</v>
      </c>
      <c r="N101">
        <v>5434813.7430821452</v>
      </c>
      <c r="P101" s="30">
        <v>17</v>
      </c>
      <c r="Q101" s="31" t="s">
        <v>12</v>
      </c>
      <c r="R101" s="31" t="s">
        <v>16</v>
      </c>
      <c r="S101" s="31" t="s">
        <v>18</v>
      </c>
      <c r="T101" s="31" t="s">
        <v>23</v>
      </c>
      <c r="U101" s="31">
        <v>2050</v>
      </c>
      <c r="V101" s="31" t="s">
        <v>48</v>
      </c>
      <c r="W101" s="31">
        <v>3.8600000000000001E-10</v>
      </c>
      <c r="X101" s="31" t="s">
        <v>53</v>
      </c>
      <c r="Y101" s="31">
        <v>6.7519427944309616E-5</v>
      </c>
      <c r="Z101" s="31" t="s">
        <v>25</v>
      </c>
      <c r="AA101" s="31">
        <v>2.387756282351338E-3</v>
      </c>
      <c r="AB101" s="31">
        <v>174920.7977831855</v>
      </c>
      <c r="AC101" s="31">
        <v>6185897.1045371443</v>
      </c>
      <c r="AE101" s="13">
        <f t="shared" si="1"/>
        <v>-2.9905836823668406E-2</v>
      </c>
    </row>
    <row r="102" spans="1:31" hidden="1" x14ac:dyDescent="0.35">
      <c r="A102" s="1">
        <v>18</v>
      </c>
      <c r="B102" t="s">
        <v>12</v>
      </c>
      <c r="C102" t="s">
        <v>16</v>
      </c>
      <c r="D102" t="s">
        <v>18</v>
      </c>
      <c r="E102" t="s">
        <v>23</v>
      </c>
      <c r="F102">
        <v>2050</v>
      </c>
      <c r="G102" t="s">
        <v>49</v>
      </c>
      <c r="H102">
        <v>3.47E-12</v>
      </c>
      <c r="I102" t="s">
        <v>53</v>
      </c>
      <c r="J102">
        <v>5.5597115575613904E-7</v>
      </c>
      <c r="K102" t="s">
        <v>25</v>
      </c>
      <c r="L102">
        <v>1.779854021380117E-5</v>
      </c>
      <c r="M102">
        <v>160222.23508822449</v>
      </c>
      <c r="N102">
        <v>5129262.309452787</v>
      </c>
      <c r="P102" s="30">
        <v>18</v>
      </c>
      <c r="Q102" s="31" t="s">
        <v>12</v>
      </c>
      <c r="R102" s="31" t="s">
        <v>16</v>
      </c>
      <c r="S102" s="31" t="s">
        <v>18</v>
      </c>
      <c r="T102" s="31" t="s">
        <v>23</v>
      </c>
      <c r="U102" s="31">
        <v>2050</v>
      </c>
      <c r="V102" s="31" t="s">
        <v>49</v>
      </c>
      <c r="W102" s="31">
        <v>3.47E-12</v>
      </c>
      <c r="X102" s="31" t="s">
        <v>53</v>
      </c>
      <c r="Y102" s="31">
        <v>5.6935951583231363E-7</v>
      </c>
      <c r="Z102" s="31" t="s">
        <v>25</v>
      </c>
      <c r="AA102" s="31">
        <v>2.0134823446170761E-5</v>
      </c>
      <c r="AB102" s="31">
        <v>164080.55211305869</v>
      </c>
      <c r="AC102" s="31">
        <v>5802542.779876302</v>
      </c>
      <c r="AE102" s="13">
        <f t="shared" si="1"/>
        <v>-2.3794535089453134E-2</v>
      </c>
    </row>
    <row r="103" spans="1:31" hidden="1" x14ac:dyDescent="0.35">
      <c r="A103" s="1">
        <v>19</v>
      </c>
      <c r="B103" t="s">
        <v>12</v>
      </c>
      <c r="C103" t="s">
        <v>16</v>
      </c>
      <c r="D103" t="s">
        <v>18</v>
      </c>
      <c r="E103" t="s">
        <v>23</v>
      </c>
      <c r="F103">
        <v>2050</v>
      </c>
      <c r="G103" t="s">
        <v>50</v>
      </c>
      <c r="H103">
        <v>5.0000000000000004E-6</v>
      </c>
      <c r="I103" t="s">
        <v>54</v>
      </c>
      <c r="P103" s="30">
        <v>19</v>
      </c>
      <c r="Q103" s="31" t="s">
        <v>12</v>
      </c>
      <c r="R103" s="31" t="s">
        <v>16</v>
      </c>
      <c r="S103" s="31" t="s">
        <v>18</v>
      </c>
      <c r="T103" s="31" t="s">
        <v>23</v>
      </c>
      <c r="U103" s="31">
        <v>2050</v>
      </c>
      <c r="V103" s="31" t="s">
        <v>50</v>
      </c>
      <c r="W103" s="31">
        <v>5.0000000000000004E-6</v>
      </c>
      <c r="X103" s="31" t="s">
        <v>54</v>
      </c>
      <c r="Y103" s="31"/>
      <c r="Z103" s="31"/>
      <c r="AA103" s="31"/>
      <c r="AB103" s="31"/>
      <c r="AC103" s="31"/>
    </row>
    <row r="104" spans="1:31" hidden="1" x14ac:dyDescent="0.35">
      <c r="A104" s="1">
        <v>20</v>
      </c>
      <c r="B104" t="s">
        <v>12</v>
      </c>
      <c r="C104" t="s">
        <v>16</v>
      </c>
      <c r="D104" t="s">
        <v>18</v>
      </c>
      <c r="E104" t="s">
        <v>23</v>
      </c>
      <c r="F104">
        <v>2050</v>
      </c>
      <c r="G104" t="s">
        <v>51</v>
      </c>
      <c r="H104">
        <v>4.16E-6</v>
      </c>
      <c r="I104" t="s">
        <v>54</v>
      </c>
      <c r="P104" s="30">
        <v>20</v>
      </c>
      <c r="Q104" s="31" t="s">
        <v>12</v>
      </c>
      <c r="R104" s="31" t="s">
        <v>16</v>
      </c>
      <c r="S104" s="31" t="s">
        <v>18</v>
      </c>
      <c r="T104" s="31" t="s">
        <v>23</v>
      </c>
      <c r="U104" s="31">
        <v>2050</v>
      </c>
      <c r="V104" s="31" t="s">
        <v>51</v>
      </c>
      <c r="W104" s="31">
        <v>4.16E-6</v>
      </c>
      <c r="X104" s="31" t="s">
        <v>54</v>
      </c>
      <c r="Y104" s="31"/>
      <c r="Z104" s="31"/>
      <c r="AA104" s="31"/>
      <c r="AB104" s="31"/>
      <c r="AC104" s="31"/>
    </row>
    <row r="105" spans="1:31" hidden="1" x14ac:dyDescent="0.35">
      <c r="B105" s="1" t="s">
        <v>0</v>
      </c>
      <c r="C105" s="1" t="s">
        <v>1</v>
      </c>
      <c r="D105" s="1" t="s">
        <v>2</v>
      </c>
      <c r="E105" s="1" t="s">
        <v>3</v>
      </c>
      <c r="F105" s="1" t="s">
        <v>4</v>
      </c>
      <c r="G105" s="1" t="s">
        <v>5</v>
      </c>
      <c r="H105" s="1" t="s">
        <v>27</v>
      </c>
      <c r="I105" s="1" t="s">
        <v>28</v>
      </c>
      <c r="J105" s="1" t="s">
        <v>6</v>
      </c>
      <c r="K105" s="1" t="s">
        <v>29</v>
      </c>
      <c r="L105" s="1" t="s">
        <v>30</v>
      </c>
      <c r="M105" s="1" t="s">
        <v>31</v>
      </c>
      <c r="N105" s="1" t="s">
        <v>32</v>
      </c>
      <c r="Q105" s="1" t="s">
        <v>0</v>
      </c>
      <c r="R105" s="1" t="s">
        <v>1</v>
      </c>
      <c r="S105" s="1" t="s">
        <v>2</v>
      </c>
      <c r="T105" s="1" t="s">
        <v>3</v>
      </c>
      <c r="U105" s="1" t="s">
        <v>4</v>
      </c>
      <c r="V105" s="1" t="s">
        <v>5</v>
      </c>
      <c r="W105" s="1" t="s">
        <v>27</v>
      </c>
      <c r="X105" s="1" t="s">
        <v>28</v>
      </c>
      <c r="Y105" s="1" t="s">
        <v>6</v>
      </c>
      <c r="Z105" s="1" t="s">
        <v>29</v>
      </c>
      <c r="AA105" s="1" t="s">
        <v>30</v>
      </c>
      <c r="AB105" s="1" t="s">
        <v>31</v>
      </c>
      <c r="AC105" s="1" t="s">
        <v>32</v>
      </c>
    </row>
    <row r="106" spans="1:31" hidden="1" x14ac:dyDescent="0.35">
      <c r="A106" s="1">
        <v>0</v>
      </c>
      <c r="B106" t="s">
        <v>13</v>
      </c>
      <c r="C106" t="s">
        <v>16</v>
      </c>
      <c r="D106" t="s">
        <v>19</v>
      </c>
      <c r="E106" t="s">
        <v>23</v>
      </c>
      <c r="F106">
        <v>2050</v>
      </c>
      <c r="G106" t="s">
        <v>55</v>
      </c>
      <c r="H106">
        <v>0.1238413121453323</v>
      </c>
      <c r="I106" t="s">
        <v>52</v>
      </c>
      <c r="J106">
        <v>5.0537792332638236E-4</v>
      </c>
      <c r="K106" t="s">
        <v>25</v>
      </c>
      <c r="L106">
        <v>4.1353741909521083E-2</v>
      </c>
      <c r="M106">
        <v>4.0808508450984673E-3</v>
      </c>
      <c r="N106">
        <v>0.33392525638771459</v>
      </c>
      <c r="P106" s="1">
        <v>0</v>
      </c>
      <c r="Q106" t="s">
        <v>13</v>
      </c>
      <c r="R106" t="s">
        <v>16</v>
      </c>
      <c r="S106" t="s">
        <v>19</v>
      </c>
      <c r="T106" t="s">
        <v>23</v>
      </c>
      <c r="U106">
        <v>2050</v>
      </c>
      <c r="V106" t="s">
        <v>55</v>
      </c>
      <c r="W106">
        <v>0.1238413121453323</v>
      </c>
      <c r="X106" t="s">
        <v>52</v>
      </c>
      <c r="Y106">
        <v>5.314383849955674E-4</v>
      </c>
      <c r="Z106" t="s">
        <v>25</v>
      </c>
      <c r="AA106">
        <v>4.123665724871816E-2</v>
      </c>
      <c r="AB106">
        <v>4.291285159930356E-3</v>
      </c>
      <c r="AC106">
        <v>0.33297981533274967</v>
      </c>
      <c r="AE106" s="13">
        <f t="shared" si="1"/>
        <v>-5.0270161570592921E-2</v>
      </c>
    </row>
    <row r="107" spans="1:31" hidden="1" x14ac:dyDescent="0.35">
      <c r="A107" s="1">
        <v>1</v>
      </c>
      <c r="B107" t="s">
        <v>13</v>
      </c>
      <c r="C107" t="s">
        <v>16</v>
      </c>
      <c r="D107" t="s">
        <v>19</v>
      </c>
      <c r="E107" t="s">
        <v>23</v>
      </c>
      <c r="F107">
        <v>2050</v>
      </c>
      <c r="G107" t="s">
        <v>56</v>
      </c>
      <c r="H107">
        <v>0.1200885451119403</v>
      </c>
      <c r="I107" t="s">
        <v>52</v>
      </c>
      <c r="J107">
        <v>3.6317011178850332E-4</v>
      </c>
      <c r="K107" t="s">
        <v>25</v>
      </c>
      <c r="L107">
        <v>2.9717251939504481E-2</v>
      </c>
      <c r="M107">
        <v>3.0241861240801519E-3</v>
      </c>
      <c r="N107">
        <v>0.24746117052049879</v>
      </c>
      <c r="P107" s="1">
        <v>1</v>
      </c>
      <c r="Q107" t="s">
        <v>13</v>
      </c>
      <c r="R107" t="s">
        <v>16</v>
      </c>
      <c r="S107" t="s">
        <v>19</v>
      </c>
      <c r="T107" t="s">
        <v>23</v>
      </c>
      <c r="U107">
        <v>2050</v>
      </c>
      <c r="V107" t="s">
        <v>56</v>
      </c>
      <c r="W107">
        <v>0.1200885451119403</v>
      </c>
      <c r="X107" t="s">
        <v>52</v>
      </c>
      <c r="Y107">
        <v>3.8453148011346788E-4</v>
      </c>
      <c r="Z107" t="s">
        <v>25</v>
      </c>
      <c r="AA107">
        <v>2.9837500064873221E-2</v>
      </c>
      <c r="AB107">
        <v>3.2020662733071468E-3</v>
      </c>
      <c r="AC107">
        <v>0.2484624993754421</v>
      </c>
      <c r="AE107" s="13">
        <f t="shared" si="1"/>
        <v>-5.7138753097011684E-2</v>
      </c>
    </row>
    <row r="108" spans="1:31" hidden="1" x14ac:dyDescent="0.35">
      <c r="A108" s="1">
        <v>2</v>
      </c>
      <c r="B108" t="s">
        <v>13</v>
      </c>
      <c r="C108" t="s">
        <v>16</v>
      </c>
      <c r="D108" t="s">
        <v>19</v>
      </c>
      <c r="E108" t="s">
        <v>23</v>
      </c>
      <c r="F108">
        <v>2050</v>
      </c>
      <c r="G108" t="s">
        <v>33</v>
      </c>
      <c r="H108">
        <v>7.0702130932249987E-2</v>
      </c>
      <c r="I108" t="s">
        <v>52</v>
      </c>
      <c r="J108">
        <v>1.4456114050510039E-4</v>
      </c>
      <c r="K108" t="s">
        <v>25</v>
      </c>
      <c r="L108">
        <v>1.182905666960276E-2</v>
      </c>
      <c r="M108">
        <v>2.044650403021452E-3</v>
      </c>
      <c r="N108">
        <v>0.167308347197313</v>
      </c>
      <c r="P108" s="1">
        <v>2</v>
      </c>
      <c r="Q108" t="s">
        <v>13</v>
      </c>
      <c r="R108" t="s">
        <v>16</v>
      </c>
      <c r="S108" t="s">
        <v>19</v>
      </c>
      <c r="T108" t="s">
        <v>23</v>
      </c>
      <c r="U108">
        <v>2050</v>
      </c>
      <c r="V108" t="s">
        <v>33</v>
      </c>
      <c r="W108">
        <v>7.0702130932249987E-2</v>
      </c>
      <c r="X108" t="s">
        <v>52</v>
      </c>
      <c r="Y108">
        <v>1.4731852505711209E-4</v>
      </c>
      <c r="Z108" t="s">
        <v>25</v>
      </c>
      <c r="AA108">
        <v>1.143109661568292E-2</v>
      </c>
      <c r="AB108">
        <v>2.0836504234685569E-3</v>
      </c>
      <c r="AC108">
        <v>0.1616796617719588</v>
      </c>
      <c r="AE108" s="13">
        <f t="shared" si="1"/>
        <v>-1.8893981851736213E-2</v>
      </c>
    </row>
    <row r="109" spans="1:31" hidden="1" x14ac:dyDescent="0.35">
      <c r="A109" s="1">
        <v>3</v>
      </c>
      <c r="B109" t="s">
        <v>13</v>
      </c>
      <c r="C109" t="s">
        <v>16</v>
      </c>
      <c r="D109" t="s">
        <v>19</v>
      </c>
      <c r="E109" t="s">
        <v>23</v>
      </c>
      <c r="F109">
        <v>2050</v>
      </c>
      <c r="G109" t="s">
        <v>34</v>
      </c>
      <c r="H109">
        <v>1.346707255845492E-2</v>
      </c>
      <c r="I109" t="s">
        <v>52</v>
      </c>
      <c r="J109">
        <v>3.5391527044228749E-5</v>
      </c>
      <c r="K109" t="s">
        <v>25</v>
      </c>
      <c r="L109">
        <v>2.8959952693178269E-3</v>
      </c>
      <c r="M109">
        <v>2.6280044820883642E-3</v>
      </c>
      <c r="N109">
        <v>0.2150426721730001</v>
      </c>
      <c r="P109" s="1">
        <v>3</v>
      </c>
      <c r="Q109" t="s">
        <v>13</v>
      </c>
      <c r="R109" t="s">
        <v>16</v>
      </c>
      <c r="S109" t="s">
        <v>19</v>
      </c>
      <c r="T109" t="s">
        <v>23</v>
      </c>
      <c r="U109">
        <v>2050</v>
      </c>
      <c r="V109" t="s">
        <v>34</v>
      </c>
      <c r="W109">
        <v>1.346707255845492E-2</v>
      </c>
      <c r="X109" t="s">
        <v>52</v>
      </c>
      <c r="Y109">
        <v>3.7078889077747248E-5</v>
      </c>
      <c r="Z109" t="s">
        <v>25</v>
      </c>
      <c r="AA109">
        <v>2.8771151712630918E-3</v>
      </c>
      <c r="AB109">
        <v>2.7532998665302589E-3</v>
      </c>
      <c r="AC109">
        <v>0.21364072694898911</v>
      </c>
      <c r="AE109" s="13">
        <f t="shared" si="1"/>
        <v>-4.6566919960235244E-2</v>
      </c>
    </row>
    <row r="110" spans="1:31" hidden="1" x14ac:dyDescent="0.35">
      <c r="A110" s="1">
        <v>4</v>
      </c>
      <c r="B110" t="s">
        <v>13</v>
      </c>
      <c r="C110" t="s">
        <v>16</v>
      </c>
      <c r="D110" t="s">
        <v>19</v>
      </c>
      <c r="E110" t="s">
        <v>23</v>
      </c>
      <c r="F110">
        <v>2050</v>
      </c>
      <c r="G110" t="s">
        <v>35</v>
      </c>
      <c r="H110">
        <v>0.19353555708011469</v>
      </c>
      <c r="I110" t="s">
        <v>52</v>
      </c>
      <c r="J110">
        <v>2.840262692804415E-3</v>
      </c>
      <c r="K110" t="s">
        <v>25</v>
      </c>
      <c r="L110">
        <v>0.23241120146362271</v>
      </c>
      <c r="M110">
        <v>1.4675663406020421E-2</v>
      </c>
      <c r="N110">
        <v>1.2008708113900499</v>
      </c>
      <c r="P110" s="1">
        <v>4</v>
      </c>
      <c r="Q110" t="s">
        <v>13</v>
      </c>
      <c r="R110" t="s">
        <v>16</v>
      </c>
      <c r="S110" t="s">
        <v>19</v>
      </c>
      <c r="T110" t="s">
        <v>23</v>
      </c>
      <c r="U110">
        <v>2050</v>
      </c>
      <c r="V110" t="s">
        <v>35</v>
      </c>
      <c r="W110">
        <v>0.19353555708011469</v>
      </c>
      <c r="X110" t="s">
        <v>52</v>
      </c>
      <c r="Y110">
        <v>2.8979635553002701E-3</v>
      </c>
      <c r="Z110" t="s">
        <v>25</v>
      </c>
      <c r="AA110">
        <v>0.2248658230628009</v>
      </c>
      <c r="AB110">
        <v>1.4973804292203781E-2</v>
      </c>
      <c r="AC110">
        <v>1.1618837719299151</v>
      </c>
      <c r="AE110" s="13">
        <f t="shared" si="1"/>
        <v>-2.011104477273408E-2</v>
      </c>
    </row>
    <row r="111" spans="1:31" hidden="1" x14ac:dyDescent="0.35">
      <c r="A111" s="1">
        <v>5</v>
      </c>
      <c r="B111" t="s">
        <v>13</v>
      </c>
      <c r="C111" t="s">
        <v>16</v>
      </c>
      <c r="D111" t="s">
        <v>19</v>
      </c>
      <c r="E111" t="s">
        <v>23</v>
      </c>
      <c r="F111">
        <v>2050</v>
      </c>
      <c r="G111" t="s">
        <v>36</v>
      </c>
      <c r="H111">
        <v>0.1572141332383965</v>
      </c>
      <c r="I111" t="s">
        <v>52</v>
      </c>
      <c r="J111">
        <v>1.696943612458874E-3</v>
      </c>
      <c r="K111" t="s">
        <v>25</v>
      </c>
      <c r="L111">
        <v>0.13885641803018439</v>
      </c>
      <c r="M111">
        <v>1.0793836263344471E-2</v>
      </c>
      <c r="N111">
        <v>0.88323113940160292</v>
      </c>
      <c r="P111" s="1">
        <v>5</v>
      </c>
      <c r="Q111" t="s">
        <v>13</v>
      </c>
      <c r="R111" t="s">
        <v>16</v>
      </c>
      <c r="S111" t="s">
        <v>19</v>
      </c>
      <c r="T111" t="s">
        <v>23</v>
      </c>
      <c r="U111">
        <v>2050</v>
      </c>
      <c r="V111" t="s">
        <v>36</v>
      </c>
      <c r="W111">
        <v>0.1572141332383965</v>
      </c>
      <c r="X111" t="s">
        <v>52</v>
      </c>
      <c r="Y111">
        <v>1.659428971055755E-3</v>
      </c>
      <c r="Z111" t="s">
        <v>25</v>
      </c>
      <c r="AA111">
        <v>0.1287624410280224</v>
      </c>
      <c r="AB111">
        <v>1.055521495983716E-2</v>
      </c>
      <c r="AC111">
        <v>0.81902586221538687</v>
      </c>
      <c r="AE111" s="13">
        <f t="shared" si="1"/>
        <v>2.2354277107003859E-2</v>
      </c>
    </row>
    <row r="112" spans="1:31" hidden="1" x14ac:dyDescent="0.35">
      <c r="A112" s="1">
        <v>6</v>
      </c>
      <c r="B112" t="s">
        <v>13</v>
      </c>
      <c r="C112" t="s">
        <v>16</v>
      </c>
      <c r="D112" t="s">
        <v>19</v>
      </c>
      <c r="E112" t="s">
        <v>23</v>
      </c>
      <c r="F112">
        <v>2050</v>
      </c>
      <c r="G112" t="s">
        <v>37</v>
      </c>
      <c r="H112">
        <v>0.21471188530380569</v>
      </c>
      <c r="I112" t="s">
        <v>52</v>
      </c>
      <c r="J112">
        <v>2.4478967258962738E-3</v>
      </c>
      <c r="K112" t="s">
        <v>25</v>
      </c>
      <c r="L112">
        <v>0.2003049297396795</v>
      </c>
      <c r="M112">
        <v>1.1400844077320791E-2</v>
      </c>
      <c r="N112">
        <v>0.93290098708908864</v>
      </c>
      <c r="P112" s="1">
        <v>6</v>
      </c>
      <c r="Q112" t="s">
        <v>13</v>
      </c>
      <c r="R112" t="s">
        <v>16</v>
      </c>
      <c r="S112" t="s">
        <v>19</v>
      </c>
      <c r="T112" t="s">
        <v>23</v>
      </c>
      <c r="U112">
        <v>2050</v>
      </c>
      <c r="V112" t="s">
        <v>37</v>
      </c>
      <c r="W112">
        <v>0.21471188530380569</v>
      </c>
      <c r="X112" t="s">
        <v>52</v>
      </c>
      <c r="Y112">
        <v>2.4086797097988199E-3</v>
      </c>
      <c r="Z112" t="s">
        <v>25</v>
      </c>
      <c r="AA112">
        <v>0.18690012317372279</v>
      </c>
      <c r="AB112">
        <v>1.1218194588486189E-2</v>
      </c>
      <c r="AC112">
        <v>0.87046938696136555</v>
      </c>
      <c r="AE112" s="13">
        <f t="shared" si="1"/>
        <v>1.6150066458015394E-2</v>
      </c>
    </row>
    <row r="113" spans="1:31" ht="12.5" customHeight="1" x14ac:dyDescent="0.35">
      <c r="A113" s="1">
        <v>7</v>
      </c>
      <c r="B113" t="s">
        <v>13</v>
      </c>
      <c r="C113" t="s">
        <v>16</v>
      </c>
      <c r="D113" t="s">
        <v>19</v>
      </c>
      <c r="E113" t="s">
        <v>23</v>
      </c>
      <c r="F113">
        <v>2050</v>
      </c>
      <c r="G113" s="32" t="s">
        <v>38</v>
      </c>
      <c r="H113">
        <v>1.313468462121163E-2</v>
      </c>
      <c r="I113" t="s">
        <v>52</v>
      </c>
      <c r="J113">
        <v>3.0265957367606789E-3</v>
      </c>
      <c r="K113" t="s">
        <v>25</v>
      </c>
      <c r="L113">
        <v>0.24765834276782719</v>
      </c>
      <c r="M113">
        <v>0.23042774334093499</v>
      </c>
      <c r="N113">
        <v>18.855294200812079</v>
      </c>
      <c r="P113" s="1">
        <v>7</v>
      </c>
      <c r="Q113" t="s">
        <v>13</v>
      </c>
      <c r="R113" t="s">
        <v>16</v>
      </c>
      <c r="S113" t="s">
        <v>19</v>
      </c>
      <c r="T113" t="s">
        <v>23</v>
      </c>
      <c r="U113">
        <v>2050</v>
      </c>
      <c r="V113" t="s">
        <v>38</v>
      </c>
      <c r="W113">
        <v>1.313468462121163E-2</v>
      </c>
      <c r="X113" t="s">
        <v>52</v>
      </c>
      <c r="Y113">
        <v>5.3832070734530961E-4</v>
      </c>
      <c r="Z113" t="s">
        <v>25</v>
      </c>
      <c r="AA113">
        <v>4.1770687111491213E-2</v>
      </c>
      <c r="AB113">
        <v>4.0984669435911537E-2</v>
      </c>
      <c r="AC113">
        <v>3.1801819621945371</v>
      </c>
      <c r="AE113" s="37">
        <f t="shared" si="1"/>
        <v>1.3959794393101859</v>
      </c>
    </row>
    <row r="114" spans="1:31" hidden="1" x14ac:dyDescent="0.35">
      <c r="A114" s="1">
        <v>8</v>
      </c>
      <c r="B114" t="s">
        <v>13</v>
      </c>
      <c r="C114" t="s">
        <v>16</v>
      </c>
      <c r="D114" t="s">
        <v>19</v>
      </c>
      <c r="E114" t="s">
        <v>23</v>
      </c>
      <c r="F114">
        <v>2050</v>
      </c>
      <c r="G114" t="s">
        <v>39</v>
      </c>
      <c r="H114">
        <v>2.412493094341404E-3</v>
      </c>
      <c r="I114" t="s">
        <v>52</v>
      </c>
      <c r="J114">
        <v>0</v>
      </c>
      <c r="K114" t="s">
        <v>25</v>
      </c>
      <c r="L114">
        <v>0</v>
      </c>
      <c r="M114">
        <v>0</v>
      </c>
      <c r="N114">
        <v>0</v>
      </c>
      <c r="P114" s="1">
        <v>8</v>
      </c>
      <c r="Q114" t="s">
        <v>13</v>
      </c>
      <c r="R114" t="s">
        <v>16</v>
      </c>
      <c r="S114" t="s">
        <v>19</v>
      </c>
      <c r="T114" t="s">
        <v>23</v>
      </c>
      <c r="U114">
        <v>2050</v>
      </c>
      <c r="V114" t="s">
        <v>39</v>
      </c>
      <c r="W114">
        <v>2.412493094341404E-3</v>
      </c>
      <c r="X114" t="s">
        <v>52</v>
      </c>
      <c r="Y114">
        <v>0</v>
      </c>
      <c r="Z114" t="s">
        <v>25</v>
      </c>
      <c r="AA114">
        <v>0</v>
      </c>
      <c r="AB114">
        <v>0</v>
      </c>
      <c r="AC114">
        <v>0</v>
      </c>
    </row>
    <row r="115" spans="1:31" hidden="1" x14ac:dyDescent="0.35">
      <c r="A115" s="1">
        <v>9</v>
      </c>
      <c r="B115" t="s">
        <v>13</v>
      </c>
      <c r="C115" t="s">
        <v>16</v>
      </c>
      <c r="D115" t="s">
        <v>19</v>
      </c>
      <c r="E115" t="s">
        <v>23</v>
      </c>
      <c r="F115">
        <v>2050</v>
      </c>
      <c r="G115" t="s">
        <v>41</v>
      </c>
      <c r="H115">
        <v>6.7013697097184535E-4</v>
      </c>
      <c r="I115" t="s">
        <v>52</v>
      </c>
      <c r="J115">
        <v>1.3959503228201039E-5</v>
      </c>
      <c r="K115" t="s">
        <v>25</v>
      </c>
      <c r="L115">
        <v>1.1422693137929879E-3</v>
      </c>
      <c r="M115">
        <v>2.0830820911069421E-2</v>
      </c>
      <c r="N115">
        <v>1.704531108224707</v>
      </c>
      <c r="P115" s="1">
        <v>9</v>
      </c>
      <c r="Q115" t="s">
        <v>13</v>
      </c>
      <c r="R115" t="s">
        <v>16</v>
      </c>
      <c r="S115" t="s">
        <v>19</v>
      </c>
      <c r="T115" t="s">
        <v>23</v>
      </c>
      <c r="U115">
        <v>2050</v>
      </c>
      <c r="V115" t="s">
        <v>41</v>
      </c>
      <c r="W115">
        <v>6.7013697097184535E-4</v>
      </c>
      <c r="X115" t="s">
        <v>52</v>
      </c>
      <c r="Y115">
        <v>2.599563780395851E-5</v>
      </c>
      <c r="Z115" t="s">
        <v>25</v>
      </c>
      <c r="AA115">
        <v>2.017116633554045E-3</v>
      </c>
      <c r="AB115">
        <v>3.8791529090327827E-2</v>
      </c>
      <c r="AC115">
        <v>3.01000649259626</v>
      </c>
      <c r="AE115" s="38">
        <f t="shared" si="1"/>
        <v>-0.60248239724994057</v>
      </c>
    </row>
    <row r="116" spans="1:31" hidden="1" x14ac:dyDescent="0.35">
      <c r="A116" s="1">
        <v>10</v>
      </c>
      <c r="B116" t="s">
        <v>13</v>
      </c>
      <c r="C116" t="s">
        <v>16</v>
      </c>
      <c r="D116" t="s">
        <v>19</v>
      </c>
      <c r="E116" t="s">
        <v>23</v>
      </c>
      <c r="F116">
        <v>2050</v>
      </c>
      <c r="G116" t="s">
        <v>42</v>
      </c>
      <c r="H116">
        <v>2.1842904673904678E-2</v>
      </c>
      <c r="I116" t="s">
        <v>52</v>
      </c>
      <c r="J116">
        <v>3.4965962124661502E-4</v>
      </c>
      <c r="K116" t="s">
        <v>25</v>
      </c>
      <c r="L116">
        <v>2.861172414900888E-2</v>
      </c>
      <c r="M116">
        <v>1.6007926897394151E-2</v>
      </c>
      <c r="N116">
        <v>1.309886417404494</v>
      </c>
      <c r="P116" s="1">
        <v>10</v>
      </c>
      <c r="Q116" t="s">
        <v>13</v>
      </c>
      <c r="R116" t="s">
        <v>16</v>
      </c>
      <c r="S116" t="s">
        <v>19</v>
      </c>
      <c r="T116" t="s">
        <v>23</v>
      </c>
      <c r="U116">
        <v>2050</v>
      </c>
      <c r="V116" t="s">
        <v>42</v>
      </c>
      <c r="W116">
        <v>2.1842904673904678E-2</v>
      </c>
      <c r="X116" t="s">
        <v>52</v>
      </c>
      <c r="Y116">
        <v>3.683396154162597E-4</v>
      </c>
      <c r="Z116" t="s">
        <v>25</v>
      </c>
      <c r="AA116">
        <v>2.8581101593125709E-2</v>
      </c>
      <c r="AB116">
        <v>1.686312424630541E-2</v>
      </c>
      <c r="AC116">
        <v>1.308484472180617</v>
      </c>
      <c r="AE116" s="13">
        <f t="shared" si="1"/>
        <v>-5.2033465262346881E-2</v>
      </c>
    </row>
    <row r="117" spans="1:31" hidden="1" x14ac:dyDescent="0.35">
      <c r="A117" s="1">
        <v>11</v>
      </c>
      <c r="B117" t="s">
        <v>13</v>
      </c>
      <c r="C117" t="s">
        <v>16</v>
      </c>
      <c r="D117" t="s">
        <v>19</v>
      </c>
      <c r="E117" t="s">
        <v>23</v>
      </c>
      <c r="F117">
        <v>2050</v>
      </c>
      <c r="G117" t="s">
        <v>43</v>
      </c>
      <c r="H117">
        <v>8.2453348769044171E-3</v>
      </c>
      <c r="I117" t="s">
        <v>52</v>
      </c>
      <c r="J117">
        <v>5.0302501679010039E-4</v>
      </c>
      <c r="K117" t="s">
        <v>25</v>
      </c>
      <c r="L117">
        <v>4.1161209776344E-2</v>
      </c>
      <c r="M117">
        <v>6.1007227031990893E-2</v>
      </c>
      <c r="N117">
        <v>4.9920604063806486</v>
      </c>
      <c r="P117" s="1">
        <v>11</v>
      </c>
      <c r="Q117" t="s">
        <v>13</v>
      </c>
      <c r="R117" t="s">
        <v>16</v>
      </c>
      <c r="S117" t="s">
        <v>19</v>
      </c>
      <c r="T117" t="s">
        <v>23</v>
      </c>
      <c r="U117">
        <v>2050</v>
      </c>
      <c r="V117" t="s">
        <v>43</v>
      </c>
      <c r="W117">
        <v>8.2453348769044171E-3</v>
      </c>
      <c r="X117" t="s">
        <v>52</v>
      </c>
      <c r="Y117">
        <v>4.6641202295915393E-4</v>
      </c>
      <c r="Z117" t="s">
        <v>25</v>
      </c>
      <c r="AA117">
        <v>3.619097391244766E-2</v>
      </c>
      <c r="AB117">
        <v>5.6566777447159433E-2</v>
      </c>
      <c r="AC117">
        <v>4.3892667129652114</v>
      </c>
      <c r="AE117" s="13">
        <f t="shared" si="1"/>
        <v>7.553454702002424E-2</v>
      </c>
    </row>
    <row r="118" spans="1:31" hidden="1" x14ac:dyDescent="0.35">
      <c r="A118" s="1">
        <v>12</v>
      </c>
      <c r="B118" t="s">
        <v>13</v>
      </c>
      <c r="C118" t="s">
        <v>16</v>
      </c>
      <c r="D118" t="s">
        <v>19</v>
      </c>
      <c r="E118" t="s">
        <v>23</v>
      </c>
      <c r="F118">
        <v>2050</v>
      </c>
      <c r="G118" t="s">
        <v>44</v>
      </c>
      <c r="H118">
        <v>2.748444958968138E-3</v>
      </c>
      <c r="I118" t="s">
        <v>52</v>
      </c>
      <c r="J118">
        <v>5.7514052625410918E-5</v>
      </c>
      <c r="K118" t="s">
        <v>25</v>
      </c>
      <c r="L118">
        <v>4.7062231622370006E-3</v>
      </c>
      <c r="M118">
        <v>2.0926033987962309E-2</v>
      </c>
      <c r="N118">
        <v>1.712322143065176</v>
      </c>
      <c r="P118" s="1">
        <v>12</v>
      </c>
      <c r="Q118" t="s">
        <v>13</v>
      </c>
      <c r="R118" t="s">
        <v>16</v>
      </c>
      <c r="S118" t="s">
        <v>19</v>
      </c>
      <c r="T118" t="s">
        <v>23</v>
      </c>
      <c r="U118">
        <v>2050</v>
      </c>
      <c r="V118" t="s">
        <v>44</v>
      </c>
      <c r="W118">
        <v>2.748444958968138E-3</v>
      </c>
      <c r="X118" t="s">
        <v>52</v>
      </c>
      <c r="Y118">
        <v>5.9707653543755662E-5</v>
      </c>
      <c r="Z118" t="s">
        <v>25</v>
      </c>
      <c r="AA118">
        <v>4.6329811956085949E-3</v>
      </c>
      <c r="AB118">
        <v>2.172415836414348E-2</v>
      </c>
      <c r="AC118">
        <v>1.6856736317353711</v>
      </c>
      <c r="AE118" s="13">
        <f t="shared" si="1"/>
        <v>-3.7426531143968642E-2</v>
      </c>
    </row>
    <row r="119" spans="1:31" hidden="1" x14ac:dyDescent="0.35">
      <c r="A119" s="1">
        <v>13</v>
      </c>
      <c r="B119" t="s">
        <v>13</v>
      </c>
      <c r="C119" t="s">
        <v>16</v>
      </c>
      <c r="D119" t="s">
        <v>19</v>
      </c>
      <c r="E119" t="s">
        <v>23</v>
      </c>
      <c r="F119">
        <v>2050</v>
      </c>
      <c r="G119" t="s">
        <v>45</v>
      </c>
      <c r="H119">
        <v>1.113843483371298E-2</v>
      </c>
      <c r="I119" t="s">
        <v>52</v>
      </c>
      <c r="J119">
        <v>4.2755440989245962E-4</v>
      </c>
      <c r="K119" t="s">
        <v>25</v>
      </c>
      <c r="L119">
        <v>3.4985649160522707E-2</v>
      </c>
      <c r="M119">
        <v>3.8385501758143779E-2</v>
      </c>
      <c r="N119">
        <v>3.1409843198642919</v>
      </c>
      <c r="P119" s="1">
        <v>13</v>
      </c>
      <c r="Q119" t="s">
        <v>13</v>
      </c>
      <c r="R119" t="s">
        <v>16</v>
      </c>
      <c r="S119" t="s">
        <v>19</v>
      </c>
      <c r="T119" t="s">
        <v>23</v>
      </c>
      <c r="U119">
        <v>2050</v>
      </c>
      <c r="V119" t="s">
        <v>45</v>
      </c>
      <c r="W119">
        <v>1.113843483371298E-2</v>
      </c>
      <c r="X119" t="s">
        <v>52</v>
      </c>
      <c r="Y119">
        <v>4.3557138708700052E-4</v>
      </c>
      <c r="Z119" t="s">
        <v>25</v>
      </c>
      <c r="AA119">
        <v>3.3797912427430687E-2</v>
      </c>
      <c r="AB119">
        <v>3.9105259723623442E-2</v>
      </c>
      <c r="AC119">
        <v>3.0343502414839918</v>
      </c>
      <c r="AE119" s="13">
        <f t="shared" si="1"/>
        <v>-1.8576613565709107E-2</v>
      </c>
    </row>
    <row r="120" spans="1:31" x14ac:dyDescent="0.35">
      <c r="A120" s="1">
        <v>14</v>
      </c>
      <c r="B120" t="s">
        <v>13</v>
      </c>
      <c r="C120" t="s">
        <v>16</v>
      </c>
      <c r="D120" t="s">
        <v>19</v>
      </c>
      <c r="E120" t="s">
        <v>23</v>
      </c>
      <c r="F120">
        <v>2050</v>
      </c>
      <c r="G120" s="33" t="s">
        <v>46</v>
      </c>
      <c r="H120">
        <v>4.6246929599690588E-2</v>
      </c>
      <c r="I120" t="s">
        <v>52</v>
      </c>
      <c r="J120">
        <v>-2.5900791897213518E-3</v>
      </c>
      <c r="K120" t="s">
        <v>25</v>
      </c>
      <c r="L120">
        <v>-0.2119393455732434</v>
      </c>
      <c r="M120">
        <v>-5.6005430244577367E-2</v>
      </c>
      <c r="N120">
        <v>-4.5827765736616897</v>
      </c>
      <c r="P120" s="1">
        <v>14</v>
      </c>
      <c r="Q120" t="s">
        <v>13</v>
      </c>
      <c r="R120" t="s">
        <v>16</v>
      </c>
      <c r="S120" t="s">
        <v>19</v>
      </c>
      <c r="T120" t="s">
        <v>23</v>
      </c>
      <c r="U120">
        <v>2050</v>
      </c>
      <c r="V120" t="s">
        <v>46</v>
      </c>
      <c r="W120">
        <v>4.6246929599690588E-2</v>
      </c>
      <c r="X120" t="s">
        <v>52</v>
      </c>
      <c r="Y120">
        <v>5.2412578030263659E-4</v>
      </c>
      <c r="Z120" t="s">
        <v>25</v>
      </c>
      <c r="AA120">
        <v>4.066923987385114E-2</v>
      </c>
      <c r="AB120">
        <v>1.1333201681482941E-2</v>
      </c>
      <c r="AC120">
        <v>0.87939329650380149</v>
      </c>
      <c r="AE120" s="37">
        <f t="shared" si="1"/>
        <v>3.0147872220411913</v>
      </c>
    </row>
    <row r="121" spans="1:31" hidden="1" x14ac:dyDescent="0.35">
      <c r="A121" s="1">
        <v>15</v>
      </c>
      <c r="B121" t="s">
        <v>13</v>
      </c>
      <c r="C121" t="s">
        <v>16</v>
      </c>
      <c r="D121" t="s">
        <v>19</v>
      </c>
      <c r="E121" t="s">
        <v>23</v>
      </c>
      <c r="F121">
        <v>2050</v>
      </c>
      <c r="G121" t="s">
        <v>24</v>
      </c>
      <c r="H121">
        <v>3.1242684515255099E-2</v>
      </c>
      <c r="I121" t="s">
        <v>52</v>
      </c>
      <c r="J121">
        <v>3.8181219619759022E-4</v>
      </c>
      <c r="K121" t="s">
        <v>25</v>
      </c>
      <c r="L121">
        <v>3.1242684515258311E-2</v>
      </c>
      <c r="M121">
        <v>1.222085112472201E-2</v>
      </c>
      <c r="N121">
        <v>1.000000000000103</v>
      </c>
      <c r="P121" s="1">
        <v>15</v>
      </c>
      <c r="Q121" t="s">
        <v>13</v>
      </c>
      <c r="R121" t="s">
        <v>16</v>
      </c>
      <c r="S121" t="s">
        <v>19</v>
      </c>
      <c r="T121" t="s">
        <v>23</v>
      </c>
      <c r="U121">
        <v>2050</v>
      </c>
      <c r="V121" t="s">
        <v>24</v>
      </c>
      <c r="W121">
        <v>3.1242684515255099E-2</v>
      </c>
      <c r="X121" t="s">
        <v>52</v>
      </c>
      <c r="Y121">
        <v>4.026408275910699E-4</v>
      </c>
      <c r="Z121" t="s">
        <v>25</v>
      </c>
      <c r="AA121">
        <v>3.1242684515255061E-2</v>
      </c>
      <c r="AB121">
        <v>1.2887523394299541E-2</v>
      </c>
      <c r="AC121">
        <v>0.99999999999999889</v>
      </c>
      <c r="AE121" s="13">
        <f t="shared" si="1"/>
        <v>-5.3103578574747984E-2</v>
      </c>
    </row>
    <row r="122" spans="1:31" hidden="1" x14ac:dyDescent="0.35">
      <c r="A122" s="1">
        <v>16</v>
      </c>
      <c r="B122" t="s">
        <v>13</v>
      </c>
      <c r="C122" t="s">
        <v>16</v>
      </c>
      <c r="D122" t="s">
        <v>19</v>
      </c>
      <c r="E122" t="s">
        <v>23</v>
      </c>
      <c r="F122">
        <v>2050</v>
      </c>
      <c r="G122" t="s">
        <v>47</v>
      </c>
      <c r="H122">
        <v>5.6500000000000001E-9</v>
      </c>
      <c r="I122" t="s">
        <v>53</v>
      </c>
      <c r="J122">
        <v>6.0028179025597376E-4</v>
      </c>
      <c r="K122" t="s">
        <v>25</v>
      </c>
      <c r="L122">
        <v>4.9119474914615678E-2</v>
      </c>
      <c r="M122">
        <v>106244.56464707501</v>
      </c>
      <c r="N122">
        <v>8693712.3742682599</v>
      </c>
      <c r="P122" s="1">
        <v>16</v>
      </c>
      <c r="Q122" t="s">
        <v>13</v>
      </c>
      <c r="R122" t="s">
        <v>16</v>
      </c>
      <c r="S122" t="s">
        <v>19</v>
      </c>
      <c r="T122" t="s">
        <v>23</v>
      </c>
      <c r="U122">
        <v>2050</v>
      </c>
      <c r="V122" t="s">
        <v>47</v>
      </c>
      <c r="W122">
        <v>5.6500000000000001E-9</v>
      </c>
      <c r="X122" t="s">
        <v>53</v>
      </c>
      <c r="Y122">
        <v>5.7973161432182051E-4</v>
      </c>
      <c r="Z122" t="s">
        <v>25</v>
      </c>
      <c r="AA122">
        <v>4.498394273163836E-2</v>
      </c>
      <c r="AB122">
        <v>102607.36536669391</v>
      </c>
      <c r="AC122">
        <v>7961759.7755112136</v>
      </c>
      <c r="AE122" s="13">
        <f t="shared" si="1"/>
        <v>3.4830411001146241E-2</v>
      </c>
    </row>
    <row r="123" spans="1:31" hidden="1" x14ac:dyDescent="0.35">
      <c r="A123" s="1">
        <v>17</v>
      </c>
      <c r="B123" t="s">
        <v>13</v>
      </c>
      <c r="C123" t="s">
        <v>16</v>
      </c>
      <c r="D123" t="s">
        <v>19</v>
      </c>
      <c r="E123" t="s">
        <v>23</v>
      </c>
      <c r="F123">
        <v>2050</v>
      </c>
      <c r="G123" t="s">
        <v>48</v>
      </c>
      <c r="H123">
        <v>3.8600000000000001E-10</v>
      </c>
      <c r="I123" t="s">
        <v>53</v>
      </c>
      <c r="J123">
        <v>5.1634561878370898E-5</v>
      </c>
      <c r="K123" t="s">
        <v>25</v>
      </c>
      <c r="L123">
        <v>4.2251199487998636E-3</v>
      </c>
      <c r="M123">
        <v>133768.2950216863</v>
      </c>
      <c r="N123">
        <v>10945906.603108451</v>
      </c>
      <c r="P123" s="1">
        <v>17</v>
      </c>
      <c r="Q123" t="s">
        <v>13</v>
      </c>
      <c r="R123" t="s">
        <v>16</v>
      </c>
      <c r="S123" t="s">
        <v>19</v>
      </c>
      <c r="T123" t="s">
        <v>23</v>
      </c>
      <c r="U123">
        <v>2050</v>
      </c>
      <c r="V123" t="s">
        <v>48</v>
      </c>
      <c r="W123">
        <v>3.8600000000000001E-10</v>
      </c>
      <c r="X123" t="s">
        <v>53</v>
      </c>
      <c r="Y123">
        <v>5.4895870982488439E-5</v>
      </c>
      <c r="Z123" t="s">
        <v>25</v>
      </c>
      <c r="AA123">
        <v>4.259613682390688E-3</v>
      </c>
      <c r="AB123">
        <v>142217.28233805299</v>
      </c>
      <c r="AC123">
        <v>11035268.60722976</v>
      </c>
      <c r="AE123" s="13">
        <f t="shared" si="1"/>
        <v>-6.1227745284339115E-2</v>
      </c>
    </row>
    <row r="124" spans="1:31" hidden="1" x14ac:dyDescent="0.35">
      <c r="A124" s="1">
        <v>18</v>
      </c>
      <c r="B124" t="s">
        <v>13</v>
      </c>
      <c r="C124" t="s">
        <v>16</v>
      </c>
      <c r="D124" t="s">
        <v>19</v>
      </c>
      <c r="E124" t="s">
        <v>23</v>
      </c>
      <c r="F124">
        <v>2050</v>
      </c>
      <c r="G124" t="s">
        <v>49</v>
      </c>
      <c r="H124">
        <v>3.47E-12</v>
      </c>
      <c r="I124" t="s">
        <v>53</v>
      </c>
      <c r="J124">
        <v>2.8984983716531829E-7</v>
      </c>
      <c r="K124" t="s">
        <v>25</v>
      </c>
      <c r="L124">
        <v>2.371764733955397E-5</v>
      </c>
      <c r="M124">
        <v>83530.212439573006</v>
      </c>
      <c r="N124">
        <v>6835056.8701884644</v>
      </c>
      <c r="P124" s="1">
        <v>18</v>
      </c>
      <c r="Q124" t="s">
        <v>13</v>
      </c>
      <c r="R124" t="s">
        <v>16</v>
      </c>
      <c r="S124" t="s">
        <v>19</v>
      </c>
      <c r="T124" t="s">
        <v>23</v>
      </c>
      <c r="U124">
        <v>2050</v>
      </c>
      <c r="V124" t="s">
        <v>49</v>
      </c>
      <c r="W124">
        <v>3.47E-12</v>
      </c>
      <c r="X124" t="s">
        <v>53</v>
      </c>
      <c r="Y124">
        <v>3.4279086419465413E-7</v>
      </c>
      <c r="Z124" t="s">
        <v>25</v>
      </c>
      <c r="AA124">
        <v>2.6598660868098091E-5</v>
      </c>
      <c r="AB124">
        <v>98786.992563300897</v>
      </c>
      <c r="AC124">
        <v>7665320.1348985853</v>
      </c>
      <c r="AE124" s="13">
        <f t="shared" si="1"/>
        <v>-0.16736522615610958</v>
      </c>
    </row>
    <row r="125" spans="1:31" hidden="1" x14ac:dyDescent="0.35">
      <c r="A125" s="1">
        <v>19</v>
      </c>
      <c r="B125" t="s">
        <v>13</v>
      </c>
      <c r="C125" t="s">
        <v>16</v>
      </c>
      <c r="D125" t="s">
        <v>19</v>
      </c>
      <c r="E125" t="s">
        <v>23</v>
      </c>
      <c r="F125">
        <v>2050</v>
      </c>
      <c r="G125" t="s">
        <v>50</v>
      </c>
      <c r="H125">
        <v>5.0000000000000004E-6</v>
      </c>
      <c r="I125" t="s">
        <v>54</v>
      </c>
      <c r="P125" s="1">
        <v>19</v>
      </c>
      <c r="Q125" t="s">
        <v>13</v>
      </c>
      <c r="R125" t="s">
        <v>16</v>
      </c>
      <c r="S125" t="s">
        <v>19</v>
      </c>
      <c r="T125" t="s">
        <v>23</v>
      </c>
      <c r="U125">
        <v>2050</v>
      </c>
      <c r="V125" t="s">
        <v>50</v>
      </c>
      <c r="W125">
        <v>5.0000000000000004E-6</v>
      </c>
      <c r="X125" t="s">
        <v>54</v>
      </c>
    </row>
    <row r="126" spans="1:31" hidden="1" x14ac:dyDescent="0.35">
      <c r="A126" s="1">
        <v>20</v>
      </c>
      <c r="B126" t="s">
        <v>13</v>
      </c>
      <c r="C126" t="s">
        <v>16</v>
      </c>
      <c r="D126" t="s">
        <v>19</v>
      </c>
      <c r="E126" t="s">
        <v>23</v>
      </c>
      <c r="F126">
        <v>2050</v>
      </c>
      <c r="G126" t="s">
        <v>51</v>
      </c>
      <c r="H126">
        <v>4.16E-6</v>
      </c>
      <c r="I126" t="s">
        <v>54</v>
      </c>
      <c r="P126" s="1">
        <v>20</v>
      </c>
      <c r="Q126" t="s">
        <v>13</v>
      </c>
      <c r="R126" t="s">
        <v>16</v>
      </c>
      <c r="S126" t="s">
        <v>19</v>
      </c>
      <c r="T126" t="s">
        <v>23</v>
      </c>
      <c r="U126">
        <v>2050</v>
      </c>
      <c r="V126" t="s">
        <v>51</v>
      </c>
      <c r="W126">
        <v>4.16E-6</v>
      </c>
      <c r="X126" t="s">
        <v>54</v>
      </c>
    </row>
    <row r="127" spans="1:31" hidden="1" x14ac:dyDescent="0.35">
      <c r="B127" s="1" t="s">
        <v>0</v>
      </c>
      <c r="C127" s="1" t="s">
        <v>1</v>
      </c>
      <c r="D127" s="1" t="s">
        <v>2</v>
      </c>
      <c r="E127" s="1" t="s">
        <v>3</v>
      </c>
      <c r="F127" s="1" t="s">
        <v>4</v>
      </c>
      <c r="G127" s="1" t="s">
        <v>5</v>
      </c>
      <c r="H127" s="1" t="s">
        <v>27</v>
      </c>
      <c r="I127" s="1" t="s">
        <v>28</v>
      </c>
      <c r="J127" s="1" t="s">
        <v>6</v>
      </c>
      <c r="K127" s="1" t="s">
        <v>29</v>
      </c>
      <c r="L127" s="1" t="s">
        <v>30</v>
      </c>
      <c r="M127" s="1" t="s">
        <v>31</v>
      </c>
      <c r="N127" s="1" t="s">
        <v>32</v>
      </c>
      <c r="P127" s="31"/>
      <c r="Q127" s="30" t="s">
        <v>0</v>
      </c>
      <c r="R127" s="30" t="s">
        <v>1</v>
      </c>
      <c r="S127" s="30" t="s">
        <v>2</v>
      </c>
      <c r="T127" s="30" t="s">
        <v>3</v>
      </c>
      <c r="U127" s="30" t="s">
        <v>4</v>
      </c>
      <c r="V127" s="30" t="s">
        <v>5</v>
      </c>
      <c r="W127" s="30" t="s">
        <v>27</v>
      </c>
      <c r="X127" s="30" t="s">
        <v>28</v>
      </c>
      <c r="Y127" s="30" t="s">
        <v>6</v>
      </c>
      <c r="Z127" s="30" t="s">
        <v>29</v>
      </c>
      <c r="AA127" s="30" t="s">
        <v>30</v>
      </c>
      <c r="AB127" s="30" t="s">
        <v>31</v>
      </c>
      <c r="AC127" s="30" t="s">
        <v>32</v>
      </c>
    </row>
    <row r="128" spans="1:31" hidden="1" x14ac:dyDescent="0.35">
      <c r="A128" s="1">
        <v>0</v>
      </c>
      <c r="B128" t="s">
        <v>14</v>
      </c>
      <c r="C128" t="s">
        <v>17</v>
      </c>
      <c r="D128" t="s">
        <v>18</v>
      </c>
      <c r="E128" t="s">
        <v>23</v>
      </c>
      <c r="F128">
        <v>2050</v>
      </c>
      <c r="G128" t="s">
        <v>55</v>
      </c>
      <c r="H128">
        <v>0.1238413121453323</v>
      </c>
      <c r="I128" t="s">
        <v>52</v>
      </c>
      <c r="J128">
        <v>9.5765975662555477E-4</v>
      </c>
      <c r="K128" t="s">
        <v>25</v>
      </c>
      <c r="L128">
        <v>2.0434666403728659E-2</v>
      </c>
      <c r="M128">
        <v>7.7329587359483568E-3</v>
      </c>
      <c r="N128">
        <v>0.16500686281285379</v>
      </c>
      <c r="P128" s="30">
        <v>0</v>
      </c>
      <c r="Q128" s="31" t="s">
        <v>14</v>
      </c>
      <c r="R128" s="31" t="s">
        <v>17</v>
      </c>
      <c r="S128" s="31" t="s">
        <v>18</v>
      </c>
      <c r="T128" s="31" t="s">
        <v>23</v>
      </c>
      <c r="U128" s="31">
        <v>2050</v>
      </c>
      <c r="V128" s="31" t="s">
        <v>55</v>
      </c>
      <c r="W128" s="31">
        <v>0.1238413121453323</v>
      </c>
      <c r="X128" s="31" t="s">
        <v>52</v>
      </c>
      <c r="Y128" s="31">
        <v>9.4727247998649909E-4</v>
      </c>
      <c r="Z128" s="31" t="s">
        <v>25</v>
      </c>
      <c r="AA128" s="31">
        <v>2.0993363356712431E-2</v>
      </c>
      <c r="AB128" s="31">
        <v>7.6490830368047156E-3</v>
      </c>
      <c r="AC128" s="31">
        <v>0.16951825681623869</v>
      </c>
      <c r="AE128" s="13">
        <f t="shared" si="1"/>
        <v>1.0905665240386241E-2</v>
      </c>
    </row>
    <row r="129" spans="1:31" hidden="1" x14ac:dyDescent="0.35">
      <c r="A129" s="1">
        <v>1</v>
      </c>
      <c r="B129" t="s">
        <v>14</v>
      </c>
      <c r="C129" t="s">
        <v>17</v>
      </c>
      <c r="D129" t="s">
        <v>18</v>
      </c>
      <c r="E129" t="s">
        <v>23</v>
      </c>
      <c r="F129">
        <v>2050</v>
      </c>
      <c r="G129" t="s">
        <v>56</v>
      </c>
      <c r="H129">
        <v>0.1200885451119403</v>
      </c>
      <c r="I129" t="s">
        <v>52</v>
      </c>
      <c r="J129">
        <v>6.9622279323131963E-4</v>
      </c>
      <c r="K129" t="s">
        <v>25</v>
      </c>
      <c r="L129">
        <v>1.4856091032252661E-2</v>
      </c>
      <c r="M129">
        <v>5.7975787164574006E-3</v>
      </c>
      <c r="N129">
        <v>0.123709476356838</v>
      </c>
      <c r="P129" s="30">
        <v>1</v>
      </c>
      <c r="Q129" s="31" t="s">
        <v>14</v>
      </c>
      <c r="R129" s="31" t="s">
        <v>17</v>
      </c>
      <c r="S129" s="31" t="s">
        <v>18</v>
      </c>
      <c r="T129" s="31" t="s">
        <v>23</v>
      </c>
      <c r="U129" s="31">
        <v>2050</v>
      </c>
      <c r="V129" s="31" t="s">
        <v>56</v>
      </c>
      <c r="W129" s="31">
        <v>0.1200885451119403</v>
      </c>
      <c r="X129" s="31" t="s">
        <v>52</v>
      </c>
      <c r="Y129" s="31">
        <v>6.848519192802589E-4</v>
      </c>
      <c r="Z129" s="31" t="s">
        <v>25</v>
      </c>
      <c r="AA129" s="31">
        <v>1.5177623641296189E-2</v>
      </c>
      <c r="AB129" s="31">
        <v>5.7028913010968314E-3</v>
      </c>
      <c r="AC129" s="31">
        <v>0.12638693913019261</v>
      </c>
      <c r="AE129" s="13">
        <f t="shared" si="1"/>
        <v>1.6466703572295585E-2</v>
      </c>
    </row>
    <row r="130" spans="1:31" hidden="1" x14ac:dyDescent="0.35">
      <c r="A130" s="1">
        <v>2</v>
      </c>
      <c r="B130" t="s">
        <v>14</v>
      </c>
      <c r="C130" t="s">
        <v>17</v>
      </c>
      <c r="D130" t="s">
        <v>18</v>
      </c>
      <c r="E130" t="s">
        <v>23</v>
      </c>
      <c r="F130">
        <v>2050</v>
      </c>
      <c r="G130" t="s">
        <v>33</v>
      </c>
      <c r="H130">
        <v>7.0702130932249987E-2</v>
      </c>
      <c r="I130" t="s">
        <v>52</v>
      </c>
      <c r="J130">
        <v>2.8680319518368771E-4</v>
      </c>
      <c r="K130" t="s">
        <v>25</v>
      </c>
      <c r="L130">
        <v>6.1198432705924814E-3</v>
      </c>
      <c r="M130">
        <v>4.0565000149502652E-3</v>
      </c>
      <c r="N130">
        <v>8.6558116281626574E-2</v>
      </c>
      <c r="P130" s="30">
        <v>2</v>
      </c>
      <c r="Q130" s="31" t="s">
        <v>14</v>
      </c>
      <c r="R130" s="31" t="s">
        <v>17</v>
      </c>
      <c r="S130" s="31" t="s">
        <v>18</v>
      </c>
      <c r="T130" s="31" t="s">
        <v>23</v>
      </c>
      <c r="U130" s="31">
        <v>2050</v>
      </c>
      <c r="V130" s="31" t="s">
        <v>33</v>
      </c>
      <c r="W130" s="31">
        <v>7.0702130932249987E-2</v>
      </c>
      <c r="X130" s="31" t="s">
        <v>52</v>
      </c>
      <c r="Y130" s="31">
        <v>2.79907650656178E-4</v>
      </c>
      <c r="Z130" s="31" t="s">
        <v>25</v>
      </c>
      <c r="AA130" s="31">
        <v>6.2032869535412032E-3</v>
      </c>
      <c r="AB130" s="31">
        <v>3.9589705001168681E-3</v>
      </c>
      <c r="AC130" s="31">
        <v>8.7738330821817478E-2</v>
      </c>
      <c r="AE130" s="13">
        <f t="shared" si="1"/>
        <v>2.4335318718986084E-2</v>
      </c>
    </row>
    <row r="131" spans="1:31" hidden="1" x14ac:dyDescent="0.35">
      <c r="A131" s="1">
        <v>3</v>
      </c>
      <c r="B131" t="s">
        <v>14</v>
      </c>
      <c r="C131" t="s">
        <v>17</v>
      </c>
      <c r="D131" t="s">
        <v>18</v>
      </c>
      <c r="E131" t="s">
        <v>23</v>
      </c>
      <c r="F131">
        <v>2050</v>
      </c>
      <c r="G131" t="s">
        <v>34</v>
      </c>
      <c r="H131">
        <v>1.346707255845492E-2</v>
      </c>
      <c r="I131" t="s">
        <v>52</v>
      </c>
      <c r="J131">
        <v>8.5379594547214287E-5</v>
      </c>
      <c r="K131" t="s">
        <v>25</v>
      </c>
      <c r="L131">
        <v>1.821840711366671E-3</v>
      </c>
      <c r="M131">
        <v>6.3398778150646493E-3</v>
      </c>
      <c r="N131">
        <v>0.1352811239011911</v>
      </c>
      <c r="P131" s="30">
        <v>3</v>
      </c>
      <c r="Q131" s="31" t="s">
        <v>14</v>
      </c>
      <c r="R131" s="31" t="s">
        <v>17</v>
      </c>
      <c r="S131" s="31" t="s">
        <v>18</v>
      </c>
      <c r="T131" s="31" t="s">
        <v>23</v>
      </c>
      <c r="U131" s="31">
        <v>2050</v>
      </c>
      <c r="V131" s="31" t="s">
        <v>34</v>
      </c>
      <c r="W131" s="31">
        <v>1.346707255845492E-2</v>
      </c>
      <c r="X131" s="31" t="s">
        <v>52</v>
      </c>
      <c r="Y131" s="31">
        <v>8.3398002171782329E-5</v>
      </c>
      <c r="Z131" s="31" t="s">
        <v>25</v>
      </c>
      <c r="AA131" s="31">
        <v>1.848258658206846E-3</v>
      </c>
      <c r="AB131" s="31">
        <v>6.1927343013699924E-3</v>
      </c>
      <c r="AC131" s="31">
        <v>0.13724279350128471</v>
      </c>
      <c r="AE131" s="13">
        <f t="shared" ref="AE131:AE168" si="2">(M131-AB131)/AVERAGE(M131,AB131)</f>
        <v>2.348169915858167E-2</v>
      </c>
    </row>
    <row r="132" spans="1:31" hidden="1" x14ac:dyDescent="0.35">
      <c r="A132" s="1">
        <v>4</v>
      </c>
      <c r="B132" t="s">
        <v>14</v>
      </c>
      <c r="C132" t="s">
        <v>17</v>
      </c>
      <c r="D132" t="s">
        <v>18</v>
      </c>
      <c r="E132" t="s">
        <v>23</v>
      </c>
      <c r="F132">
        <v>2050</v>
      </c>
      <c r="G132" t="s">
        <v>35</v>
      </c>
      <c r="H132">
        <v>0.19353555708011469</v>
      </c>
      <c r="I132" t="s">
        <v>52</v>
      </c>
      <c r="J132">
        <v>6.1824335517674384E-3</v>
      </c>
      <c r="K132" t="s">
        <v>25</v>
      </c>
      <c r="L132">
        <v>0.13192155806854511</v>
      </c>
      <c r="M132">
        <v>3.1944690913867577E-2</v>
      </c>
      <c r="N132">
        <v>0.68163990151915987</v>
      </c>
      <c r="P132" s="30">
        <v>4</v>
      </c>
      <c r="Q132" s="31" t="s">
        <v>14</v>
      </c>
      <c r="R132" s="31" t="s">
        <v>17</v>
      </c>
      <c r="S132" s="31" t="s">
        <v>18</v>
      </c>
      <c r="T132" s="31" t="s">
        <v>23</v>
      </c>
      <c r="U132" s="31">
        <v>2050</v>
      </c>
      <c r="V132" s="31" t="s">
        <v>35</v>
      </c>
      <c r="W132" s="31">
        <v>0.19353555708011469</v>
      </c>
      <c r="X132" s="31" t="s">
        <v>52</v>
      </c>
      <c r="Y132" s="31">
        <v>6.1342304395035187E-3</v>
      </c>
      <c r="Z132" s="31" t="s">
        <v>25</v>
      </c>
      <c r="AA132" s="31">
        <v>0.1359462364325611</v>
      </c>
      <c r="AB132" s="31">
        <v>3.169562499031759E-2</v>
      </c>
      <c r="AC132" s="31">
        <v>0.70243545157071963</v>
      </c>
      <c r="AE132" s="13">
        <f t="shared" si="2"/>
        <v>7.8273000380756092E-3</v>
      </c>
    </row>
    <row r="133" spans="1:31" hidden="1" x14ac:dyDescent="0.35">
      <c r="A133" s="1">
        <v>5</v>
      </c>
      <c r="B133" t="s">
        <v>14</v>
      </c>
      <c r="C133" t="s">
        <v>17</v>
      </c>
      <c r="D133" t="s">
        <v>18</v>
      </c>
      <c r="E133" t="s">
        <v>23</v>
      </c>
      <c r="F133">
        <v>2050</v>
      </c>
      <c r="G133" t="s">
        <v>36</v>
      </c>
      <c r="H133">
        <v>0.1572141332383965</v>
      </c>
      <c r="I133" t="s">
        <v>52</v>
      </c>
      <c r="J133">
        <v>2.3031839169512579E-3</v>
      </c>
      <c r="K133" t="s">
        <v>25</v>
      </c>
      <c r="L133">
        <v>4.9145633074497437E-2</v>
      </c>
      <c r="M133">
        <v>1.464998005910037E-2</v>
      </c>
      <c r="N133">
        <v>0.31260314872565531</v>
      </c>
      <c r="P133" s="30">
        <v>5</v>
      </c>
      <c r="Q133" s="31" t="s">
        <v>14</v>
      </c>
      <c r="R133" s="31" t="s">
        <v>17</v>
      </c>
      <c r="S133" s="31" t="s">
        <v>18</v>
      </c>
      <c r="T133" s="31" t="s">
        <v>23</v>
      </c>
      <c r="U133" s="31">
        <v>2050</v>
      </c>
      <c r="V133" s="31" t="s">
        <v>36</v>
      </c>
      <c r="W133" s="31">
        <v>0.1572141332383965</v>
      </c>
      <c r="X133" s="31" t="s">
        <v>52</v>
      </c>
      <c r="Y133" s="31">
        <v>2.2423913031611028E-3</v>
      </c>
      <c r="Z133" s="31" t="s">
        <v>25</v>
      </c>
      <c r="AA133" s="31">
        <v>4.969566456302401E-2</v>
      </c>
      <c r="AB133" s="31">
        <v>1.426329336282244E-2</v>
      </c>
      <c r="AC133" s="31">
        <v>0.3161017622230341</v>
      </c>
      <c r="AE133" s="13">
        <f t="shared" si="2"/>
        <v>2.674803994934271E-2</v>
      </c>
    </row>
    <row r="134" spans="1:31" hidden="1" x14ac:dyDescent="0.35">
      <c r="A134" s="1">
        <v>6</v>
      </c>
      <c r="B134" t="s">
        <v>14</v>
      </c>
      <c r="C134" t="s">
        <v>17</v>
      </c>
      <c r="D134" t="s">
        <v>18</v>
      </c>
      <c r="E134" t="s">
        <v>23</v>
      </c>
      <c r="F134">
        <v>2050</v>
      </c>
      <c r="G134" t="s">
        <v>37</v>
      </c>
      <c r="H134">
        <v>0.21471188530380569</v>
      </c>
      <c r="I134" t="s">
        <v>52</v>
      </c>
      <c r="J134">
        <v>3.2809166230205072E-3</v>
      </c>
      <c r="K134" t="s">
        <v>25</v>
      </c>
      <c r="L134">
        <v>7.0008618641460185E-2</v>
      </c>
      <c r="M134">
        <v>1.5280554303634321E-2</v>
      </c>
      <c r="N134">
        <v>0.32605842262714879</v>
      </c>
      <c r="P134" s="30">
        <v>6</v>
      </c>
      <c r="Q134" s="31" t="s">
        <v>14</v>
      </c>
      <c r="R134" s="31" t="s">
        <v>17</v>
      </c>
      <c r="S134" s="31" t="s">
        <v>18</v>
      </c>
      <c r="T134" s="31" t="s">
        <v>23</v>
      </c>
      <c r="U134" s="31">
        <v>2050</v>
      </c>
      <c r="V134" s="31" t="s">
        <v>37</v>
      </c>
      <c r="W134" s="31">
        <v>0.21471188530380569</v>
      </c>
      <c r="X134" s="31" t="s">
        <v>52</v>
      </c>
      <c r="Y134" s="31">
        <v>3.2079394492588271E-3</v>
      </c>
      <c r="Z134" s="31" t="s">
        <v>25</v>
      </c>
      <c r="AA134" s="31">
        <v>7.1094051508371003E-2</v>
      </c>
      <c r="AB134" s="31">
        <v>1.494067012042564E-2</v>
      </c>
      <c r="AC134" s="31">
        <v>0.33111372203628492</v>
      </c>
      <c r="AE134" s="13">
        <f t="shared" si="2"/>
        <v>2.249307827105046E-2</v>
      </c>
    </row>
    <row r="135" spans="1:31" x14ac:dyDescent="0.35">
      <c r="A135" s="1">
        <v>7</v>
      </c>
      <c r="B135" t="s">
        <v>14</v>
      </c>
      <c r="C135" t="s">
        <v>17</v>
      </c>
      <c r="D135" t="s">
        <v>18</v>
      </c>
      <c r="E135" t="s">
        <v>23</v>
      </c>
      <c r="F135">
        <v>2050</v>
      </c>
      <c r="G135" s="32" t="s">
        <v>38</v>
      </c>
      <c r="H135">
        <v>1.313468462121163E-2</v>
      </c>
      <c r="I135" t="s">
        <v>52</v>
      </c>
      <c r="J135">
        <v>1.927051634264575E-3</v>
      </c>
      <c r="K135" t="s">
        <v>25</v>
      </c>
      <c r="L135">
        <v>4.1119674306575017E-2</v>
      </c>
      <c r="M135">
        <v>0.1467147243986747</v>
      </c>
      <c r="N135">
        <v>3.1306175589606098</v>
      </c>
      <c r="P135" s="30">
        <v>7</v>
      </c>
      <c r="Q135" s="31" t="s">
        <v>14</v>
      </c>
      <c r="R135" s="31" t="s">
        <v>17</v>
      </c>
      <c r="S135" s="31" t="s">
        <v>18</v>
      </c>
      <c r="T135" s="31" t="s">
        <v>23</v>
      </c>
      <c r="U135" s="31">
        <v>2050</v>
      </c>
      <c r="V135" s="31" t="s">
        <v>38</v>
      </c>
      <c r="W135" s="31">
        <v>1.313468462121163E-2</v>
      </c>
      <c r="X135" s="31" t="s">
        <v>52</v>
      </c>
      <c r="Y135" s="31">
        <v>6.5741120983737306E-4</v>
      </c>
      <c r="Z135" s="31" t="s">
        <v>25</v>
      </c>
      <c r="AA135" s="31">
        <v>1.456948522677297E-2</v>
      </c>
      <c r="AB135" s="31">
        <v>5.0051541304288197E-2</v>
      </c>
      <c r="AC135" s="31">
        <v>1.1092375376295089</v>
      </c>
      <c r="AE135" s="37">
        <f t="shared" si="2"/>
        <v>0.98251783911281443</v>
      </c>
    </row>
    <row r="136" spans="1:31" hidden="1" x14ac:dyDescent="0.35">
      <c r="A136" s="1">
        <v>8</v>
      </c>
      <c r="B136" t="s">
        <v>14</v>
      </c>
      <c r="C136" t="s">
        <v>17</v>
      </c>
      <c r="D136" t="s">
        <v>18</v>
      </c>
      <c r="E136" t="s">
        <v>23</v>
      </c>
      <c r="F136">
        <v>2050</v>
      </c>
      <c r="G136" t="s">
        <v>39</v>
      </c>
      <c r="H136">
        <v>2.412493094341404E-3</v>
      </c>
      <c r="I136" t="s">
        <v>52</v>
      </c>
      <c r="J136">
        <v>0</v>
      </c>
      <c r="K136" t="s">
        <v>25</v>
      </c>
      <c r="L136">
        <v>0</v>
      </c>
      <c r="M136">
        <v>0</v>
      </c>
      <c r="N136">
        <v>0</v>
      </c>
      <c r="P136" s="30">
        <v>8</v>
      </c>
      <c r="Q136" s="31" t="s">
        <v>14</v>
      </c>
      <c r="R136" s="31" t="s">
        <v>17</v>
      </c>
      <c r="S136" s="31" t="s">
        <v>18</v>
      </c>
      <c r="T136" s="31" t="s">
        <v>23</v>
      </c>
      <c r="U136" s="31">
        <v>2050</v>
      </c>
      <c r="V136" s="31" t="s">
        <v>39</v>
      </c>
      <c r="W136" s="31">
        <v>2.412493094341404E-3</v>
      </c>
      <c r="X136" s="31" t="s">
        <v>52</v>
      </c>
      <c r="Y136" s="31">
        <v>0</v>
      </c>
      <c r="Z136" s="31" t="s">
        <v>25</v>
      </c>
      <c r="AA136" s="31">
        <v>0</v>
      </c>
      <c r="AB136" s="31">
        <v>0</v>
      </c>
      <c r="AC136" s="31">
        <v>0</v>
      </c>
    </row>
    <row r="137" spans="1:31" hidden="1" x14ac:dyDescent="0.35">
      <c r="A137" s="1">
        <v>9</v>
      </c>
      <c r="B137" t="s">
        <v>14</v>
      </c>
      <c r="C137" t="s">
        <v>17</v>
      </c>
      <c r="D137" t="s">
        <v>18</v>
      </c>
      <c r="E137" t="s">
        <v>23</v>
      </c>
      <c r="F137">
        <v>2050</v>
      </c>
      <c r="G137" t="s">
        <v>41</v>
      </c>
      <c r="H137">
        <v>6.7013697097184535E-4</v>
      </c>
      <c r="I137" t="s">
        <v>52</v>
      </c>
      <c r="J137">
        <v>5.4915076026583797E-5</v>
      </c>
      <c r="K137" t="s">
        <v>25</v>
      </c>
      <c r="L137">
        <v>1.171784917738176E-3</v>
      </c>
      <c r="M137">
        <v>8.194604745794716E-2</v>
      </c>
      <c r="N137">
        <v>1.748575244309877</v>
      </c>
      <c r="P137" s="30">
        <v>9</v>
      </c>
      <c r="Q137" s="31" t="s">
        <v>14</v>
      </c>
      <c r="R137" s="31" t="s">
        <v>17</v>
      </c>
      <c r="S137" s="31" t="s">
        <v>18</v>
      </c>
      <c r="T137" s="31" t="s">
        <v>23</v>
      </c>
      <c r="U137" s="31">
        <v>2050</v>
      </c>
      <c r="V137" s="31" t="s">
        <v>41</v>
      </c>
      <c r="W137" s="31">
        <v>6.7013697097184535E-4</v>
      </c>
      <c r="X137" s="31" t="s">
        <v>52</v>
      </c>
      <c r="Y137" s="31">
        <v>6.6784013929634115E-5</v>
      </c>
      <c r="Z137" s="31" t="s">
        <v>25</v>
      </c>
      <c r="AA137" s="31">
        <v>1.480061017780792E-3</v>
      </c>
      <c r="AB137" s="31">
        <v>9.965725937009963E-2</v>
      </c>
      <c r="AC137" s="31">
        <v>2.208594782697006</v>
      </c>
      <c r="AE137" s="38">
        <f t="shared" si="2"/>
        <v>-0.19505384809895049</v>
      </c>
    </row>
    <row r="138" spans="1:31" hidden="1" x14ac:dyDescent="0.35">
      <c r="A138" s="1">
        <v>10</v>
      </c>
      <c r="B138" t="s">
        <v>14</v>
      </c>
      <c r="C138" t="s">
        <v>17</v>
      </c>
      <c r="D138" t="s">
        <v>18</v>
      </c>
      <c r="E138" t="s">
        <v>23</v>
      </c>
      <c r="F138">
        <v>2050</v>
      </c>
      <c r="G138" t="s">
        <v>42</v>
      </c>
      <c r="H138">
        <v>2.1842904673904678E-2</v>
      </c>
      <c r="I138" t="s">
        <v>52</v>
      </c>
      <c r="J138">
        <v>1.2592248174597091E-3</v>
      </c>
      <c r="K138" t="s">
        <v>25</v>
      </c>
      <c r="L138">
        <v>2.68695002521093E-2</v>
      </c>
      <c r="M138">
        <v>5.7649146771403627E-2</v>
      </c>
      <c r="N138">
        <v>1.2301248690706319</v>
      </c>
      <c r="P138" s="30">
        <v>10</v>
      </c>
      <c r="Q138" s="31" t="s">
        <v>14</v>
      </c>
      <c r="R138" s="31" t="s">
        <v>17</v>
      </c>
      <c r="S138" s="31" t="s">
        <v>18</v>
      </c>
      <c r="T138" s="31" t="s">
        <v>23</v>
      </c>
      <c r="U138" s="31">
        <v>2050</v>
      </c>
      <c r="V138" s="31" t="s">
        <v>42</v>
      </c>
      <c r="W138" s="31">
        <v>2.1842904673904678E-2</v>
      </c>
      <c r="X138" s="31" t="s">
        <v>52</v>
      </c>
      <c r="Y138" s="31">
        <v>1.2143517440053749E-3</v>
      </c>
      <c r="Z138" s="31" t="s">
        <v>25</v>
      </c>
      <c r="AA138" s="31">
        <v>2.6912348815544201E-2</v>
      </c>
      <c r="AB138" s="31">
        <v>5.5594792090822027E-2</v>
      </c>
      <c r="AC138" s="31">
        <v>1.2320865387329141</v>
      </c>
      <c r="AE138" s="13">
        <f t="shared" si="2"/>
        <v>3.6281936167567599E-2</v>
      </c>
    </row>
    <row r="139" spans="1:31" hidden="1" x14ac:dyDescent="0.35">
      <c r="A139" s="1">
        <v>11</v>
      </c>
      <c r="B139" t="s">
        <v>14</v>
      </c>
      <c r="C139" t="s">
        <v>17</v>
      </c>
      <c r="D139" t="s">
        <v>18</v>
      </c>
      <c r="E139" t="s">
        <v>23</v>
      </c>
      <c r="F139">
        <v>2050</v>
      </c>
      <c r="G139" t="s">
        <v>43</v>
      </c>
      <c r="H139">
        <v>8.2453348769044171E-3</v>
      </c>
      <c r="I139" t="s">
        <v>52</v>
      </c>
      <c r="J139">
        <v>1.5036867621213001E-3</v>
      </c>
      <c r="K139" t="s">
        <v>25</v>
      </c>
      <c r="L139">
        <v>3.208586050219301E-2</v>
      </c>
      <c r="M139">
        <v>0.18236818571592531</v>
      </c>
      <c r="N139">
        <v>3.8913956778234762</v>
      </c>
      <c r="P139" s="30">
        <v>11</v>
      </c>
      <c r="Q139" s="31" t="s">
        <v>14</v>
      </c>
      <c r="R139" s="31" t="s">
        <v>17</v>
      </c>
      <c r="S139" s="31" t="s">
        <v>18</v>
      </c>
      <c r="T139" s="31" t="s">
        <v>23</v>
      </c>
      <c r="U139" s="31">
        <v>2050</v>
      </c>
      <c r="V139" s="31" t="s">
        <v>43</v>
      </c>
      <c r="W139" s="31">
        <v>8.2453348769044171E-3</v>
      </c>
      <c r="X139" s="31" t="s">
        <v>52</v>
      </c>
      <c r="Y139" s="31">
        <v>1.398076718405141E-3</v>
      </c>
      <c r="Z139" s="31" t="s">
        <v>25</v>
      </c>
      <c r="AA139" s="31">
        <v>3.0984044369638569E-2</v>
      </c>
      <c r="AB139" s="31">
        <v>0.16955972550262599</v>
      </c>
      <c r="AC139" s="31">
        <v>3.7577666440724422</v>
      </c>
      <c r="AE139" s="13">
        <f t="shared" si="2"/>
        <v>7.2790249394826298E-2</v>
      </c>
    </row>
    <row r="140" spans="1:31" hidden="1" x14ac:dyDescent="0.35">
      <c r="A140" s="1">
        <v>12</v>
      </c>
      <c r="B140" t="s">
        <v>14</v>
      </c>
      <c r="C140" t="s">
        <v>17</v>
      </c>
      <c r="D140" t="s">
        <v>18</v>
      </c>
      <c r="E140" t="s">
        <v>23</v>
      </c>
      <c r="F140">
        <v>2050</v>
      </c>
      <c r="G140" t="s">
        <v>44</v>
      </c>
      <c r="H140">
        <v>2.748444958968138E-3</v>
      </c>
      <c r="I140" t="s">
        <v>52</v>
      </c>
      <c r="J140">
        <v>1.8159220722618069E-4</v>
      </c>
      <c r="K140" t="s">
        <v>25</v>
      </c>
      <c r="L140">
        <v>3.874837749535591E-3</v>
      </c>
      <c r="M140">
        <v>6.6070890971874047E-2</v>
      </c>
      <c r="N140">
        <v>1.409829124244256</v>
      </c>
      <c r="P140" s="30">
        <v>12</v>
      </c>
      <c r="Q140" s="31" t="s">
        <v>14</v>
      </c>
      <c r="R140" s="31" t="s">
        <v>17</v>
      </c>
      <c r="S140" s="31" t="s">
        <v>18</v>
      </c>
      <c r="T140" s="31" t="s">
        <v>23</v>
      </c>
      <c r="U140" s="31">
        <v>2050</v>
      </c>
      <c r="V140" s="31" t="s">
        <v>44</v>
      </c>
      <c r="W140" s="31">
        <v>2.748444958968138E-3</v>
      </c>
      <c r="X140" s="31" t="s">
        <v>52</v>
      </c>
      <c r="Y140" s="31">
        <v>1.7543916570202011E-4</v>
      </c>
      <c r="Z140" s="31" t="s">
        <v>25</v>
      </c>
      <c r="AA140" s="31">
        <v>3.888066243234979E-3</v>
      </c>
      <c r="AB140" s="31">
        <v>6.3832155390110515E-2</v>
      </c>
      <c r="AC140" s="31">
        <v>1.414642207240961</v>
      </c>
      <c r="AE140" s="13">
        <f t="shared" si="2"/>
        <v>3.4467791856476214E-2</v>
      </c>
    </row>
    <row r="141" spans="1:31" hidden="1" x14ac:dyDescent="0.35">
      <c r="A141" s="1">
        <v>13</v>
      </c>
      <c r="B141" t="s">
        <v>14</v>
      </c>
      <c r="C141" t="s">
        <v>17</v>
      </c>
      <c r="D141" t="s">
        <v>18</v>
      </c>
      <c r="E141" t="s">
        <v>23</v>
      </c>
      <c r="F141">
        <v>2050</v>
      </c>
      <c r="G141" t="s">
        <v>45</v>
      </c>
      <c r="H141">
        <v>1.113843483371298E-2</v>
      </c>
      <c r="I141" t="s">
        <v>52</v>
      </c>
      <c r="J141">
        <v>1.126362485107837E-3</v>
      </c>
      <c r="K141" t="s">
        <v>25</v>
      </c>
      <c r="L141">
        <v>2.4034466806829628E-2</v>
      </c>
      <c r="M141">
        <v>0.1011239462207605</v>
      </c>
      <c r="N141">
        <v>2.1577957016082641</v>
      </c>
      <c r="P141" s="30">
        <v>13</v>
      </c>
      <c r="Q141" s="31" t="s">
        <v>14</v>
      </c>
      <c r="R141" s="31" t="s">
        <v>17</v>
      </c>
      <c r="S141" s="31" t="s">
        <v>18</v>
      </c>
      <c r="T141" s="31" t="s">
        <v>23</v>
      </c>
      <c r="U141" s="31">
        <v>2050</v>
      </c>
      <c r="V141" s="31" t="s">
        <v>45</v>
      </c>
      <c r="W141" s="31">
        <v>1.113843483371298E-2</v>
      </c>
      <c r="X141" s="31" t="s">
        <v>52</v>
      </c>
      <c r="Y141" s="31">
        <v>1.09573581153733E-3</v>
      </c>
      <c r="Z141" s="31" t="s">
        <v>25</v>
      </c>
      <c r="AA141" s="31">
        <v>2.4283593707792692E-2</v>
      </c>
      <c r="AB141" s="31">
        <v>9.837430733273568E-2</v>
      </c>
      <c r="AC141" s="31">
        <v>2.180162120650285</v>
      </c>
      <c r="AE141" s="13">
        <f t="shared" si="2"/>
        <v>2.7565543447602096E-2</v>
      </c>
    </row>
    <row r="142" spans="1:31" hidden="1" x14ac:dyDescent="0.35">
      <c r="A142" s="1">
        <v>14</v>
      </c>
      <c r="B142" t="s">
        <v>14</v>
      </c>
      <c r="C142" t="s">
        <v>17</v>
      </c>
      <c r="D142" t="s">
        <v>18</v>
      </c>
      <c r="E142" t="s">
        <v>23</v>
      </c>
      <c r="F142">
        <v>2050</v>
      </c>
      <c r="G142" t="s">
        <v>46</v>
      </c>
      <c r="H142">
        <v>4.6246929599690588E-2</v>
      </c>
      <c r="I142" t="s">
        <v>52</v>
      </c>
      <c r="J142">
        <v>2.3078397467017769E-2</v>
      </c>
      <c r="K142" t="s">
        <v>25</v>
      </c>
      <c r="L142">
        <v>0.49244979765351038</v>
      </c>
      <c r="M142">
        <v>0.49902550648837402</v>
      </c>
      <c r="N142">
        <v>10.648270099574461</v>
      </c>
      <c r="P142" s="30">
        <v>14</v>
      </c>
      <c r="Q142" s="31" t="s">
        <v>14</v>
      </c>
      <c r="R142" s="31" t="s">
        <v>17</v>
      </c>
      <c r="S142" s="31" t="s">
        <v>18</v>
      </c>
      <c r="T142" s="31" t="s">
        <v>23</v>
      </c>
      <c r="U142" s="31">
        <v>2050</v>
      </c>
      <c r="V142" s="31" t="s">
        <v>46</v>
      </c>
      <c r="W142" s="31">
        <v>4.6246929599690588E-2</v>
      </c>
      <c r="X142" s="31" t="s">
        <v>52</v>
      </c>
      <c r="Y142" s="31">
        <v>2.3077535150528829E-2</v>
      </c>
      <c r="Z142" s="31" t="s">
        <v>25</v>
      </c>
      <c r="AA142" s="31">
        <v>0.51144215738143239</v>
      </c>
      <c r="AB142" s="31">
        <v>0.49900686056968468</v>
      </c>
      <c r="AC142" s="31">
        <v>11.05894297866759</v>
      </c>
      <c r="AE142" s="13">
        <f t="shared" si="2"/>
        <v>3.7365358689305795E-5</v>
      </c>
    </row>
    <row r="143" spans="1:31" hidden="1" x14ac:dyDescent="0.35">
      <c r="A143" s="1">
        <v>15</v>
      </c>
      <c r="B143" t="s">
        <v>14</v>
      </c>
      <c r="C143" t="s">
        <v>17</v>
      </c>
      <c r="D143" t="s">
        <v>18</v>
      </c>
      <c r="E143" t="s">
        <v>23</v>
      </c>
      <c r="F143">
        <v>2050</v>
      </c>
      <c r="G143" t="s">
        <v>24</v>
      </c>
      <c r="H143">
        <v>3.1242684515255099E-2</v>
      </c>
      <c r="I143" t="s">
        <v>52</v>
      </c>
      <c r="J143">
        <v>1.464171768604269E-3</v>
      </c>
      <c r="K143" t="s">
        <v>25</v>
      </c>
      <c r="L143">
        <v>3.1242684515231541E-2</v>
      </c>
      <c r="M143">
        <v>4.6864467356809471E-2</v>
      </c>
      <c r="N143">
        <v>0.99999999999924605</v>
      </c>
      <c r="P143" s="30">
        <v>15</v>
      </c>
      <c r="Q143" s="31" t="s">
        <v>14</v>
      </c>
      <c r="R143" s="31" t="s">
        <v>17</v>
      </c>
      <c r="S143" s="31" t="s">
        <v>18</v>
      </c>
      <c r="T143" s="31" t="s">
        <v>23</v>
      </c>
      <c r="U143" s="31">
        <v>2050</v>
      </c>
      <c r="V143" s="31" t="s">
        <v>24</v>
      </c>
      <c r="W143" s="31">
        <v>3.1242684515255099E-2</v>
      </c>
      <c r="X143" s="31" t="s">
        <v>52</v>
      </c>
      <c r="Y143" s="31">
        <v>1.409747201500166E-3</v>
      </c>
      <c r="Z143" s="31" t="s">
        <v>25</v>
      </c>
      <c r="AA143" s="31">
        <v>3.1242684515255088E-2</v>
      </c>
      <c r="AB143" s="31">
        <v>4.5122473416515103E-2</v>
      </c>
      <c r="AC143" s="31">
        <v>0.99999999999999967</v>
      </c>
      <c r="AE143" s="13">
        <f t="shared" si="2"/>
        <v>3.7874809742548386E-2</v>
      </c>
    </row>
    <row r="144" spans="1:31" hidden="1" x14ac:dyDescent="0.35">
      <c r="A144" s="1">
        <v>16</v>
      </c>
      <c r="B144" t="s">
        <v>14</v>
      </c>
      <c r="C144" t="s">
        <v>17</v>
      </c>
      <c r="D144" t="s">
        <v>18</v>
      </c>
      <c r="E144" t="s">
        <v>23</v>
      </c>
      <c r="F144">
        <v>2050</v>
      </c>
      <c r="G144" t="s">
        <v>47</v>
      </c>
      <c r="H144">
        <v>5.6500000000000001E-9</v>
      </c>
      <c r="I144" t="s">
        <v>53</v>
      </c>
      <c r="J144">
        <v>1.0307763794655609E-3</v>
      </c>
      <c r="K144" t="s">
        <v>25</v>
      </c>
      <c r="L144">
        <v>2.1994838255960901E-2</v>
      </c>
      <c r="M144">
        <v>182438.29725054171</v>
      </c>
      <c r="N144">
        <v>3892891.7267187419</v>
      </c>
      <c r="P144" s="30">
        <v>16</v>
      </c>
      <c r="Q144" s="31" t="s">
        <v>14</v>
      </c>
      <c r="R144" s="31" t="s">
        <v>17</v>
      </c>
      <c r="S144" s="31" t="s">
        <v>18</v>
      </c>
      <c r="T144" s="31" t="s">
        <v>23</v>
      </c>
      <c r="U144" s="31">
        <v>2050</v>
      </c>
      <c r="V144" s="31" t="s">
        <v>47</v>
      </c>
      <c r="W144" s="31">
        <v>5.6500000000000001E-9</v>
      </c>
      <c r="X144" s="31" t="s">
        <v>53</v>
      </c>
      <c r="Y144" s="31">
        <v>9.9927820609817903E-4</v>
      </c>
      <c r="Z144" s="31" t="s">
        <v>25</v>
      </c>
      <c r="AA144" s="31">
        <v>2.2145909353728749E-2</v>
      </c>
      <c r="AB144" s="31">
        <v>176863.3993094122</v>
      </c>
      <c r="AC144" s="31">
        <v>3919629.9741112841</v>
      </c>
      <c r="AE144" s="13">
        <f t="shared" si="2"/>
        <v>3.1031848691531434E-2</v>
      </c>
    </row>
    <row r="145" spans="1:31" hidden="1" x14ac:dyDescent="0.35">
      <c r="A145" s="1">
        <v>17</v>
      </c>
      <c r="B145" t="s">
        <v>14</v>
      </c>
      <c r="C145" t="s">
        <v>17</v>
      </c>
      <c r="D145" t="s">
        <v>18</v>
      </c>
      <c r="E145" t="s">
        <v>23</v>
      </c>
      <c r="F145">
        <v>2050</v>
      </c>
      <c r="G145" t="s">
        <v>48</v>
      </c>
      <c r="H145">
        <v>3.8600000000000001E-10</v>
      </c>
      <c r="I145" t="s">
        <v>53</v>
      </c>
      <c r="J145">
        <v>7.9851008376151964E-5</v>
      </c>
      <c r="K145" t="s">
        <v>25</v>
      </c>
      <c r="L145">
        <v>1.703871032356656E-3</v>
      </c>
      <c r="M145">
        <v>206867.89734754391</v>
      </c>
      <c r="N145">
        <v>4414173.6589550674</v>
      </c>
      <c r="P145" s="30">
        <v>17</v>
      </c>
      <c r="Q145" s="31" t="s">
        <v>14</v>
      </c>
      <c r="R145" s="31" t="s">
        <v>17</v>
      </c>
      <c r="S145" s="31" t="s">
        <v>18</v>
      </c>
      <c r="T145" s="31" t="s">
        <v>23</v>
      </c>
      <c r="U145" s="31">
        <v>2050</v>
      </c>
      <c r="V145" s="31" t="s">
        <v>48</v>
      </c>
      <c r="W145" s="31">
        <v>3.8600000000000001E-10</v>
      </c>
      <c r="X145" s="31" t="s">
        <v>53</v>
      </c>
      <c r="Y145" s="31">
        <v>8.2273538344798607E-5</v>
      </c>
      <c r="Z145" s="31" t="s">
        <v>25</v>
      </c>
      <c r="AA145" s="31">
        <v>1.8233383969302971E-3</v>
      </c>
      <c r="AB145" s="31">
        <v>213143.88172227619</v>
      </c>
      <c r="AC145" s="31">
        <v>4723674.6034463644</v>
      </c>
      <c r="AE145" s="13">
        <f t="shared" si="2"/>
        <v>-2.9884801748329037E-2</v>
      </c>
    </row>
    <row r="146" spans="1:31" hidden="1" x14ac:dyDescent="0.35">
      <c r="A146" s="1">
        <v>18</v>
      </c>
      <c r="B146" t="s">
        <v>14</v>
      </c>
      <c r="C146" t="s">
        <v>17</v>
      </c>
      <c r="D146" t="s">
        <v>18</v>
      </c>
      <c r="E146" t="s">
        <v>23</v>
      </c>
      <c r="F146">
        <v>2050</v>
      </c>
      <c r="G146" t="s">
        <v>49</v>
      </c>
      <c r="H146">
        <v>3.47E-12</v>
      </c>
      <c r="I146" t="s">
        <v>53</v>
      </c>
      <c r="J146">
        <v>8.3777957561885135E-7</v>
      </c>
      <c r="K146" t="s">
        <v>25</v>
      </c>
      <c r="L146">
        <v>1.7876647764705451E-5</v>
      </c>
      <c r="M146">
        <v>241435.03620139809</v>
      </c>
      <c r="N146">
        <v>5151771.690116846</v>
      </c>
      <c r="P146" s="30">
        <v>18</v>
      </c>
      <c r="Q146" s="31" t="s">
        <v>14</v>
      </c>
      <c r="R146" s="31" t="s">
        <v>17</v>
      </c>
      <c r="S146" s="31" t="s">
        <v>18</v>
      </c>
      <c r="T146" s="31" t="s">
        <v>23</v>
      </c>
      <c r="U146" s="31">
        <v>2050</v>
      </c>
      <c r="V146" s="31" t="s">
        <v>49</v>
      </c>
      <c r="W146" s="31">
        <v>3.47E-12</v>
      </c>
      <c r="X146" s="31" t="s">
        <v>53</v>
      </c>
      <c r="Y146" s="31">
        <v>8.488356105521139E-7</v>
      </c>
      <c r="Z146" s="31" t="s">
        <v>25</v>
      </c>
      <c r="AA146" s="31">
        <v>1.8811814740666111E-5</v>
      </c>
      <c r="AB146" s="31">
        <v>244621.2134155948</v>
      </c>
      <c r="AC146" s="31">
        <v>5421272.2595579578</v>
      </c>
      <c r="AE146" s="13">
        <f t="shared" si="2"/>
        <v>-1.3110322999477455E-2</v>
      </c>
    </row>
    <row r="147" spans="1:31" hidden="1" x14ac:dyDescent="0.35">
      <c r="A147" s="1">
        <v>19</v>
      </c>
      <c r="B147" t="s">
        <v>14</v>
      </c>
      <c r="C147" t="s">
        <v>17</v>
      </c>
      <c r="D147" t="s">
        <v>18</v>
      </c>
      <c r="E147" t="s">
        <v>23</v>
      </c>
      <c r="F147">
        <v>2050</v>
      </c>
      <c r="G147" t="s">
        <v>50</v>
      </c>
      <c r="H147">
        <v>5.0000000000000004E-6</v>
      </c>
      <c r="I147" t="s">
        <v>54</v>
      </c>
      <c r="P147" s="30">
        <v>19</v>
      </c>
      <c r="Q147" s="31" t="s">
        <v>14</v>
      </c>
      <c r="R147" s="31" t="s">
        <v>17</v>
      </c>
      <c r="S147" s="31" t="s">
        <v>18</v>
      </c>
      <c r="T147" s="31" t="s">
        <v>23</v>
      </c>
      <c r="U147" s="31">
        <v>2050</v>
      </c>
      <c r="V147" s="31" t="s">
        <v>50</v>
      </c>
      <c r="W147" s="31">
        <v>5.0000000000000004E-6</v>
      </c>
      <c r="X147" s="31" t="s">
        <v>54</v>
      </c>
      <c r="Y147" s="31"/>
      <c r="Z147" s="31"/>
      <c r="AA147" s="31"/>
      <c r="AB147" s="31"/>
      <c r="AC147" s="31"/>
    </row>
    <row r="148" spans="1:31" hidden="1" x14ac:dyDescent="0.35">
      <c r="A148" s="1">
        <v>20</v>
      </c>
      <c r="B148" t="s">
        <v>14</v>
      </c>
      <c r="C148" t="s">
        <v>17</v>
      </c>
      <c r="D148" t="s">
        <v>18</v>
      </c>
      <c r="E148" t="s">
        <v>23</v>
      </c>
      <c r="F148">
        <v>2050</v>
      </c>
      <c r="G148" t="s">
        <v>51</v>
      </c>
      <c r="H148">
        <v>4.16E-6</v>
      </c>
      <c r="I148" t="s">
        <v>54</v>
      </c>
      <c r="P148" s="30">
        <v>20</v>
      </c>
      <c r="Q148" s="31" t="s">
        <v>14</v>
      </c>
      <c r="R148" s="31" t="s">
        <v>17</v>
      </c>
      <c r="S148" s="31" t="s">
        <v>18</v>
      </c>
      <c r="T148" s="31" t="s">
        <v>23</v>
      </c>
      <c r="U148" s="31">
        <v>2050</v>
      </c>
      <c r="V148" s="31" t="s">
        <v>51</v>
      </c>
      <c r="W148" s="31">
        <v>4.16E-6</v>
      </c>
      <c r="X148" s="31" t="s">
        <v>54</v>
      </c>
      <c r="Y148" s="31"/>
      <c r="Z148" s="31"/>
      <c r="AA148" s="31"/>
      <c r="AB148" s="31"/>
      <c r="AC148" s="31"/>
    </row>
    <row r="149" spans="1:31" hidden="1" x14ac:dyDescent="0.35">
      <c r="B149" s="1" t="s">
        <v>0</v>
      </c>
      <c r="C149" s="1" t="s">
        <v>1</v>
      </c>
      <c r="D149" s="1" t="s">
        <v>2</v>
      </c>
      <c r="E149" s="1" t="s">
        <v>3</v>
      </c>
      <c r="F149" s="1" t="s">
        <v>4</v>
      </c>
      <c r="G149" s="1" t="s">
        <v>5</v>
      </c>
      <c r="H149" s="1" t="s">
        <v>27</v>
      </c>
      <c r="I149" s="1" t="s">
        <v>28</v>
      </c>
      <c r="J149" s="1" t="s">
        <v>6</v>
      </c>
      <c r="K149" s="1" t="s">
        <v>29</v>
      </c>
      <c r="L149" s="1" t="s">
        <v>30</v>
      </c>
      <c r="M149" s="1" t="s">
        <v>31</v>
      </c>
      <c r="N149" s="1" t="s">
        <v>32</v>
      </c>
      <c r="Q149" s="1" t="s">
        <v>0</v>
      </c>
      <c r="R149" s="1" t="s">
        <v>1</v>
      </c>
      <c r="S149" s="1" t="s">
        <v>2</v>
      </c>
      <c r="T149" s="1" t="s">
        <v>3</v>
      </c>
      <c r="U149" s="1" t="s">
        <v>4</v>
      </c>
      <c r="V149" s="1" t="s">
        <v>5</v>
      </c>
      <c r="W149" s="1" t="s">
        <v>27</v>
      </c>
      <c r="X149" s="1" t="s">
        <v>28</v>
      </c>
      <c r="Y149" s="1" t="s">
        <v>6</v>
      </c>
      <c r="Z149" s="1" t="s">
        <v>29</v>
      </c>
      <c r="AA149" s="1" t="s">
        <v>30</v>
      </c>
      <c r="AB149" s="1" t="s">
        <v>31</v>
      </c>
      <c r="AC149" s="1" t="s">
        <v>32</v>
      </c>
    </row>
    <row r="150" spans="1:31" hidden="1" x14ac:dyDescent="0.35">
      <c r="A150" s="1">
        <v>0</v>
      </c>
      <c r="B150" t="s">
        <v>15</v>
      </c>
      <c r="C150" t="s">
        <v>17</v>
      </c>
      <c r="D150" t="s">
        <v>20</v>
      </c>
      <c r="E150" t="s">
        <v>23</v>
      </c>
      <c r="F150">
        <v>2050</v>
      </c>
      <c r="G150" t="s">
        <v>55</v>
      </c>
      <c r="H150">
        <v>0.1238413121453323</v>
      </c>
      <c r="I150" t="s">
        <v>52</v>
      </c>
      <c r="J150">
        <v>4.7992156331864131E-4</v>
      </c>
      <c r="K150" t="s">
        <v>25</v>
      </c>
      <c r="L150">
        <v>3.6380060290848323E-2</v>
      </c>
      <c r="M150">
        <v>3.8752945604729689E-3</v>
      </c>
      <c r="N150">
        <v>0.29376352414737822</v>
      </c>
      <c r="P150" s="1">
        <v>0</v>
      </c>
      <c r="Q150" t="s">
        <v>15</v>
      </c>
      <c r="R150" t="s">
        <v>17</v>
      </c>
      <c r="S150" t="s">
        <v>20</v>
      </c>
      <c r="T150" t="s">
        <v>23</v>
      </c>
      <c r="U150">
        <v>2050</v>
      </c>
      <c r="V150" t="s">
        <v>55</v>
      </c>
      <c r="W150">
        <v>0.1238413121453323</v>
      </c>
      <c r="X150" t="s">
        <v>52</v>
      </c>
      <c r="Y150">
        <v>5.2573079565797209E-4</v>
      </c>
      <c r="Z150" t="s">
        <v>25</v>
      </c>
      <c r="AA150">
        <v>3.644622135388173E-2</v>
      </c>
      <c r="AB150">
        <v>4.2451972330607079E-3</v>
      </c>
      <c r="AC150">
        <v>0.29429776479686159</v>
      </c>
      <c r="AE150" s="13">
        <f t="shared" si="2"/>
        <v>-9.1103514908368349E-2</v>
      </c>
    </row>
    <row r="151" spans="1:31" hidden="1" x14ac:dyDescent="0.35">
      <c r="A151" s="1">
        <v>1</v>
      </c>
      <c r="B151" t="s">
        <v>15</v>
      </c>
      <c r="C151" t="s">
        <v>17</v>
      </c>
      <c r="D151" t="s">
        <v>20</v>
      </c>
      <c r="E151" t="s">
        <v>23</v>
      </c>
      <c r="F151">
        <v>2050</v>
      </c>
      <c r="G151" t="s">
        <v>56</v>
      </c>
      <c r="H151">
        <v>0.1200885451119403</v>
      </c>
      <c r="I151" t="s">
        <v>52</v>
      </c>
      <c r="J151">
        <v>3.683933377996961E-4</v>
      </c>
      <c r="K151" t="s">
        <v>25</v>
      </c>
      <c r="L151">
        <v>2.7925754673793431E-2</v>
      </c>
      <c r="M151">
        <v>3.0676809137482591E-3</v>
      </c>
      <c r="N151">
        <v>0.23254303437319929</v>
      </c>
      <c r="P151" s="1">
        <v>1</v>
      </c>
      <c r="Q151" t="s">
        <v>15</v>
      </c>
      <c r="R151" t="s">
        <v>17</v>
      </c>
      <c r="S151" t="s">
        <v>20</v>
      </c>
      <c r="T151" t="s">
        <v>23</v>
      </c>
      <c r="U151">
        <v>2050</v>
      </c>
      <c r="V151" t="s">
        <v>56</v>
      </c>
      <c r="W151">
        <v>0.1200885451119403</v>
      </c>
      <c r="X151" t="s">
        <v>52</v>
      </c>
      <c r="Y151">
        <v>3.9622706264995442E-4</v>
      </c>
      <c r="Z151" t="s">
        <v>25</v>
      </c>
      <c r="AA151">
        <v>2.7468391334514019E-2</v>
      </c>
      <c r="AB151">
        <v>3.2994575983963498E-3</v>
      </c>
      <c r="AC151">
        <v>0.22873448345060229</v>
      </c>
      <c r="AE151" s="13">
        <f t="shared" si="2"/>
        <v>-7.2804034090353936E-2</v>
      </c>
    </row>
    <row r="152" spans="1:31" hidden="1" x14ac:dyDescent="0.35">
      <c r="A152" s="1">
        <v>2</v>
      </c>
      <c r="B152" t="s">
        <v>15</v>
      </c>
      <c r="C152" t="s">
        <v>17</v>
      </c>
      <c r="D152" t="s">
        <v>20</v>
      </c>
      <c r="E152" t="s">
        <v>23</v>
      </c>
      <c r="F152">
        <v>2050</v>
      </c>
      <c r="G152" t="s">
        <v>33</v>
      </c>
      <c r="H152">
        <v>7.0702130932249987E-2</v>
      </c>
      <c r="I152" t="s">
        <v>52</v>
      </c>
      <c r="J152">
        <v>1.5273680603157091E-4</v>
      </c>
      <c r="K152" t="s">
        <v>25</v>
      </c>
      <c r="L152">
        <v>1.157808824766412E-2</v>
      </c>
      <c r="M152">
        <v>2.1602857511880411E-3</v>
      </c>
      <c r="N152">
        <v>0.1637586886703426</v>
      </c>
      <c r="P152" s="1">
        <v>2</v>
      </c>
      <c r="Q152" t="s">
        <v>15</v>
      </c>
      <c r="R152" t="s">
        <v>17</v>
      </c>
      <c r="S152" t="s">
        <v>20</v>
      </c>
      <c r="T152" t="s">
        <v>23</v>
      </c>
      <c r="U152">
        <v>2050</v>
      </c>
      <c r="V152" t="s">
        <v>33</v>
      </c>
      <c r="W152">
        <v>7.0702130932249987E-2</v>
      </c>
      <c r="X152" t="s">
        <v>52</v>
      </c>
      <c r="Y152">
        <v>1.619818376972673E-4</v>
      </c>
      <c r="Z152" t="s">
        <v>25</v>
      </c>
      <c r="AA152">
        <v>1.1229370546259399E-2</v>
      </c>
      <c r="AB152">
        <v>2.2910460485623231E-3</v>
      </c>
      <c r="AC152">
        <v>0.15882647945957801</v>
      </c>
      <c r="AE152" s="13">
        <f t="shared" si="2"/>
        <v>-5.8751089901505536E-2</v>
      </c>
    </row>
    <row r="153" spans="1:31" hidden="1" x14ac:dyDescent="0.35">
      <c r="A153" s="1">
        <v>3</v>
      </c>
      <c r="B153" t="s">
        <v>15</v>
      </c>
      <c r="C153" t="s">
        <v>17</v>
      </c>
      <c r="D153" t="s">
        <v>20</v>
      </c>
      <c r="E153" t="s">
        <v>23</v>
      </c>
      <c r="F153">
        <v>2050</v>
      </c>
      <c r="G153" t="s">
        <v>34</v>
      </c>
      <c r="H153">
        <v>1.346707255845492E-2</v>
      </c>
      <c r="I153" t="s">
        <v>52</v>
      </c>
      <c r="J153">
        <v>4.2419197075773657E-5</v>
      </c>
      <c r="K153" t="s">
        <v>25</v>
      </c>
      <c r="L153">
        <v>3.2155524257646549E-3</v>
      </c>
      <c r="M153">
        <v>3.1498454390625498E-3</v>
      </c>
      <c r="N153">
        <v>0.23877144879165749</v>
      </c>
      <c r="P153" s="1">
        <v>3</v>
      </c>
      <c r="Q153" t="s">
        <v>15</v>
      </c>
      <c r="R153" t="s">
        <v>17</v>
      </c>
      <c r="S153" t="s">
        <v>20</v>
      </c>
      <c r="T153" t="s">
        <v>23</v>
      </c>
      <c r="U153">
        <v>2050</v>
      </c>
      <c r="V153" t="s">
        <v>34</v>
      </c>
      <c r="W153">
        <v>1.346707255845492E-2</v>
      </c>
      <c r="X153" t="s">
        <v>52</v>
      </c>
      <c r="Y153">
        <v>4.4624479011611699E-5</v>
      </c>
      <c r="Z153" t="s">
        <v>25</v>
      </c>
      <c r="AA153">
        <v>3.0935864006660591E-3</v>
      </c>
      <c r="AB153">
        <v>3.3135990630417649E-3</v>
      </c>
      <c r="AC153">
        <v>0.22971483871035051</v>
      </c>
      <c r="AE153" s="13">
        <f t="shared" si="2"/>
        <v>-5.0670698549636038E-2</v>
      </c>
    </row>
    <row r="154" spans="1:31" hidden="1" x14ac:dyDescent="0.35">
      <c r="A154" s="1">
        <v>4</v>
      </c>
      <c r="B154" t="s">
        <v>15</v>
      </c>
      <c r="C154" t="s">
        <v>17</v>
      </c>
      <c r="D154" t="s">
        <v>20</v>
      </c>
      <c r="E154" t="s">
        <v>23</v>
      </c>
      <c r="F154">
        <v>2050</v>
      </c>
      <c r="G154" t="s">
        <v>35</v>
      </c>
      <c r="H154">
        <v>0.19353555708011469</v>
      </c>
      <c r="I154" t="s">
        <v>52</v>
      </c>
      <c r="J154">
        <v>2.4338964429406998E-3</v>
      </c>
      <c r="K154" t="s">
        <v>25</v>
      </c>
      <c r="L154">
        <v>0.1844995226377748</v>
      </c>
      <c r="M154">
        <v>1.2575965262720069E-2</v>
      </c>
      <c r="N154">
        <v>0.95331072708980635</v>
      </c>
      <c r="P154" s="1">
        <v>4</v>
      </c>
      <c r="Q154" t="s">
        <v>15</v>
      </c>
      <c r="R154" t="s">
        <v>17</v>
      </c>
      <c r="S154" t="s">
        <v>20</v>
      </c>
      <c r="T154" t="s">
        <v>23</v>
      </c>
      <c r="U154">
        <v>2050</v>
      </c>
      <c r="V154" t="s">
        <v>35</v>
      </c>
      <c r="W154">
        <v>0.19353555708011469</v>
      </c>
      <c r="X154" t="s">
        <v>52</v>
      </c>
      <c r="Y154">
        <v>2.7870157602229058E-3</v>
      </c>
      <c r="Z154" t="s">
        <v>25</v>
      </c>
      <c r="AA154">
        <v>0.19320951740465289</v>
      </c>
      <c r="AB154">
        <v>1.440053601658951E-2</v>
      </c>
      <c r="AC154">
        <v>0.99831535000399574</v>
      </c>
      <c r="AE154" s="38">
        <f t="shared" si="2"/>
        <v>-0.1352711187398381</v>
      </c>
    </row>
    <row r="155" spans="1:31" hidden="1" x14ac:dyDescent="0.35">
      <c r="A155" s="1">
        <v>5</v>
      </c>
      <c r="B155" t="s">
        <v>15</v>
      </c>
      <c r="C155" t="s">
        <v>17</v>
      </c>
      <c r="D155" t="s">
        <v>20</v>
      </c>
      <c r="E155" t="s">
        <v>23</v>
      </c>
      <c r="F155">
        <v>2050</v>
      </c>
      <c r="G155" t="s">
        <v>36</v>
      </c>
      <c r="H155">
        <v>0.1572141332383965</v>
      </c>
      <c r="I155" t="s">
        <v>52</v>
      </c>
      <c r="J155">
        <v>1.451333605315483E-3</v>
      </c>
      <c r="K155" t="s">
        <v>25</v>
      </c>
      <c r="L155">
        <v>0.11001715300809591</v>
      </c>
      <c r="M155">
        <v>9.2315720948237447E-3</v>
      </c>
      <c r="N155">
        <v>0.69979174735688676</v>
      </c>
      <c r="P155" s="1">
        <v>5</v>
      </c>
      <c r="Q155" t="s">
        <v>15</v>
      </c>
      <c r="R155" t="s">
        <v>17</v>
      </c>
      <c r="S155" t="s">
        <v>20</v>
      </c>
      <c r="T155" t="s">
        <v>23</v>
      </c>
      <c r="U155">
        <v>2050</v>
      </c>
      <c r="V155" t="s">
        <v>36</v>
      </c>
      <c r="W155">
        <v>0.1572141332383965</v>
      </c>
      <c r="X155" t="s">
        <v>52</v>
      </c>
      <c r="Y155">
        <v>1.4865719532559461E-3</v>
      </c>
      <c r="Z155" t="s">
        <v>25</v>
      </c>
      <c r="AA155">
        <v>0.1030564138800929</v>
      </c>
      <c r="AB155">
        <v>9.4557144617636677E-3</v>
      </c>
      <c r="AC155">
        <v>0.65551621700461338</v>
      </c>
      <c r="AE155" s="13">
        <f t="shared" si="2"/>
        <v>-2.3988754735599756E-2</v>
      </c>
    </row>
    <row r="156" spans="1:31" hidden="1" x14ac:dyDescent="0.35">
      <c r="A156" s="1">
        <v>6</v>
      </c>
      <c r="B156" t="s">
        <v>15</v>
      </c>
      <c r="C156" t="s">
        <v>17</v>
      </c>
      <c r="D156" t="s">
        <v>20</v>
      </c>
      <c r="E156" t="s">
        <v>23</v>
      </c>
      <c r="F156">
        <v>2050</v>
      </c>
      <c r="G156" t="s">
        <v>37</v>
      </c>
      <c r="H156">
        <v>0.21471188530380569</v>
      </c>
      <c r="I156" t="s">
        <v>52</v>
      </c>
      <c r="J156">
        <v>2.1733522306498329E-3</v>
      </c>
      <c r="K156" t="s">
        <v>25</v>
      </c>
      <c r="L156">
        <v>0.16474918242378439</v>
      </c>
      <c r="M156">
        <v>1.0122179438621469E-2</v>
      </c>
      <c r="N156">
        <v>0.76730350623428756</v>
      </c>
      <c r="P156" s="1">
        <v>6</v>
      </c>
      <c r="Q156" t="s">
        <v>15</v>
      </c>
      <c r="R156" t="s">
        <v>17</v>
      </c>
      <c r="S156" t="s">
        <v>20</v>
      </c>
      <c r="T156" t="s">
        <v>23</v>
      </c>
      <c r="U156">
        <v>2050</v>
      </c>
      <c r="V156" t="s">
        <v>37</v>
      </c>
      <c r="W156">
        <v>0.21471188530380569</v>
      </c>
      <c r="X156" t="s">
        <v>52</v>
      </c>
      <c r="Y156">
        <v>2.2223683925965982E-3</v>
      </c>
      <c r="Z156" t="s">
        <v>25</v>
      </c>
      <c r="AA156">
        <v>0.15406540958871401</v>
      </c>
      <c r="AB156">
        <v>1.035046750882964E-2</v>
      </c>
      <c r="AC156">
        <v>0.71754485957179182</v>
      </c>
      <c r="AE156" s="13">
        <f t="shared" si="2"/>
        <v>-2.2301763987249666E-2</v>
      </c>
    </row>
    <row r="157" spans="1:31" x14ac:dyDescent="0.35">
      <c r="A157" s="1">
        <v>7</v>
      </c>
      <c r="B157" t="s">
        <v>15</v>
      </c>
      <c r="C157" t="s">
        <v>17</v>
      </c>
      <c r="D157" t="s">
        <v>20</v>
      </c>
      <c r="E157" t="s">
        <v>23</v>
      </c>
      <c r="F157">
        <v>2050</v>
      </c>
      <c r="G157" s="32" t="s">
        <v>38</v>
      </c>
      <c r="H157">
        <v>1.313468462121163E-2</v>
      </c>
      <c r="I157" t="s">
        <v>52</v>
      </c>
      <c r="J157">
        <v>2.248715166461978E-3</v>
      </c>
      <c r="K157" t="s">
        <v>25</v>
      </c>
      <c r="L157">
        <v>0.17046200793131591</v>
      </c>
      <c r="M157">
        <v>0.17120435178401269</v>
      </c>
      <c r="N157">
        <v>12.97800539923367</v>
      </c>
      <c r="P157" s="1">
        <v>7</v>
      </c>
      <c r="Q157" t="s">
        <v>15</v>
      </c>
      <c r="R157" t="s">
        <v>17</v>
      </c>
      <c r="S157" t="s">
        <v>20</v>
      </c>
      <c r="T157" t="s">
        <v>23</v>
      </c>
      <c r="U157">
        <v>2050</v>
      </c>
      <c r="V157" t="s">
        <v>38</v>
      </c>
      <c r="W157">
        <v>1.313468462121163E-2</v>
      </c>
      <c r="X157" t="s">
        <v>52</v>
      </c>
      <c r="Y157">
        <v>5.2046227720391658E-4</v>
      </c>
      <c r="Z157" t="s">
        <v>25</v>
      </c>
      <c r="AA157">
        <v>3.6080981974013937E-2</v>
      </c>
      <c r="AB157">
        <v>3.9625030384315807E-2</v>
      </c>
      <c r="AC157">
        <v>2.747000252731274</v>
      </c>
      <c r="AE157" s="37">
        <f t="shared" si="2"/>
        <v>1.2482066782763941</v>
      </c>
    </row>
    <row r="158" spans="1:31" hidden="1" x14ac:dyDescent="0.35">
      <c r="A158" s="1">
        <v>8</v>
      </c>
      <c r="B158" t="s">
        <v>15</v>
      </c>
      <c r="C158" t="s">
        <v>17</v>
      </c>
      <c r="D158" t="s">
        <v>20</v>
      </c>
      <c r="E158" t="s">
        <v>23</v>
      </c>
      <c r="F158">
        <v>2050</v>
      </c>
      <c r="G158" t="s">
        <v>39</v>
      </c>
      <c r="H158">
        <v>2.412493094341404E-3</v>
      </c>
      <c r="I158" t="s">
        <v>52</v>
      </c>
      <c r="J158">
        <v>0</v>
      </c>
      <c r="K158" t="s">
        <v>25</v>
      </c>
      <c r="L158">
        <v>0</v>
      </c>
      <c r="M158">
        <v>0</v>
      </c>
      <c r="N158">
        <v>0</v>
      </c>
      <c r="P158" s="1">
        <v>8</v>
      </c>
      <c r="Q158" t="s">
        <v>15</v>
      </c>
      <c r="R158" t="s">
        <v>17</v>
      </c>
      <c r="S158" t="s">
        <v>20</v>
      </c>
      <c r="T158" t="s">
        <v>23</v>
      </c>
      <c r="U158">
        <v>2050</v>
      </c>
      <c r="V158" t="s">
        <v>39</v>
      </c>
      <c r="W158">
        <v>2.412493094341404E-3</v>
      </c>
      <c r="X158" t="s">
        <v>52</v>
      </c>
      <c r="Y158">
        <v>0</v>
      </c>
      <c r="Z158" t="s">
        <v>25</v>
      </c>
      <c r="AA158">
        <v>0</v>
      </c>
      <c r="AB158">
        <v>0</v>
      </c>
      <c r="AC158">
        <v>0</v>
      </c>
    </row>
    <row r="159" spans="1:31" hidden="1" x14ac:dyDescent="0.35">
      <c r="A159" s="1">
        <v>9</v>
      </c>
      <c r="B159" t="s">
        <v>15</v>
      </c>
      <c r="C159" t="s">
        <v>17</v>
      </c>
      <c r="D159" t="s">
        <v>20</v>
      </c>
      <c r="E159" t="s">
        <v>23</v>
      </c>
      <c r="F159">
        <v>2050</v>
      </c>
      <c r="G159" t="s">
        <v>41</v>
      </c>
      <c r="H159">
        <v>6.7013697097184535E-4</v>
      </c>
      <c r="I159" t="s">
        <v>52</v>
      </c>
      <c r="J159">
        <v>2.9586601083439679E-5</v>
      </c>
      <c r="K159" t="s">
        <v>25</v>
      </c>
      <c r="L159">
        <v>2.242788016803839E-3</v>
      </c>
      <c r="M159">
        <v>4.4150080304527342E-2</v>
      </c>
      <c r="N159">
        <v>3.3467606085832058</v>
      </c>
      <c r="P159" s="1">
        <v>9</v>
      </c>
      <c r="Q159" t="s">
        <v>15</v>
      </c>
      <c r="R159" t="s">
        <v>17</v>
      </c>
      <c r="S159" t="s">
        <v>20</v>
      </c>
      <c r="T159" t="s">
        <v>23</v>
      </c>
      <c r="U159">
        <v>2050</v>
      </c>
      <c r="V159" t="s">
        <v>41</v>
      </c>
      <c r="W159">
        <v>6.7013697097184535E-4</v>
      </c>
      <c r="X159" t="s">
        <v>52</v>
      </c>
      <c r="Y159">
        <v>4.3763381463957211E-5</v>
      </c>
      <c r="Z159" t="s">
        <v>25</v>
      </c>
      <c r="AA159">
        <v>3.033890921366958E-3</v>
      </c>
      <c r="AB159">
        <v>6.5305129189471109E-2</v>
      </c>
      <c r="AC159">
        <v>4.5272698758391918</v>
      </c>
      <c r="AE159" s="38">
        <f t="shared" si="2"/>
        <v>-0.38655170425860308</v>
      </c>
    </row>
    <row r="160" spans="1:31" hidden="1" x14ac:dyDescent="0.35">
      <c r="A160" s="1">
        <v>10</v>
      </c>
      <c r="B160" t="s">
        <v>15</v>
      </c>
      <c r="C160" t="s">
        <v>17</v>
      </c>
      <c r="D160" t="s">
        <v>20</v>
      </c>
      <c r="E160" t="s">
        <v>23</v>
      </c>
      <c r="F160">
        <v>2050</v>
      </c>
      <c r="G160" t="s">
        <v>42</v>
      </c>
      <c r="H160">
        <v>2.1842904673904678E-2</v>
      </c>
      <c r="I160" t="s">
        <v>52</v>
      </c>
      <c r="J160">
        <v>3.8427999326542831E-4</v>
      </c>
      <c r="K160" t="s">
        <v>25</v>
      </c>
      <c r="L160">
        <v>2.9130029555019261E-2</v>
      </c>
      <c r="M160">
        <v>1.7592897968580181E-2</v>
      </c>
      <c r="N160">
        <v>1.3336151940369161</v>
      </c>
      <c r="P160" s="1">
        <v>10</v>
      </c>
      <c r="Q160" t="s">
        <v>15</v>
      </c>
      <c r="R160" t="s">
        <v>17</v>
      </c>
      <c r="S160" t="s">
        <v>20</v>
      </c>
      <c r="T160" t="s">
        <v>23</v>
      </c>
      <c r="U160">
        <v>2050</v>
      </c>
      <c r="V160" t="s">
        <v>42</v>
      </c>
      <c r="W160">
        <v>2.1842904673904678E-2</v>
      </c>
      <c r="X160" t="s">
        <v>52</v>
      </c>
      <c r="Y160">
        <v>4.1734236308343562E-4</v>
      </c>
      <c r="Z160" t="s">
        <v>25</v>
      </c>
      <c r="AA160">
        <v>2.8932206884046789E-2</v>
      </c>
      <c r="AB160">
        <v>1.910654142908141E-2</v>
      </c>
      <c r="AC160">
        <v>1.324558583941978</v>
      </c>
      <c r="AE160" s="13">
        <f t="shared" si="2"/>
        <v>-8.2488642079784763E-2</v>
      </c>
    </row>
    <row r="161" spans="1:31" hidden="1" x14ac:dyDescent="0.35">
      <c r="A161" s="1">
        <v>11</v>
      </c>
      <c r="B161" t="s">
        <v>15</v>
      </c>
      <c r="C161" t="s">
        <v>17</v>
      </c>
      <c r="D161" t="s">
        <v>20</v>
      </c>
      <c r="E161" t="s">
        <v>23</v>
      </c>
      <c r="F161">
        <v>2050</v>
      </c>
      <c r="G161" t="s">
        <v>43</v>
      </c>
      <c r="H161">
        <v>8.2453348769044171E-3</v>
      </c>
      <c r="I161" t="s">
        <v>52</v>
      </c>
      <c r="J161">
        <v>4.8719037882585071E-4</v>
      </c>
      <c r="K161" t="s">
        <v>25</v>
      </c>
      <c r="L161">
        <v>3.6931066885690061E-2</v>
      </c>
      <c r="M161">
        <v>5.9086791027796161E-2</v>
      </c>
      <c r="N161">
        <v>4.4790257081171774</v>
      </c>
      <c r="P161" s="1">
        <v>11</v>
      </c>
      <c r="Q161" t="s">
        <v>15</v>
      </c>
      <c r="R161" t="s">
        <v>17</v>
      </c>
      <c r="S161" t="s">
        <v>20</v>
      </c>
      <c r="T161" t="s">
        <v>23</v>
      </c>
      <c r="U161">
        <v>2050</v>
      </c>
      <c r="V161" t="s">
        <v>43</v>
      </c>
      <c r="W161">
        <v>8.2453348769044171E-3</v>
      </c>
      <c r="X161" t="s">
        <v>52</v>
      </c>
      <c r="Y161">
        <v>4.6959769118537958E-4</v>
      </c>
      <c r="Z161" t="s">
        <v>25</v>
      </c>
      <c r="AA161">
        <v>3.2554800939127007E-2</v>
      </c>
      <c r="AB161">
        <v>5.6953137525165357E-2</v>
      </c>
      <c r="AC161">
        <v>3.9482691030918091</v>
      </c>
      <c r="AE161" s="13">
        <f t="shared" si="2"/>
        <v>3.6774471153814756E-2</v>
      </c>
    </row>
    <row r="162" spans="1:31" hidden="1" x14ac:dyDescent="0.35">
      <c r="A162" s="1">
        <v>12</v>
      </c>
      <c r="B162" t="s">
        <v>15</v>
      </c>
      <c r="C162" t="s">
        <v>17</v>
      </c>
      <c r="D162" t="s">
        <v>20</v>
      </c>
      <c r="E162" t="s">
        <v>23</v>
      </c>
      <c r="F162">
        <v>2050</v>
      </c>
      <c r="G162" t="s">
        <v>44</v>
      </c>
      <c r="H162">
        <v>2.748444958968138E-3</v>
      </c>
      <c r="I162" t="s">
        <v>52</v>
      </c>
      <c r="J162">
        <v>5.8346642510470968E-5</v>
      </c>
      <c r="K162" t="s">
        <v>25</v>
      </c>
      <c r="L162">
        <v>4.4229193571162437E-3</v>
      </c>
      <c r="M162">
        <v>2.1228965244541889E-2</v>
      </c>
      <c r="N162">
        <v>1.609244290188282</v>
      </c>
      <c r="P162" s="1">
        <v>12</v>
      </c>
      <c r="Q162" t="s">
        <v>15</v>
      </c>
      <c r="R162" t="s">
        <v>17</v>
      </c>
      <c r="S162" t="s">
        <v>20</v>
      </c>
      <c r="T162" t="s">
        <v>23</v>
      </c>
      <c r="U162">
        <v>2050</v>
      </c>
      <c r="V162" t="s">
        <v>44</v>
      </c>
      <c r="W162">
        <v>2.748444958968138E-3</v>
      </c>
      <c r="X162" t="s">
        <v>52</v>
      </c>
      <c r="Y162">
        <v>6.3414009684975112E-5</v>
      </c>
      <c r="Z162" t="s">
        <v>25</v>
      </c>
      <c r="AA162">
        <v>4.3961682537984994E-3</v>
      </c>
      <c r="AB162">
        <v>2.307268678532421E-2</v>
      </c>
      <c r="AC162">
        <v>1.5995111124397321</v>
      </c>
      <c r="AE162" s="13">
        <f t="shared" si="2"/>
        <v>-8.3234888827142181E-2</v>
      </c>
    </row>
    <row r="163" spans="1:31" hidden="1" x14ac:dyDescent="0.35">
      <c r="A163" s="1">
        <v>13</v>
      </c>
      <c r="B163" t="s">
        <v>15</v>
      </c>
      <c r="C163" t="s">
        <v>17</v>
      </c>
      <c r="D163" t="s">
        <v>20</v>
      </c>
      <c r="E163" t="s">
        <v>23</v>
      </c>
      <c r="F163">
        <v>2050</v>
      </c>
      <c r="G163" t="s">
        <v>45</v>
      </c>
      <c r="H163">
        <v>1.113843483371298E-2</v>
      </c>
      <c r="I163" t="s">
        <v>52</v>
      </c>
      <c r="J163">
        <v>3.9662232533193702E-4</v>
      </c>
      <c r="K163" t="s">
        <v>25</v>
      </c>
      <c r="L163">
        <v>3.0065629909386202E-2</v>
      </c>
      <c r="M163">
        <v>3.5608443309419938E-2</v>
      </c>
      <c r="N163">
        <v>2.6992688253098009</v>
      </c>
      <c r="P163" s="1">
        <v>13</v>
      </c>
      <c r="Q163" t="s">
        <v>15</v>
      </c>
      <c r="R163" t="s">
        <v>17</v>
      </c>
      <c r="S163" t="s">
        <v>20</v>
      </c>
      <c r="T163" t="s">
        <v>23</v>
      </c>
      <c r="U163">
        <v>2050</v>
      </c>
      <c r="V163" t="s">
        <v>45</v>
      </c>
      <c r="W163">
        <v>1.113843483371298E-2</v>
      </c>
      <c r="X163" t="s">
        <v>52</v>
      </c>
      <c r="Y163">
        <v>4.1727872854047099E-4</v>
      </c>
      <c r="Z163" t="s">
        <v>25</v>
      </c>
      <c r="AA163">
        <v>2.8927795427351091E-2</v>
      </c>
      <c r="AB163">
        <v>3.746295909345207E-2</v>
      </c>
      <c r="AC163">
        <v>2.5971149321442</v>
      </c>
      <c r="AE163" s="13">
        <f t="shared" si="2"/>
        <v>-5.0759003469166807E-2</v>
      </c>
    </row>
    <row r="164" spans="1:31" hidden="1" x14ac:dyDescent="0.35">
      <c r="A164" s="1">
        <v>14</v>
      </c>
      <c r="B164" t="s">
        <v>15</v>
      </c>
      <c r="C164" t="s">
        <v>17</v>
      </c>
      <c r="D164" t="s">
        <v>20</v>
      </c>
      <c r="E164" t="s">
        <v>23</v>
      </c>
      <c r="F164">
        <v>2050</v>
      </c>
      <c r="G164" t="s">
        <v>46</v>
      </c>
      <c r="H164">
        <v>4.6246929599690588E-2</v>
      </c>
      <c r="I164" t="s">
        <v>52</v>
      </c>
      <c r="J164">
        <v>7.8811813206973008E-5</v>
      </c>
      <c r="K164" t="s">
        <v>25</v>
      </c>
      <c r="L164">
        <v>5.9742648283488504E-3</v>
      </c>
      <c r="M164">
        <v>1.7041523380938201E-3</v>
      </c>
      <c r="N164">
        <v>0.12918186958705299</v>
      </c>
      <c r="P164" s="1">
        <v>14</v>
      </c>
      <c r="Q164" t="s">
        <v>15</v>
      </c>
      <c r="R164" t="s">
        <v>17</v>
      </c>
      <c r="S164" t="s">
        <v>20</v>
      </c>
      <c r="T164" t="s">
        <v>23</v>
      </c>
      <c r="U164">
        <v>2050</v>
      </c>
      <c r="V164" t="s">
        <v>46</v>
      </c>
      <c r="W164">
        <v>4.6246929599690588E-2</v>
      </c>
      <c r="X164" t="s">
        <v>52</v>
      </c>
      <c r="Y164">
        <v>2.394542116976366E-3</v>
      </c>
      <c r="Z164" t="s">
        <v>25</v>
      </c>
      <c r="AA164">
        <v>0.16600133139868459</v>
      </c>
      <c r="AB164">
        <v>5.1777320953051681E-2</v>
      </c>
      <c r="AC164">
        <v>3.589456269542167</v>
      </c>
      <c r="AE164" s="38">
        <f t="shared" si="2"/>
        <v>-1.8725426033933916</v>
      </c>
    </row>
    <row r="165" spans="1:31" hidden="1" x14ac:dyDescent="0.35">
      <c r="A165" s="1">
        <v>15</v>
      </c>
      <c r="B165" t="s">
        <v>15</v>
      </c>
      <c r="C165" t="s">
        <v>17</v>
      </c>
      <c r="D165" t="s">
        <v>20</v>
      </c>
      <c r="E165" t="s">
        <v>23</v>
      </c>
      <c r="F165">
        <v>2050</v>
      </c>
      <c r="G165" t="s">
        <v>24</v>
      </c>
      <c r="H165">
        <v>3.1242684515255099E-2</v>
      </c>
      <c r="I165" t="s">
        <v>52</v>
      </c>
      <c r="J165">
        <v>4.1214989407694209E-4</v>
      </c>
      <c r="K165" t="s">
        <v>25</v>
      </c>
      <c r="L165">
        <v>3.1242684516408551E-2</v>
      </c>
      <c r="M165">
        <v>1.319188477147982E-2</v>
      </c>
      <c r="N165">
        <v>1.0000000000369189</v>
      </c>
      <c r="P165" s="1">
        <v>15</v>
      </c>
      <c r="Q165" t="s">
        <v>15</v>
      </c>
      <c r="R165" t="s">
        <v>17</v>
      </c>
      <c r="S165" t="s">
        <v>20</v>
      </c>
      <c r="T165" t="s">
        <v>23</v>
      </c>
      <c r="U165">
        <v>2050</v>
      </c>
      <c r="V165" t="s">
        <v>24</v>
      </c>
      <c r="W165">
        <v>3.1242684515255099E-2</v>
      </c>
      <c r="X165" t="s">
        <v>52</v>
      </c>
      <c r="Y165">
        <v>4.506706258849705E-4</v>
      </c>
      <c r="Z165" t="s">
        <v>25</v>
      </c>
      <c r="AA165">
        <v>3.1242684515255081E-2</v>
      </c>
      <c r="AB165">
        <v>1.4424836817877099E-2</v>
      </c>
      <c r="AC165">
        <v>0.99999999999999933</v>
      </c>
      <c r="AE165" s="13">
        <f t="shared" si="2"/>
        <v>-8.9290254269170075E-2</v>
      </c>
    </row>
    <row r="166" spans="1:31" hidden="1" x14ac:dyDescent="0.35">
      <c r="A166" s="1">
        <v>16</v>
      </c>
      <c r="B166" t="s">
        <v>15</v>
      </c>
      <c r="C166" t="s">
        <v>17</v>
      </c>
      <c r="D166" t="s">
        <v>20</v>
      </c>
      <c r="E166" t="s">
        <v>23</v>
      </c>
      <c r="F166">
        <v>2050</v>
      </c>
      <c r="G166" t="s">
        <v>47</v>
      </c>
      <c r="H166">
        <v>5.6500000000000001E-9</v>
      </c>
      <c r="I166" t="s">
        <v>53</v>
      </c>
      <c r="J166">
        <v>5.8770162125386632E-4</v>
      </c>
      <c r="K166" t="s">
        <v>25</v>
      </c>
      <c r="L166">
        <v>4.4550239139910068E-2</v>
      </c>
      <c r="M166">
        <v>104017.9860626312</v>
      </c>
      <c r="N166">
        <v>7884998.0778601887</v>
      </c>
      <c r="P166" s="1">
        <v>16</v>
      </c>
      <c r="Q166" t="s">
        <v>15</v>
      </c>
      <c r="R166" t="s">
        <v>17</v>
      </c>
      <c r="S166" t="s">
        <v>20</v>
      </c>
      <c r="T166" t="s">
        <v>23</v>
      </c>
      <c r="U166">
        <v>2050</v>
      </c>
      <c r="V166" t="s">
        <v>47</v>
      </c>
      <c r="W166">
        <v>5.6500000000000001E-9</v>
      </c>
      <c r="X166" t="s">
        <v>53</v>
      </c>
      <c r="Y166">
        <v>6.0613086682540169E-4</v>
      </c>
      <c r="Z166" t="s">
        <v>25</v>
      </c>
      <c r="AA166">
        <v>4.2019946185748627E-2</v>
      </c>
      <c r="AB166">
        <v>107279.7994381242</v>
      </c>
      <c r="AC166">
        <v>7437158.61694666</v>
      </c>
      <c r="AE166" s="13">
        <f t="shared" si="2"/>
        <v>-3.0874089548670075E-2</v>
      </c>
    </row>
    <row r="167" spans="1:31" hidden="1" x14ac:dyDescent="0.35">
      <c r="A167" s="1">
        <v>17</v>
      </c>
      <c r="B167" t="s">
        <v>15</v>
      </c>
      <c r="C167" t="s">
        <v>17</v>
      </c>
      <c r="D167" t="s">
        <v>20</v>
      </c>
      <c r="E167" t="s">
        <v>23</v>
      </c>
      <c r="F167">
        <v>2050</v>
      </c>
      <c r="G167" t="s">
        <v>48</v>
      </c>
      <c r="H167">
        <v>3.8600000000000001E-10</v>
      </c>
      <c r="I167" t="s">
        <v>53</v>
      </c>
      <c r="J167">
        <v>4.1061410569660083E-5</v>
      </c>
      <c r="K167" t="s">
        <v>25</v>
      </c>
      <c r="L167">
        <v>3.112626533848196E-3</v>
      </c>
      <c r="M167">
        <v>106376.7113203629</v>
      </c>
      <c r="N167">
        <v>8063799.3104875544</v>
      </c>
      <c r="P167" s="1">
        <v>17</v>
      </c>
      <c r="Q167" t="s">
        <v>15</v>
      </c>
      <c r="R167" t="s">
        <v>17</v>
      </c>
      <c r="S167" t="s">
        <v>20</v>
      </c>
      <c r="T167" t="s">
        <v>23</v>
      </c>
      <c r="U167">
        <v>2050</v>
      </c>
      <c r="V167" t="s">
        <v>48</v>
      </c>
      <c r="W167">
        <v>3.8600000000000001E-10</v>
      </c>
      <c r="X167" t="s">
        <v>53</v>
      </c>
      <c r="Y167">
        <v>5.1680516317853679E-5</v>
      </c>
      <c r="Z167" t="s">
        <v>25</v>
      </c>
      <c r="AA167">
        <v>3.5827453003700219E-3</v>
      </c>
      <c r="AB167">
        <v>133887.3479737142</v>
      </c>
      <c r="AC167">
        <v>9281723.5760881379</v>
      </c>
      <c r="AE167" s="13">
        <f t="shared" si="2"/>
        <v>-0.22900334518762946</v>
      </c>
    </row>
    <row r="168" spans="1:31" hidden="1" x14ac:dyDescent="0.35">
      <c r="A168" s="1">
        <v>18</v>
      </c>
      <c r="B168" t="s">
        <v>15</v>
      </c>
      <c r="C168" t="s">
        <v>17</v>
      </c>
      <c r="D168" t="s">
        <v>20</v>
      </c>
      <c r="E168" t="s">
        <v>23</v>
      </c>
      <c r="F168">
        <v>2050</v>
      </c>
      <c r="G168" t="s">
        <v>49</v>
      </c>
      <c r="H168">
        <v>3.47E-12</v>
      </c>
      <c r="I168" t="s">
        <v>53</v>
      </c>
      <c r="J168">
        <v>3.658064283251907E-7</v>
      </c>
      <c r="K168" t="s">
        <v>25</v>
      </c>
      <c r="L168">
        <v>2.7729656123858121E-5</v>
      </c>
      <c r="M168">
        <v>105419.71997844111</v>
      </c>
      <c r="N168">
        <v>7991255.3671060856</v>
      </c>
      <c r="P168" s="1">
        <v>18</v>
      </c>
      <c r="Q168" t="s">
        <v>15</v>
      </c>
      <c r="R168" t="s">
        <v>17</v>
      </c>
      <c r="S168" t="s">
        <v>20</v>
      </c>
      <c r="T168" t="s">
        <v>23</v>
      </c>
      <c r="U168">
        <v>2050</v>
      </c>
      <c r="V168" t="s">
        <v>49</v>
      </c>
      <c r="W168">
        <v>3.47E-12</v>
      </c>
      <c r="X168" t="s">
        <v>53</v>
      </c>
      <c r="Y168">
        <v>4.33936227533971E-7</v>
      </c>
      <c r="Z168" t="s">
        <v>25</v>
      </c>
      <c r="AA168">
        <v>3.008257445215474E-5</v>
      </c>
      <c r="AB168">
        <v>125053.6678772251</v>
      </c>
      <c r="AC168">
        <v>8669329.8133010771</v>
      </c>
      <c r="AE168" s="13">
        <f t="shared" si="2"/>
        <v>-0.17037930566699303</v>
      </c>
    </row>
    <row r="169" spans="1:31" hidden="1" x14ac:dyDescent="0.35">
      <c r="A169" s="1">
        <v>19</v>
      </c>
      <c r="B169" t="s">
        <v>15</v>
      </c>
      <c r="C169" t="s">
        <v>17</v>
      </c>
      <c r="D169" t="s">
        <v>20</v>
      </c>
      <c r="E169" t="s">
        <v>23</v>
      </c>
      <c r="F169">
        <v>2050</v>
      </c>
      <c r="G169" t="s">
        <v>50</v>
      </c>
      <c r="H169">
        <v>5.0000000000000004E-6</v>
      </c>
      <c r="I169" t="s">
        <v>54</v>
      </c>
      <c r="P169" s="1">
        <v>19</v>
      </c>
      <c r="Q169" t="s">
        <v>15</v>
      </c>
      <c r="R169" t="s">
        <v>17</v>
      </c>
      <c r="S169" t="s">
        <v>20</v>
      </c>
      <c r="T169" t="s">
        <v>23</v>
      </c>
      <c r="U169">
        <v>2050</v>
      </c>
      <c r="V169" t="s">
        <v>50</v>
      </c>
      <c r="W169">
        <v>5.0000000000000004E-6</v>
      </c>
      <c r="X169" t="s">
        <v>54</v>
      </c>
    </row>
    <row r="170" spans="1:31" hidden="1" x14ac:dyDescent="0.35">
      <c r="A170" s="1">
        <v>20</v>
      </c>
      <c r="B170" t="s">
        <v>15</v>
      </c>
      <c r="C170" t="s">
        <v>17</v>
      </c>
      <c r="D170" t="s">
        <v>20</v>
      </c>
      <c r="E170" t="s">
        <v>23</v>
      </c>
      <c r="F170">
        <v>2050</v>
      </c>
      <c r="G170" t="s">
        <v>51</v>
      </c>
      <c r="H170">
        <v>4.16E-6</v>
      </c>
      <c r="I170" t="s">
        <v>54</v>
      </c>
      <c r="P170" s="1">
        <v>20</v>
      </c>
      <c r="Q170" t="s">
        <v>15</v>
      </c>
      <c r="R170" t="s">
        <v>17</v>
      </c>
      <c r="S170" t="s">
        <v>20</v>
      </c>
      <c r="T170" t="s">
        <v>23</v>
      </c>
      <c r="U170">
        <v>2050</v>
      </c>
      <c r="V170" t="s">
        <v>51</v>
      </c>
      <c r="W170">
        <v>4.16E-6</v>
      </c>
      <c r="X170" t="s">
        <v>54</v>
      </c>
    </row>
  </sheetData>
  <autoFilter ref="A1:AE170" xr:uid="{00000000-0001-0000-0100-000000000000}">
    <filterColumn colId="30">
      <customFilters>
        <customFilter operator="greaterThan" val="0.1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64"/>
  <sheetViews>
    <sheetView topLeftCell="A13" workbookViewId="0">
      <selection activeCell="AE32" sqref="AE32"/>
    </sheetView>
  </sheetViews>
  <sheetFormatPr baseColWidth="10" defaultColWidth="8.7265625" defaultRowHeight="14.5" x14ac:dyDescent="0.35"/>
  <cols>
    <col min="2" max="2" width="1.36328125" customWidth="1"/>
    <col min="8" max="8" width="7.6328125" customWidth="1"/>
    <col min="9" max="9" width="8.7265625" hidden="1" customWidth="1"/>
    <col min="10" max="10" width="8.08984375" customWidth="1"/>
    <col min="11" max="12" width="8.7265625" hidden="1" customWidth="1"/>
    <col min="13" max="13" width="17.81640625" customWidth="1"/>
    <col min="14" max="14" width="29.26953125" hidden="1" customWidth="1"/>
    <col min="15" max="15" width="11.54296875" customWidth="1"/>
    <col min="16" max="24" width="8.7265625" hidden="1" customWidth="1"/>
    <col min="25" max="25" width="8.453125" customWidth="1"/>
    <col min="26" max="27" width="8.7265625" hidden="1" customWidth="1"/>
    <col min="28" max="28" width="17.7265625" customWidth="1"/>
    <col min="29" max="29" width="29.26953125" hidden="1" customWidth="1"/>
  </cols>
  <sheetData>
    <row r="1" spans="1:3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6</v>
      </c>
      <c r="K1" s="1" t="s">
        <v>29</v>
      </c>
      <c r="L1" s="1" t="s">
        <v>30</v>
      </c>
      <c r="M1" s="1" t="s">
        <v>31</v>
      </c>
      <c r="N1" s="1" t="s">
        <v>32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27</v>
      </c>
      <c r="X1" s="1" t="s">
        <v>28</v>
      </c>
      <c r="Y1" s="1" t="s">
        <v>6</v>
      </c>
      <c r="Z1" s="1" t="s">
        <v>29</v>
      </c>
      <c r="AA1" s="1" t="s">
        <v>30</v>
      </c>
      <c r="AB1" s="1" t="s">
        <v>31</v>
      </c>
      <c r="AC1" s="1" t="s">
        <v>32</v>
      </c>
      <c r="AE1" s="3" t="s">
        <v>74</v>
      </c>
    </row>
    <row r="2" spans="1:32" x14ac:dyDescent="0.35">
      <c r="A2" s="1">
        <v>0</v>
      </c>
      <c r="B2" t="s">
        <v>8</v>
      </c>
      <c r="C2" t="s">
        <v>16</v>
      </c>
      <c r="D2" t="s">
        <v>18</v>
      </c>
      <c r="E2" t="s">
        <v>21</v>
      </c>
      <c r="F2">
        <v>2050</v>
      </c>
      <c r="G2" t="s">
        <v>58</v>
      </c>
      <c r="H2">
        <v>0.86085528276763223</v>
      </c>
      <c r="I2" t="s">
        <v>52</v>
      </c>
      <c r="J2">
        <v>1.477601185602209E-2</v>
      </c>
      <c r="K2" t="s">
        <v>25</v>
      </c>
      <c r="L2">
        <v>0.36332557992025782</v>
      </c>
      <c r="M2">
        <v>1.7164338945005381E-2</v>
      </c>
      <c r="N2">
        <v>0.42205186770855302</v>
      </c>
      <c r="P2" s="1">
        <v>0</v>
      </c>
      <c r="Q2" t="s">
        <v>8</v>
      </c>
      <c r="R2" t="s">
        <v>16</v>
      </c>
      <c r="S2" t="s">
        <v>18</v>
      </c>
      <c r="T2" t="s">
        <v>21</v>
      </c>
      <c r="U2">
        <v>2050</v>
      </c>
      <c r="V2" t="s">
        <v>58</v>
      </c>
      <c r="W2">
        <v>0.86085528276763223</v>
      </c>
      <c r="X2" t="s">
        <v>52</v>
      </c>
      <c r="Y2">
        <v>1.236839941812084E-2</v>
      </c>
      <c r="Z2" t="s">
        <v>25</v>
      </c>
      <c r="AA2">
        <v>0.32923343800023469</v>
      </c>
      <c r="AB2">
        <v>1.4367571025825259E-2</v>
      </c>
      <c r="AC2">
        <v>0.38244922763528388</v>
      </c>
      <c r="AE2" s="11">
        <f>(J2-Y2)/AVERAGE(J2,Y2)</f>
        <v>0.17739286467374443</v>
      </c>
      <c r="AF2" s="7">
        <f>J2/Y2</f>
        <v>1.1946583673853446</v>
      </c>
    </row>
    <row r="3" spans="1:32" x14ac:dyDescent="0.35">
      <c r="A3" s="1">
        <v>1</v>
      </c>
      <c r="B3" t="s">
        <v>8</v>
      </c>
      <c r="C3" t="s">
        <v>16</v>
      </c>
      <c r="D3" t="s">
        <v>18</v>
      </c>
      <c r="E3" t="s">
        <v>21</v>
      </c>
      <c r="F3">
        <v>2050</v>
      </c>
      <c r="G3" t="s">
        <v>59</v>
      </c>
      <c r="H3">
        <v>8.2040494344195497E-2</v>
      </c>
      <c r="I3" t="s">
        <v>52</v>
      </c>
      <c r="J3">
        <v>6.9781777758676491E-3</v>
      </c>
      <c r="K3" t="s">
        <v>25</v>
      </c>
      <c r="L3">
        <v>0.1715855747754064</v>
      </c>
      <c r="M3">
        <v>8.5057724623052167E-2</v>
      </c>
      <c r="N3">
        <v>2.0914741695103301</v>
      </c>
      <c r="P3" s="1">
        <v>1</v>
      </c>
      <c r="Q3" t="s">
        <v>8</v>
      </c>
      <c r="R3" t="s">
        <v>16</v>
      </c>
      <c r="S3" t="s">
        <v>18</v>
      </c>
      <c r="T3" t="s">
        <v>21</v>
      </c>
      <c r="U3">
        <v>2050</v>
      </c>
      <c r="V3" t="s">
        <v>59</v>
      </c>
      <c r="W3">
        <v>8.2040494344195497E-2</v>
      </c>
      <c r="X3" t="s">
        <v>52</v>
      </c>
      <c r="Y3">
        <v>6.3870097424183273E-3</v>
      </c>
      <c r="Z3" t="s">
        <v>25</v>
      </c>
      <c r="AA3">
        <v>0.17001530310838431</v>
      </c>
      <c r="AB3">
        <v>7.7851916830511139E-2</v>
      </c>
      <c r="AC3">
        <v>2.072333967115024</v>
      </c>
      <c r="AE3" s="2">
        <f t="shared" ref="AE3:AE8" si="0">(J3-Y3)/AVERAGE(J3,Y3)</f>
        <v>8.8463859207436907E-2</v>
      </c>
      <c r="AF3" s="4">
        <f t="shared" ref="AF3:AF8" si="1">J3/Y3</f>
        <v>1.092557872508503</v>
      </c>
    </row>
    <row r="4" spans="1:32" x14ac:dyDescent="0.35">
      <c r="A4" s="1">
        <v>2</v>
      </c>
      <c r="B4" t="s">
        <v>8</v>
      </c>
      <c r="C4" t="s">
        <v>16</v>
      </c>
      <c r="D4" t="s">
        <v>18</v>
      </c>
      <c r="E4" t="s">
        <v>21</v>
      </c>
      <c r="F4">
        <v>2050</v>
      </c>
      <c r="G4" t="s">
        <v>60</v>
      </c>
      <c r="H4">
        <v>5.7104222888172101E-2</v>
      </c>
      <c r="I4" t="s">
        <v>52</v>
      </c>
      <c r="J4">
        <v>1.5426744068550409E-2</v>
      </c>
      <c r="K4" t="s">
        <v>25</v>
      </c>
      <c r="L4">
        <v>0.37932635609676629</v>
      </c>
      <c r="M4">
        <v>0.27015066992087072</v>
      </c>
      <c r="N4">
        <v>6.6427023591256953</v>
      </c>
      <c r="P4" s="1">
        <v>2</v>
      </c>
      <c r="Q4" t="s">
        <v>8</v>
      </c>
      <c r="R4" t="s">
        <v>16</v>
      </c>
      <c r="S4" t="s">
        <v>18</v>
      </c>
      <c r="T4" t="s">
        <v>21</v>
      </c>
      <c r="U4">
        <v>2050</v>
      </c>
      <c r="V4" t="s">
        <v>60</v>
      </c>
      <c r="W4">
        <v>5.7104222888172101E-2</v>
      </c>
      <c r="X4" t="s">
        <v>52</v>
      </c>
      <c r="Y4">
        <v>1.544902651954695E-2</v>
      </c>
      <c r="Z4" t="s">
        <v>25</v>
      </c>
      <c r="AA4">
        <v>0.41123640520011751</v>
      </c>
      <c r="AB4">
        <v>0.2705408766318555</v>
      </c>
      <c r="AC4">
        <v>7.2015060253152736</v>
      </c>
      <c r="AE4" s="2">
        <f t="shared" si="0"/>
        <v>-1.4433616115239935E-3</v>
      </c>
      <c r="AF4" s="4">
        <f t="shared" si="1"/>
        <v>0.9985576792836528</v>
      </c>
    </row>
    <row r="5" spans="1:32" x14ac:dyDescent="0.35">
      <c r="A5" s="1">
        <v>3</v>
      </c>
      <c r="B5" t="s">
        <v>8</v>
      </c>
      <c r="C5" t="s">
        <v>16</v>
      </c>
      <c r="D5" t="s">
        <v>18</v>
      </c>
      <c r="E5" t="s">
        <v>21</v>
      </c>
      <c r="F5">
        <v>2050</v>
      </c>
      <c r="G5" t="s">
        <v>61</v>
      </c>
      <c r="H5">
        <v>3.1242684515255099E-2</v>
      </c>
      <c r="I5" t="s">
        <v>52</v>
      </c>
      <c r="J5">
        <v>1.270602188027806E-3</v>
      </c>
      <c r="K5" t="s">
        <v>25</v>
      </c>
      <c r="L5">
        <v>3.1242684515375839E-2</v>
      </c>
      <c r="M5">
        <v>4.0668790398193842E-2</v>
      </c>
      <c r="N5">
        <v>1</v>
      </c>
      <c r="P5" s="1">
        <v>3</v>
      </c>
      <c r="Q5" t="s">
        <v>8</v>
      </c>
      <c r="R5" t="s">
        <v>16</v>
      </c>
      <c r="S5" t="s">
        <v>18</v>
      </c>
      <c r="T5" t="s">
        <v>21</v>
      </c>
      <c r="U5">
        <v>2050</v>
      </c>
      <c r="V5" t="s">
        <v>61</v>
      </c>
      <c r="W5">
        <v>3.1242684515255099E-2</v>
      </c>
      <c r="X5" t="s">
        <v>52</v>
      </c>
      <c r="Y5">
        <v>1.173702171098243E-3</v>
      </c>
      <c r="Z5" t="s">
        <v>25</v>
      </c>
      <c r="AA5">
        <v>3.1242684515255081E-2</v>
      </c>
      <c r="AB5">
        <v>3.7567263802992031E-2</v>
      </c>
      <c r="AC5">
        <v>1</v>
      </c>
      <c r="AE5" s="2">
        <f t="shared" si="0"/>
        <v>7.9286375747584265E-2</v>
      </c>
      <c r="AF5" s="4">
        <f t="shared" si="1"/>
        <v>1.0825592891584181</v>
      </c>
    </row>
    <row r="6" spans="1:32" x14ac:dyDescent="0.35">
      <c r="A6" s="1">
        <v>4</v>
      </c>
      <c r="B6" t="s">
        <v>8</v>
      </c>
      <c r="C6" t="s">
        <v>16</v>
      </c>
      <c r="D6" t="s">
        <v>18</v>
      </c>
      <c r="E6" t="s">
        <v>21</v>
      </c>
      <c r="F6">
        <v>2050</v>
      </c>
      <c r="G6" t="s">
        <v>62</v>
      </c>
      <c r="H6">
        <v>6.0394699999999996E-9</v>
      </c>
      <c r="I6" t="s">
        <v>53</v>
      </c>
      <c r="J6">
        <v>8.5225465954434448E-4</v>
      </c>
      <c r="K6" t="s">
        <v>25</v>
      </c>
      <c r="L6">
        <v>2.0955987409585899E-2</v>
      </c>
      <c r="M6">
        <v>141114.14735802059</v>
      </c>
      <c r="N6">
        <v>3469838.8119329861</v>
      </c>
      <c r="P6" s="1">
        <v>4</v>
      </c>
      <c r="Q6" t="s">
        <v>8</v>
      </c>
      <c r="R6" t="s">
        <v>16</v>
      </c>
      <c r="S6" t="s">
        <v>18</v>
      </c>
      <c r="T6" t="s">
        <v>21</v>
      </c>
      <c r="U6">
        <v>2050</v>
      </c>
      <c r="V6" t="s">
        <v>62</v>
      </c>
      <c r="W6">
        <v>6.0394699999999996E-9</v>
      </c>
      <c r="X6" t="s">
        <v>53</v>
      </c>
      <c r="Y6">
        <v>8.2412612588840994E-4</v>
      </c>
      <c r="Z6" t="s">
        <v>25</v>
      </c>
      <c r="AA6">
        <v>2.193734763889757E-2</v>
      </c>
      <c r="AB6">
        <v>136456.69667841881</v>
      </c>
      <c r="AC6">
        <v>3632329.9294304941</v>
      </c>
      <c r="AE6" s="2">
        <f t="shared" si="0"/>
        <v>3.3558644790447428E-2</v>
      </c>
      <c r="AF6" s="4">
        <f t="shared" si="1"/>
        <v>1.0341313456427703</v>
      </c>
    </row>
    <row r="7" spans="1:32" x14ac:dyDescent="0.35">
      <c r="A7" s="1">
        <v>5</v>
      </c>
      <c r="B7" t="s">
        <v>8</v>
      </c>
      <c r="C7" t="s">
        <v>16</v>
      </c>
      <c r="D7" t="s">
        <v>18</v>
      </c>
      <c r="E7" t="s">
        <v>21</v>
      </c>
      <c r="F7">
        <v>2050</v>
      </c>
      <c r="G7" t="s">
        <v>63</v>
      </c>
      <c r="J7">
        <v>1.3649998501815491E-3</v>
      </c>
      <c r="K7" t="s">
        <v>25</v>
      </c>
      <c r="L7">
        <v>3.3563817282607711E-2</v>
      </c>
      <c r="P7" s="1">
        <v>5</v>
      </c>
      <c r="Q7" t="s">
        <v>8</v>
      </c>
      <c r="R7" t="s">
        <v>16</v>
      </c>
      <c r="S7" t="s">
        <v>18</v>
      </c>
      <c r="T7" t="s">
        <v>21</v>
      </c>
      <c r="U7">
        <v>2050</v>
      </c>
      <c r="V7" t="s">
        <v>63</v>
      </c>
      <c r="Y7">
        <v>1.3649998259192551E-3</v>
      </c>
      <c r="Z7" t="s">
        <v>25</v>
      </c>
      <c r="AA7">
        <v>3.6334821537110762E-2</v>
      </c>
      <c r="AE7" s="2">
        <f t="shared" si="0"/>
        <v>1.7774576465481142E-8</v>
      </c>
      <c r="AF7" s="4">
        <f t="shared" si="1"/>
        <v>1.0000000177745767</v>
      </c>
    </row>
    <row r="8" spans="1:32" x14ac:dyDescent="0.35">
      <c r="A8" s="1">
        <v>6</v>
      </c>
      <c r="B8" t="s">
        <v>8</v>
      </c>
      <c r="C8" t="s">
        <v>16</v>
      </c>
      <c r="D8" t="s">
        <v>18</v>
      </c>
      <c r="E8" t="s">
        <v>21</v>
      </c>
      <c r="F8">
        <v>2050</v>
      </c>
      <c r="G8" t="s">
        <v>24</v>
      </c>
      <c r="H8">
        <v>1</v>
      </c>
      <c r="I8" t="s">
        <v>52</v>
      </c>
      <c r="J8">
        <v>4.0668790398193842E-2</v>
      </c>
      <c r="K8" t="s">
        <v>25</v>
      </c>
      <c r="L8">
        <v>1</v>
      </c>
      <c r="M8">
        <v>4.0668790398193842E-2</v>
      </c>
      <c r="N8">
        <v>1</v>
      </c>
      <c r="P8" s="1">
        <v>6</v>
      </c>
      <c r="Q8" t="s">
        <v>8</v>
      </c>
      <c r="R8" t="s">
        <v>16</v>
      </c>
      <c r="S8" t="s">
        <v>18</v>
      </c>
      <c r="T8" t="s">
        <v>21</v>
      </c>
      <c r="U8">
        <v>2050</v>
      </c>
      <c r="V8" t="s">
        <v>24</v>
      </c>
      <c r="W8">
        <v>1</v>
      </c>
      <c r="X8" t="s">
        <v>52</v>
      </c>
      <c r="Y8">
        <v>3.7567263802992031E-2</v>
      </c>
      <c r="Z8" t="s">
        <v>25</v>
      </c>
      <c r="AA8">
        <v>1</v>
      </c>
      <c r="AB8">
        <v>3.7567263802992031E-2</v>
      </c>
      <c r="AC8">
        <v>1</v>
      </c>
      <c r="AE8" s="12">
        <f t="shared" si="0"/>
        <v>7.9286375747584667E-2</v>
      </c>
      <c r="AF8" s="5">
        <f t="shared" si="1"/>
        <v>1.0825592891584186</v>
      </c>
    </row>
    <row r="9" spans="1:32" x14ac:dyDescent="0.3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27</v>
      </c>
      <c r="I9" s="1" t="s">
        <v>28</v>
      </c>
      <c r="J9" s="1" t="s">
        <v>6</v>
      </c>
      <c r="K9" s="1" t="s">
        <v>29</v>
      </c>
      <c r="L9" s="1" t="s">
        <v>30</v>
      </c>
      <c r="M9" s="1" t="s">
        <v>31</v>
      </c>
      <c r="N9" s="1" t="s">
        <v>32</v>
      </c>
      <c r="Q9" s="1" t="s">
        <v>0</v>
      </c>
      <c r="R9" s="1" t="s">
        <v>1</v>
      </c>
      <c r="S9" s="1" t="s">
        <v>2</v>
      </c>
      <c r="T9" s="1" t="s">
        <v>3</v>
      </c>
      <c r="U9" s="1" t="s">
        <v>4</v>
      </c>
      <c r="V9" s="1" t="s">
        <v>5</v>
      </c>
      <c r="W9" s="1" t="s">
        <v>27</v>
      </c>
      <c r="X9" s="1" t="s">
        <v>28</v>
      </c>
      <c r="Y9" s="1" t="s">
        <v>6</v>
      </c>
      <c r="Z9" s="1" t="s">
        <v>29</v>
      </c>
      <c r="AA9" s="1" t="s">
        <v>30</v>
      </c>
      <c r="AB9" s="1" t="s">
        <v>31</v>
      </c>
      <c r="AC9" s="1" t="s">
        <v>32</v>
      </c>
      <c r="AE9" s="13"/>
    </row>
    <row r="10" spans="1:32" x14ac:dyDescent="0.35">
      <c r="A10" s="1">
        <v>0</v>
      </c>
      <c r="B10" t="s">
        <v>12</v>
      </c>
      <c r="C10" t="s">
        <v>16</v>
      </c>
      <c r="D10" t="s">
        <v>18</v>
      </c>
      <c r="E10" t="s">
        <v>23</v>
      </c>
      <c r="F10">
        <v>2050</v>
      </c>
      <c r="G10" t="s">
        <v>58</v>
      </c>
      <c r="H10">
        <v>0.90977795105681936</v>
      </c>
      <c r="I10" t="s">
        <v>52</v>
      </c>
      <c r="J10">
        <v>1.2863617670398271E-2</v>
      </c>
      <c r="K10" t="s">
        <v>25</v>
      </c>
      <c r="L10">
        <v>0.41180844371352782</v>
      </c>
      <c r="M10">
        <v>1.413929372046837E-2</v>
      </c>
      <c r="N10">
        <v>0.45264720169976291</v>
      </c>
      <c r="P10" s="1">
        <v>0</v>
      </c>
      <c r="Q10" t="s">
        <v>12</v>
      </c>
      <c r="R10" t="s">
        <v>16</v>
      </c>
      <c r="S10" t="s">
        <v>18</v>
      </c>
      <c r="T10" t="s">
        <v>23</v>
      </c>
      <c r="U10">
        <v>2050</v>
      </c>
      <c r="V10" t="s">
        <v>58</v>
      </c>
      <c r="W10">
        <v>0.90977795105681936</v>
      </c>
      <c r="X10" t="s">
        <v>52</v>
      </c>
      <c r="Y10">
        <v>1.0269282289317691E-2</v>
      </c>
      <c r="Z10" t="s">
        <v>25</v>
      </c>
      <c r="AA10">
        <v>0.36316278215186187</v>
      </c>
      <c r="AB10">
        <v>1.128767989748339E-2</v>
      </c>
      <c r="AC10">
        <v>0.39917738359124177</v>
      </c>
      <c r="AE10" s="11">
        <f>(J10-Y10)/AVERAGE(J10,Y10)</f>
        <v>0.2242983271097356</v>
      </c>
      <c r="AF10" s="7">
        <f>J10/Y10</f>
        <v>1.2526306423360529</v>
      </c>
    </row>
    <row r="11" spans="1:32" x14ac:dyDescent="0.35">
      <c r="A11" s="1">
        <v>1</v>
      </c>
      <c r="B11" t="s">
        <v>12</v>
      </c>
      <c r="C11" t="s">
        <v>16</v>
      </c>
      <c r="D11" t="s">
        <v>18</v>
      </c>
      <c r="E11" t="s">
        <v>23</v>
      </c>
      <c r="F11">
        <v>2050</v>
      </c>
      <c r="G11" t="s">
        <v>59</v>
      </c>
      <c r="H11">
        <v>4.3975119343490222E-2</v>
      </c>
      <c r="I11" t="s">
        <v>52</v>
      </c>
      <c r="J11">
        <v>2.686475007417353E-3</v>
      </c>
      <c r="K11" t="s">
        <v>25</v>
      </c>
      <c r="L11">
        <v>8.6003262863266955E-2</v>
      </c>
      <c r="M11">
        <v>6.109079514789402E-2</v>
      </c>
      <c r="N11">
        <v>1.955725513593169</v>
      </c>
      <c r="P11" s="1">
        <v>1</v>
      </c>
      <c r="Q11" t="s">
        <v>12</v>
      </c>
      <c r="R11" t="s">
        <v>16</v>
      </c>
      <c r="S11" t="s">
        <v>18</v>
      </c>
      <c r="T11" t="s">
        <v>23</v>
      </c>
      <c r="U11">
        <v>2050</v>
      </c>
      <c r="V11" t="s">
        <v>59</v>
      </c>
      <c r="W11">
        <v>4.3975119343490222E-2</v>
      </c>
      <c r="X11" t="s">
        <v>52</v>
      </c>
      <c r="Y11">
        <v>2.423813805666811E-3</v>
      </c>
      <c r="Z11" t="s">
        <v>25</v>
      </c>
      <c r="AA11">
        <v>8.5715723872903299E-2</v>
      </c>
      <c r="AB11">
        <v>5.511784485982564E-2</v>
      </c>
      <c r="AC11">
        <v>1.9491868391163809</v>
      </c>
      <c r="AE11" s="2">
        <f t="shared" ref="AE11:AE16" si="2">(J11-Y11)/AVERAGE(J11,Y11)</f>
        <v>0.10279700868492427</v>
      </c>
      <c r="AF11" s="4">
        <f t="shared" ref="AF11:AF16" si="3">J11/Y11</f>
        <v>1.1083669055504377</v>
      </c>
    </row>
    <row r="12" spans="1:32" x14ac:dyDescent="0.35">
      <c r="A12" s="1">
        <v>2</v>
      </c>
      <c r="B12" t="s">
        <v>12</v>
      </c>
      <c r="C12" t="s">
        <v>16</v>
      </c>
      <c r="D12" t="s">
        <v>18</v>
      </c>
      <c r="E12" t="s">
        <v>23</v>
      </c>
      <c r="F12">
        <v>2050</v>
      </c>
      <c r="G12" t="s">
        <v>60</v>
      </c>
      <c r="H12">
        <v>4.6246929599690588E-2</v>
      </c>
      <c r="I12" t="s">
        <v>52</v>
      </c>
      <c r="J12">
        <v>1.24936263948519E-2</v>
      </c>
      <c r="K12" t="s">
        <v>25</v>
      </c>
      <c r="L12">
        <v>0.39996375621780428</v>
      </c>
      <c r="M12">
        <v>0.27015039707491167</v>
      </c>
      <c r="N12">
        <v>8.6484391435350911</v>
      </c>
      <c r="P12" s="1">
        <v>2</v>
      </c>
      <c r="Q12" t="s">
        <v>12</v>
      </c>
      <c r="R12" t="s">
        <v>16</v>
      </c>
      <c r="S12" t="s">
        <v>18</v>
      </c>
      <c r="T12" t="s">
        <v>23</v>
      </c>
      <c r="U12">
        <v>2050</v>
      </c>
      <c r="V12" t="s">
        <v>60</v>
      </c>
      <c r="W12">
        <v>4.6246929599690588E-2</v>
      </c>
      <c r="X12" t="s">
        <v>52</v>
      </c>
      <c r="Y12">
        <v>1.251167244888981E-2</v>
      </c>
      <c r="Z12" t="s">
        <v>25</v>
      </c>
      <c r="AA12">
        <v>0.44246264226645537</v>
      </c>
      <c r="AB12">
        <v>0.27054060793202389</v>
      </c>
      <c r="AC12">
        <v>9.5673949837616004</v>
      </c>
      <c r="AE12" s="2">
        <f t="shared" si="2"/>
        <v>-1.4433783935701157E-3</v>
      </c>
      <c r="AF12" s="4">
        <f t="shared" si="3"/>
        <v>0.99855766252580314</v>
      </c>
    </row>
    <row r="13" spans="1:32" x14ac:dyDescent="0.35">
      <c r="A13" s="1">
        <v>3</v>
      </c>
      <c r="B13" t="s">
        <v>12</v>
      </c>
      <c r="C13" t="s">
        <v>16</v>
      </c>
      <c r="D13" t="s">
        <v>18</v>
      </c>
      <c r="E13" t="s">
        <v>23</v>
      </c>
      <c r="F13">
        <v>2050</v>
      </c>
      <c r="G13" t="s">
        <v>61</v>
      </c>
      <c r="H13">
        <v>3.1242684515255099E-2</v>
      </c>
      <c r="I13" t="s">
        <v>52</v>
      </c>
      <c r="J13">
        <v>9.7592449775074424E-4</v>
      </c>
      <c r="K13" t="s">
        <v>25</v>
      </c>
      <c r="L13">
        <v>3.1242684515218271E-2</v>
      </c>
      <c r="M13">
        <v>3.1236896345261951E-2</v>
      </c>
      <c r="N13">
        <v>1</v>
      </c>
      <c r="P13" s="1">
        <v>3</v>
      </c>
      <c r="Q13" t="s">
        <v>12</v>
      </c>
      <c r="R13" t="s">
        <v>16</v>
      </c>
      <c r="S13" t="s">
        <v>18</v>
      </c>
      <c r="T13" t="s">
        <v>23</v>
      </c>
      <c r="U13">
        <v>2050</v>
      </c>
      <c r="V13" t="s">
        <v>61</v>
      </c>
      <c r="W13">
        <v>3.1242684515255099E-2</v>
      </c>
      <c r="X13" t="s">
        <v>52</v>
      </c>
      <c r="Y13">
        <v>8.8346042747597744E-4</v>
      </c>
      <c r="Z13" t="s">
        <v>25</v>
      </c>
      <c r="AA13">
        <v>3.1242684515255081E-2</v>
      </c>
      <c r="AB13">
        <v>2.827735328072092E-2</v>
      </c>
      <c r="AC13">
        <v>1</v>
      </c>
      <c r="AE13" s="2">
        <f t="shared" si="2"/>
        <v>9.9456620326737688E-2</v>
      </c>
      <c r="AF13" s="4">
        <f t="shared" si="3"/>
        <v>1.1046612472942723</v>
      </c>
    </row>
    <row r="14" spans="1:32" x14ac:dyDescent="0.35">
      <c r="A14" s="1">
        <v>4</v>
      </c>
      <c r="B14" t="s">
        <v>12</v>
      </c>
      <c r="C14" t="s">
        <v>16</v>
      </c>
      <c r="D14" t="s">
        <v>18</v>
      </c>
      <c r="E14" t="s">
        <v>23</v>
      </c>
      <c r="F14">
        <v>2050</v>
      </c>
      <c r="G14" t="s">
        <v>62</v>
      </c>
      <c r="H14">
        <v>6.0394699999999996E-9</v>
      </c>
      <c r="I14" t="s">
        <v>53</v>
      </c>
      <c r="J14">
        <v>8.5225248392728698E-4</v>
      </c>
      <c r="K14" t="s">
        <v>25</v>
      </c>
      <c r="L14">
        <v>2.7283519928046659E-2</v>
      </c>
      <c r="M14">
        <v>141113.78712491109</v>
      </c>
      <c r="N14">
        <v>4517535.467198085</v>
      </c>
      <c r="P14" s="1">
        <v>4</v>
      </c>
      <c r="Q14" t="s">
        <v>12</v>
      </c>
      <c r="R14" t="s">
        <v>16</v>
      </c>
      <c r="S14" t="s">
        <v>18</v>
      </c>
      <c r="T14" t="s">
        <v>23</v>
      </c>
      <c r="U14">
        <v>2050</v>
      </c>
      <c r="V14" t="s">
        <v>62</v>
      </c>
      <c r="W14">
        <v>6.0394699999999996E-9</v>
      </c>
      <c r="X14" t="s">
        <v>53</v>
      </c>
      <c r="Y14">
        <v>8.2412398336450718E-4</v>
      </c>
      <c r="Z14" t="s">
        <v>25</v>
      </c>
      <c r="AA14">
        <v>2.914431118015498E-2</v>
      </c>
      <c r="AB14">
        <v>136456.3419247893</v>
      </c>
      <c r="AC14">
        <v>4825640.5247736964</v>
      </c>
      <c r="AE14" s="2">
        <f t="shared" si="2"/>
        <v>3.3558691751646601E-2</v>
      </c>
      <c r="AF14" s="4">
        <f t="shared" si="3"/>
        <v>1.0341313942204964</v>
      </c>
    </row>
    <row r="15" spans="1:32" x14ac:dyDescent="0.35">
      <c r="A15" s="1">
        <v>5</v>
      </c>
      <c r="B15" t="s">
        <v>12</v>
      </c>
      <c r="C15" t="s">
        <v>16</v>
      </c>
      <c r="D15" t="s">
        <v>18</v>
      </c>
      <c r="E15" t="s">
        <v>23</v>
      </c>
      <c r="F15">
        <v>2050</v>
      </c>
      <c r="G15" t="s">
        <v>63</v>
      </c>
      <c r="J15">
        <v>1.3650002909164039E-3</v>
      </c>
      <c r="K15" t="s">
        <v>25</v>
      </c>
      <c r="L15">
        <v>4.3698332762135972E-2</v>
      </c>
      <c r="P15" s="1">
        <v>5</v>
      </c>
      <c r="Q15" t="s">
        <v>12</v>
      </c>
      <c r="R15" t="s">
        <v>16</v>
      </c>
      <c r="S15" t="s">
        <v>18</v>
      </c>
      <c r="T15" t="s">
        <v>23</v>
      </c>
      <c r="U15">
        <v>2050</v>
      </c>
      <c r="V15" t="s">
        <v>63</v>
      </c>
      <c r="Y15">
        <v>1.3650003260061269E-3</v>
      </c>
      <c r="Z15" t="s">
        <v>25</v>
      </c>
      <c r="AA15">
        <v>4.8271856013369252E-2</v>
      </c>
      <c r="AE15" s="2">
        <f t="shared" si="2"/>
        <v>-2.570675097538022E-8</v>
      </c>
      <c r="AF15" s="4">
        <f t="shared" si="3"/>
        <v>0.99999997429324938</v>
      </c>
    </row>
    <row r="16" spans="1:32" x14ac:dyDescent="0.35">
      <c r="A16" s="1">
        <v>6</v>
      </c>
      <c r="B16" t="s">
        <v>12</v>
      </c>
      <c r="C16" t="s">
        <v>16</v>
      </c>
      <c r="D16" t="s">
        <v>18</v>
      </c>
      <c r="E16" t="s">
        <v>23</v>
      </c>
      <c r="F16">
        <v>2050</v>
      </c>
      <c r="G16" t="s">
        <v>24</v>
      </c>
      <c r="H16">
        <v>1</v>
      </c>
      <c r="I16" t="s">
        <v>52</v>
      </c>
      <c r="J16">
        <v>3.1236896345261951E-2</v>
      </c>
      <c r="K16" t="s">
        <v>25</v>
      </c>
      <c r="L16">
        <v>1</v>
      </c>
      <c r="M16">
        <v>3.1236896345261951E-2</v>
      </c>
      <c r="N16">
        <v>1</v>
      </c>
      <c r="P16" s="1">
        <v>6</v>
      </c>
      <c r="Q16" t="s">
        <v>12</v>
      </c>
      <c r="R16" t="s">
        <v>16</v>
      </c>
      <c r="S16" t="s">
        <v>18</v>
      </c>
      <c r="T16" t="s">
        <v>23</v>
      </c>
      <c r="U16">
        <v>2050</v>
      </c>
      <c r="V16" t="s">
        <v>24</v>
      </c>
      <c r="W16">
        <v>1</v>
      </c>
      <c r="X16" t="s">
        <v>52</v>
      </c>
      <c r="Y16">
        <v>2.827735328072092E-2</v>
      </c>
      <c r="Z16" t="s">
        <v>25</v>
      </c>
      <c r="AA16">
        <v>1</v>
      </c>
      <c r="AB16">
        <v>2.827735328072092E-2</v>
      </c>
      <c r="AC16">
        <v>1</v>
      </c>
      <c r="AE16" s="12">
        <f t="shared" si="2"/>
        <v>9.9456620326737563E-2</v>
      </c>
      <c r="AF16" s="5">
        <f t="shared" si="3"/>
        <v>1.1046612472942721</v>
      </c>
    </row>
    <row r="17" spans="1:32" x14ac:dyDescent="0.35">
      <c r="A17" s="8"/>
      <c r="B17" s="9" t="s">
        <v>0</v>
      </c>
      <c r="C17" s="9" t="s">
        <v>1</v>
      </c>
      <c r="D17" s="9" t="s">
        <v>2</v>
      </c>
      <c r="E17" s="9" t="s">
        <v>3</v>
      </c>
      <c r="F17" s="9" t="s">
        <v>4</v>
      </c>
      <c r="G17" s="9" t="s">
        <v>5</v>
      </c>
      <c r="H17" s="9" t="s">
        <v>27</v>
      </c>
      <c r="I17" s="9" t="s">
        <v>28</v>
      </c>
      <c r="J17" s="9" t="s">
        <v>6</v>
      </c>
      <c r="K17" s="1" t="s">
        <v>29</v>
      </c>
      <c r="L17" s="1" t="s">
        <v>30</v>
      </c>
      <c r="M17" s="1" t="s">
        <v>31</v>
      </c>
      <c r="N17" s="1" t="s">
        <v>32</v>
      </c>
      <c r="Q17" s="1" t="s">
        <v>0</v>
      </c>
      <c r="R17" s="1" t="s">
        <v>1</v>
      </c>
      <c r="S17" s="1" t="s">
        <v>2</v>
      </c>
      <c r="T17" s="1" t="s">
        <v>3</v>
      </c>
      <c r="U17" s="1" t="s">
        <v>4</v>
      </c>
      <c r="V17" s="1" t="s">
        <v>5</v>
      </c>
      <c r="W17" s="1" t="s">
        <v>27</v>
      </c>
      <c r="X17" s="1" t="s">
        <v>28</v>
      </c>
      <c r="Y17" s="1" t="s">
        <v>6</v>
      </c>
      <c r="Z17" s="1" t="s">
        <v>29</v>
      </c>
      <c r="AA17" s="1" t="s">
        <v>30</v>
      </c>
      <c r="AB17" s="1" t="s">
        <v>31</v>
      </c>
      <c r="AC17" s="1" t="s">
        <v>32</v>
      </c>
      <c r="AE17" s="13"/>
    </row>
    <row r="18" spans="1:32" x14ac:dyDescent="0.35">
      <c r="A18" s="9">
        <v>0</v>
      </c>
      <c r="B18" s="8" t="s">
        <v>9</v>
      </c>
      <c r="C18" s="8" t="s">
        <v>16</v>
      </c>
      <c r="D18" s="8" t="s">
        <v>18</v>
      </c>
      <c r="E18" s="8" t="s">
        <v>22</v>
      </c>
      <c r="F18" s="8">
        <v>2050</v>
      </c>
      <c r="G18" s="8" t="s">
        <v>58</v>
      </c>
      <c r="H18" s="8">
        <v>0.94045641483364362</v>
      </c>
      <c r="I18" s="8" t="s">
        <v>52</v>
      </c>
      <c r="J18" s="8">
        <v>1.126324747511623E-2</v>
      </c>
      <c r="K18" t="s">
        <v>25</v>
      </c>
      <c r="L18">
        <v>0.45724079035752557</v>
      </c>
      <c r="M18">
        <v>1.197636306953E-2</v>
      </c>
      <c r="N18">
        <v>0.48619030413906261</v>
      </c>
      <c r="P18" s="1">
        <v>0</v>
      </c>
      <c r="Q18" t="s">
        <v>9</v>
      </c>
      <c r="R18" t="s">
        <v>16</v>
      </c>
      <c r="S18" t="s">
        <v>18</v>
      </c>
      <c r="T18" t="s">
        <v>22</v>
      </c>
      <c r="U18">
        <v>2050</v>
      </c>
      <c r="V18" t="s">
        <v>58</v>
      </c>
      <c r="W18">
        <v>0.94045641483364362</v>
      </c>
      <c r="X18" t="s">
        <v>52</v>
      </c>
      <c r="Y18">
        <v>8.5595628134413817E-3</v>
      </c>
      <c r="Z18" t="s">
        <v>25</v>
      </c>
      <c r="AA18">
        <v>0.39364663212177958</v>
      </c>
      <c r="AB18">
        <v>9.1014986749337803E-3</v>
      </c>
      <c r="AC18">
        <v>0.41856977730478989</v>
      </c>
      <c r="AE18" s="11">
        <f>(J18-Y18)/AVERAGE(J18,Y18)</f>
        <v>0.27278520273540685</v>
      </c>
      <c r="AF18" s="7">
        <f>J18/Y18</f>
        <v>1.3158671442225014</v>
      </c>
    </row>
    <row r="19" spans="1:32" x14ac:dyDescent="0.35">
      <c r="A19" s="9">
        <v>1</v>
      </c>
      <c r="B19" s="8" t="s">
        <v>9</v>
      </c>
      <c r="C19" s="8" t="s">
        <v>16</v>
      </c>
      <c r="D19" s="8" t="s">
        <v>18</v>
      </c>
      <c r="E19" s="8" t="s">
        <v>22</v>
      </c>
      <c r="F19" s="8">
        <v>2050</v>
      </c>
      <c r="G19" s="8" t="s">
        <v>59</v>
      </c>
      <c r="H19" s="8">
        <v>2.4085503535129119E-2</v>
      </c>
      <c r="I19" s="8" t="s">
        <v>52</v>
      </c>
      <c r="J19" s="8">
        <v>8.0396714480338667E-4</v>
      </c>
      <c r="K19" t="s">
        <v>25</v>
      </c>
      <c r="L19">
        <v>3.2637707155377067E-2</v>
      </c>
      <c r="M19">
        <v>3.3379710896672223E-2</v>
      </c>
      <c r="N19">
        <v>1.355076804093911</v>
      </c>
      <c r="P19" s="1">
        <v>1</v>
      </c>
      <c r="Q19" t="s">
        <v>9</v>
      </c>
      <c r="R19" t="s">
        <v>16</v>
      </c>
      <c r="S19" t="s">
        <v>18</v>
      </c>
      <c r="T19" t="s">
        <v>22</v>
      </c>
      <c r="U19">
        <v>2050</v>
      </c>
      <c r="V19" t="s">
        <v>59</v>
      </c>
      <c r="W19">
        <v>2.4085503535129119E-2</v>
      </c>
      <c r="X19" t="s">
        <v>52</v>
      </c>
      <c r="Y19">
        <v>7.2340166433419587E-4</v>
      </c>
      <c r="Z19" t="s">
        <v>25</v>
      </c>
      <c r="AA19">
        <v>3.3268595025585927E-2</v>
      </c>
      <c r="AB19">
        <v>3.0034732854104639E-2</v>
      </c>
      <c r="AC19">
        <v>1.381270479857857</v>
      </c>
      <c r="AE19" s="2">
        <f t="shared" ref="AE19:AE24" si="4">(J19-Y19)/AVERAGE(J19,Y19)</f>
        <v>0.10549577808215359</v>
      </c>
      <c r="AF19" s="4">
        <f t="shared" ref="AF19:AF24" si="5">J19/Y19</f>
        <v>1.1113703277740474</v>
      </c>
    </row>
    <row r="20" spans="1:32" x14ac:dyDescent="0.35">
      <c r="A20" s="9">
        <v>2</v>
      </c>
      <c r="B20" s="8" t="s">
        <v>9</v>
      </c>
      <c r="C20" s="8" t="s">
        <v>16</v>
      </c>
      <c r="D20" s="8" t="s">
        <v>18</v>
      </c>
      <c r="E20" s="8" t="s">
        <v>22</v>
      </c>
      <c r="F20" s="8">
        <v>2050</v>
      </c>
      <c r="G20" s="8" t="s">
        <v>60</v>
      </c>
      <c r="H20" s="8">
        <v>3.5458081631227323E-2</v>
      </c>
      <c r="I20" s="8" t="s">
        <v>52</v>
      </c>
      <c r="J20" s="8">
        <v>9.5790080550025736E-3</v>
      </c>
      <c r="K20" t="s">
        <v>25</v>
      </c>
      <c r="L20">
        <v>0.38886770654617819</v>
      </c>
      <c r="M20">
        <v>0.27015020594251521</v>
      </c>
      <c r="N20">
        <v>10.966969690872631</v>
      </c>
      <c r="P20" s="1">
        <v>2</v>
      </c>
      <c r="Q20" t="s">
        <v>9</v>
      </c>
      <c r="R20" t="s">
        <v>16</v>
      </c>
      <c r="S20" t="s">
        <v>18</v>
      </c>
      <c r="T20" t="s">
        <v>22</v>
      </c>
      <c r="U20">
        <v>2050</v>
      </c>
      <c r="V20" t="s">
        <v>60</v>
      </c>
      <c r="W20">
        <v>3.5458081631227323E-2</v>
      </c>
      <c r="X20" t="s">
        <v>52</v>
      </c>
      <c r="Y20">
        <v>9.5928442604028483E-3</v>
      </c>
      <c r="Z20" t="s">
        <v>25</v>
      </c>
      <c r="AA20">
        <v>0.44116632097686581</v>
      </c>
      <c r="AB20">
        <v>0.27054041897051179</v>
      </c>
      <c r="AC20">
        <v>12.44191170760738</v>
      </c>
      <c r="AE20" s="2">
        <f t="shared" si="4"/>
        <v>-1.4433874382765435E-3</v>
      </c>
      <c r="AF20" s="4">
        <f t="shared" si="5"/>
        <v>0.99855765349413761</v>
      </c>
    </row>
    <row r="21" spans="1:32" x14ac:dyDescent="0.35">
      <c r="A21" s="9">
        <v>3</v>
      </c>
      <c r="B21" s="8" t="s">
        <v>9</v>
      </c>
      <c r="C21" s="8" t="s">
        <v>16</v>
      </c>
      <c r="D21" s="8" t="s">
        <v>18</v>
      </c>
      <c r="E21" s="8" t="s">
        <v>22</v>
      </c>
      <c r="F21" s="8">
        <v>2050</v>
      </c>
      <c r="G21" s="8" t="s">
        <v>61</v>
      </c>
      <c r="H21" s="8">
        <v>3.1242684515255099E-2</v>
      </c>
      <c r="I21" s="8" t="s">
        <v>52</v>
      </c>
      <c r="J21" s="8">
        <v>7.6960344506264537E-4</v>
      </c>
      <c r="K21" t="s">
        <v>25</v>
      </c>
      <c r="L21">
        <v>3.124268451525675E-2</v>
      </c>
      <c r="M21">
        <v>2.463307673471098E-2</v>
      </c>
      <c r="N21">
        <v>1</v>
      </c>
      <c r="P21" s="1">
        <v>3</v>
      </c>
      <c r="Q21" t="s">
        <v>9</v>
      </c>
      <c r="R21" t="s">
        <v>16</v>
      </c>
      <c r="S21" t="s">
        <v>18</v>
      </c>
      <c r="T21" t="s">
        <v>22</v>
      </c>
      <c r="U21">
        <v>2050</v>
      </c>
      <c r="V21" t="s">
        <v>61</v>
      </c>
      <c r="W21">
        <v>3.1242684515255099E-2</v>
      </c>
      <c r="X21" t="s">
        <v>52</v>
      </c>
      <c r="Y21">
        <v>6.7934969779222612E-4</v>
      </c>
      <c r="Z21" t="s">
        <v>25</v>
      </c>
      <c r="AA21">
        <v>3.124268451525512E-2</v>
      </c>
      <c r="AB21">
        <v>2.174428056784029E-2</v>
      </c>
      <c r="AC21">
        <v>1</v>
      </c>
      <c r="AE21" s="2">
        <f t="shared" si="4"/>
        <v>0.1245778688089145</v>
      </c>
      <c r="AF21" s="4">
        <f t="shared" si="5"/>
        <v>1.1328531499516803</v>
      </c>
    </row>
    <row r="22" spans="1:32" x14ac:dyDescent="0.35">
      <c r="A22" s="9">
        <v>4</v>
      </c>
      <c r="B22" s="8" t="s">
        <v>9</v>
      </c>
      <c r="C22" s="8" t="s">
        <v>16</v>
      </c>
      <c r="D22" s="8" t="s">
        <v>18</v>
      </c>
      <c r="E22" s="8" t="s">
        <v>22</v>
      </c>
      <c r="F22" s="8">
        <v>2050</v>
      </c>
      <c r="G22" s="8" t="s">
        <v>62</v>
      </c>
      <c r="H22" s="8">
        <v>6.0394699999999996E-9</v>
      </c>
      <c r="I22" s="8" t="s">
        <v>53</v>
      </c>
      <c r="J22" s="8">
        <v>8.5225096071826528E-4</v>
      </c>
      <c r="K22" t="s">
        <v>25</v>
      </c>
      <c r="L22">
        <v>3.4597828354806598E-2</v>
      </c>
      <c r="M22">
        <v>141113.53491585609</v>
      </c>
      <c r="N22">
        <v>5728619.954202069</v>
      </c>
      <c r="P22" s="1">
        <v>4</v>
      </c>
      <c r="Q22" t="s">
        <v>9</v>
      </c>
      <c r="R22" t="s">
        <v>16</v>
      </c>
      <c r="S22" t="s">
        <v>18</v>
      </c>
      <c r="T22" t="s">
        <v>22</v>
      </c>
      <c r="U22">
        <v>2050</v>
      </c>
      <c r="V22" t="s">
        <v>62</v>
      </c>
      <c r="W22">
        <v>6.0394699999999996E-9</v>
      </c>
      <c r="X22" t="s">
        <v>53</v>
      </c>
      <c r="Y22">
        <v>8.2412247664768643E-4</v>
      </c>
      <c r="Z22" t="s">
        <v>25</v>
      </c>
      <c r="AA22">
        <v>3.7900655028640547E-2</v>
      </c>
      <c r="AB22">
        <v>136456.09244647069</v>
      </c>
      <c r="AC22">
        <v>6275493.549705606</v>
      </c>
      <c r="AE22" s="2">
        <f t="shared" si="4"/>
        <v>3.3558732730550198E-2</v>
      </c>
      <c r="AF22" s="4">
        <f t="shared" si="5"/>
        <v>1.0341314366100025</v>
      </c>
    </row>
    <row r="23" spans="1:32" x14ac:dyDescent="0.35">
      <c r="A23" s="9">
        <v>5</v>
      </c>
      <c r="B23" s="8" t="s">
        <v>9</v>
      </c>
      <c r="C23" s="8" t="s">
        <v>16</v>
      </c>
      <c r="D23" s="8" t="s">
        <v>18</v>
      </c>
      <c r="E23" s="8" t="s">
        <v>22</v>
      </c>
      <c r="F23" s="8">
        <v>2050</v>
      </c>
      <c r="G23" s="8" t="s">
        <v>63</v>
      </c>
      <c r="H23" s="8"/>
      <c r="I23" s="8"/>
      <c r="J23" s="8">
        <v>1.3649996540078741E-3</v>
      </c>
      <c r="K23" t="s">
        <v>25</v>
      </c>
      <c r="L23">
        <v>5.541328307085569E-2</v>
      </c>
      <c r="P23" s="1">
        <v>5</v>
      </c>
      <c r="Q23" t="s">
        <v>9</v>
      </c>
      <c r="R23" t="s">
        <v>16</v>
      </c>
      <c r="S23" t="s">
        <v>18</v>
      </c>
      <c r="T23" t="s">
        <v>22</v>
      </c>
      <c r="U23">
        <v>2050</v>
      </c>
      <c r="V23" t="s">
        <v>63</v>
      </c>
      <c r="Y23">
        <v>1.364999655221952E-3</v>
      </c>
      <c r="Z23" t="s">
        <v>25</v>
      </c>
      <c r="AA23">
        <v>6.2775112331872829E-2</v>
      </c>
      <c r="AE23" s="2">
        <f t="shared" si="4"/>
        <v>-8.8943457184120291E-10</v>
      </c>
      <c r="AF23" s="4">
        <f t="shared" si="5"/>
        <v>0.99999999911056547</v>
      </c>
    </row>
    <row r="24" spans="1:32" x14ac:dyDescent="0.35">
      <c r="A24" s="9">
        <v>6</v>
      </c>
      <c r="B24" s="8" t="s">
        <v>9</v>
      </c>
      <c r="C24" s="8" t="s">
        <v>16</v>
      </c>
      <c r="D24" s="8" t="s">
        <v>18</v>
      </c>
      <c r="E24" s="8" t="s">
        <v>22</v>
      </c>
      <c r="F24" s="8">
        <v>2050</v>
      </c>
      <c r="G24" s="8" t="s">
        <v>24</v>
      </c>
      <c r="H24" s="8">
        <v>1</v>
      </c>
      <c r="I24" s="8" t="s">
        <v>52</v>
      </c>
      <c r="J24" s="8">
        <v>2.463307673471098E-2</v>
      </c>
      <c r="K24" t="s">
        <v>25</v>
      </c>
      <c r="L24">
        <v>1</v>
      </c>
      <c r="M24">
        <v>2.463307673471098E-2</v>
      </c>
      <c r="N24">
        <v>1</v>
      </c>
      <c r="P24" s="1">
        <v>6</v>
      </c>
      <c r="Q24" t="s">
        <v>9</v>
      </c>
      <c r="R24" t="s">
        <v>16</v>
      </c>
      <c r="S24" t="s">
        <v>18</v>
      </c>
      <c r="T24" t="s">
        <v>22</v>
      </c>
      <c r="U24">
        <v>2050</v>
      </c>
      <c r="V24" t="s">
        <v>24</v>
      </c>
      <c r="W24">
        <v>1</v>
      </c>
      <c r="X24" t="s">
        <v>52</v>
      </c>
      <c r="Y24">
        <v>2.174428056784029E-2</v>
      </c>
      <c r="Z24" t="s">
        <v>25</v>
      </c>
      <c r="AA24">
        <v>1</v>
      </c>
      <c r="AB24">
        <v>2.174428056784029E-2</v>
      </c>
      <c r="AC24">
        <v>1</v>
      </c>
      <c r="AE24" s="12">
        <f t="shared" si="4"/>
        <v>0.12457786880891439</v>
      </c>
      <c r="AF24" s="5">
        <f t="shared" si="5"/>
        <v>1.1328531499516801</v>
      </c>
    </row>
    <row r="25" spans="1:32" x14ac:dyDescent="0.35">
      <c r="B25" s="1" t="s">
        <v>0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5</v>
      </c>
      <c r="H25" s="1" t="s">
        <v>27</v>
      </c>
      <c r="I25" s="1" t="s">
        <v>28</v>
      </c>
      <c r="J25" s="1" t="s">
        <v>6</v>
      </c>
      <c r="K25" s="1" t="s">
        <v>29</v>
      </c>
      <c r="L25" s="1" t="s">
        <v>30</v>
      </c>
      <c r="M25" s="1" t="s">
        <v>31</v>
      </c>
      <c r="N25" s="1" t="s">
        <v>32</v>
      </c>
      <c r="Q25" s="1" t="s">
        <v>0</v>
      </c>
      <c r="R25" s="1" t="s">
        <v>1</v>
      </c>
      <c r="S25" s="1" t="s">
        <v>2</v>
      </c>
      <c r="T25" s="1" t="s">
        <v>3</v>
      </c>
      <c r="U25" s="1" t="s">
        <v>4</v>
      </c>
      <c r="V25" s="1" t="s">
        <v>5</v>
      </c>
      <c r="W25" s="1" t="s">
        <v>27</v>
      </c>
      <c r="X25" s="1" t="s">
        <v>28</v>
      </c>
      <c r="Y25" s="1" t="s">
        <v>6</v>
      </c>
      <c r="Z25" s="1" t="s">
        <v>29</v>
      </c>
      <c r="AA25" s="1" t="s">
        <v>30</v>
      </c>
      <c r="AB25" s="1" t="s">
        <v>31</v>
      </c>
      <c r="AC25" s="1" t="s">
        <v>32</v>
      </c>
      <c r="AE25" s="13"/>
    </row>
    <row r="26" spans="1:32" x14ac:dyDescent="0.35">
      <c r="A26" s="1">
        <v>0</v>
      </c>
      <c r="B26" t="s">
        <v>10</v>
      </c>
      <c r="C26" t="s">
        <v>16</v>
      </c>
      <c r="D26" t="s">
        <v>19</v>
      </c>
      <c r="E26" t="s">
        <v>21</v>
      </c>
      <c r="F26">
        <v>2050</v>
      </c>
      <c r="G26" t="s">
        <v>58</v>
      </c>
      <c r="H26">
        <v>0.86085528276763223</v>
      </c>
      <c r="I26" t="s">
        <v>52</v>
      </c>
      <c r="J26">
        <v>1.2862296408514599E-2</v>
      </c>
      <c r="K26" t="s">
        <v>25</v>
      </c>
      <c r="L26">
        <v>0.81991744919943588</v>
      </c>
      <c r="M26">
        <v>1.494129927060746E-2</v>
      </c>
      <c r="N26">
        <v>0.95244516193660345</v>
      </c>
      <c r="P26" s="1">
        <v>0</v>
      </c>
      <c r="Q26" t="s">
        <v>10</v>
      </c>
      <c r="R26" t="s">
        <v>16</v>
      </c>
      <c r="S26" t="s">
        <v>19</v>
      </c>
      <c r="T26" t="s">
        <v>21</v>
      </c>
      <c r="U26">
        <v>2050</v>
      </c>
      <c r="V26" t="s">
        <v>58</v>
      </c>
      <c r="W26">
        <v>0.86085528276763223</v>
      </c>
      <c r="X26" t="s">
        <v>52</v>
      </c>
      <c r="Y26">
        <v>1.062298832594458E-2</v>
      </c>
      <c r="Z26" t="s">
        <v>25</v>
      </c>
      <c r="AA26">
        <v>0.60991609559136006</v>
      </c>
      <c r="AB26">
        <v>1.2340039654274861E-2</v>
      </c>
      <c r="AC26">
        <v>0.70850014839949915</v>
      </c>
      <c r="AE26" s="11">
        <f>(J26-Y26)/AVERAGE(J26,Y26)</f>
        <v>0.19069882336017469</v>
      </c>
      <c r="AF26" s="7">
        <f>J26/Y26</f>
        <v>1.2107983190662974</v>
      </c>
    </row>
    <row r="27" spans="1:32" x14ac:dyDescent="0.35">
      <c r="A27" s="1">
        <v>1</v>
      </c>
      <c r="B27" t="s">
        <v>10</v>
      </c>
      <c r="C27" t="s">
        <v>16</v>
      </c>
      <c r="D27" t="s">
        <v>19</v>
      </c>
      <c r="E27" t="s">
        <v>21</v>
      </c>
      <c r="F27">
        <v>2050</v>
      </c>
      <c r="G27" t="s">
        <v>59</v>
      </c>
      <c r="H27">
        <v>8.2040494344195497E-2</v>
      </c>
      <c r="I27" t="s">
        <v>52</v>
      </c>
      <c r="J27">
        <v>3.5158255576150099E-3</v>
      </c>
      <c r="K27" t="s">
        <v>25</v>
      </c>
      <c r="L27">
        <v>0.2241191332771337</v>
      </c>
      <c r="M27">
        <v>4.2854758320502007E-2</v>
      </c>
      <c r="N27">
        <v>2.7318111021723119</v>
      </c>
      <c r="P27" s="1">
        <v>1</v>
      </c>
      <c r="Q27" t="s">
        <v>10</v>
      </c>
      <c r="R27" t="s">
        <v>16</v>
      </c>
      <c r="S27" t="s">
        <v>19</v>
      </c>
      <c r="T27" t="s">
        <v>21</v>
      </c>
      <c r="U27">
        <v>2050</v>
      </c>
      <c r="V27" t="s">
        <v>59</v>
      </c>
      <c r="W27">
        <v>8.2040494344195497E-2</v>
      </c>
      <c r="X27" t="s">
        <v>52</v>
      </c>
      <c r="Y27">
        <v>3.6028255960408209E-3</v>
      </c>
      <c r="Z27" t="s">
        <v>25</v>
      </c>
      <c r="AA27">
        <v>0.20685528904019021</v>
      </c>
      <c r="AB27">
        <v>4.3915210711985758E-2</v>
      </c>
      <c r="AC27">
        <v>2.5213803341108911</v>
      </c>
      <c r="AE27" s="2">
        <f t="shared" ref="AE27:AE32" si="6">(J27-Y27)/AVERAGE(J27,Y27)</f>
        <v>-2.4442843608407899E-2</v>
      </c>
      <c r="AF27" s="4">
        <f t="shared" ref="AF27:AF32" si="7">J27/Y27</f>
        <v>0.97585227591326762</v>
      </c>
    </row>
    <row r="28" spans="1:32" x14ac:dyDescent="0.35">
      <c r="A28" s="1">
        <v>2</v>
      </c>
      <c r="B28" t="s">
        <v>10</v>
      </c>
      <c r="C28" t="s">
        <v>16</v>
      </c>
      <c r="D28" t="s">
        <v>19</v>
      </c>
      <c r="E28" t="s">
        <v>21</v>
      </c>
      <c r="F28">
        <v>2050</v>
      </c>
      <c r="G28" t="s">
        <v>60</v>
      </c>
      <c r="H28">
        <v>5.7104222888172101E-2</v>
      </c>
      <c r="I28" t="s">
        <v>52</v>
      </c>
      <c r="J28">
        <v>-3.1981359785693748E-3</v>
      </c>
      <c r="K28" t="s">
        <v>25</v>
      </c>
      <c r="L28">
        <v>-0.20386775506166149</v>
      </c>
      <c r="M28">
        <v>-5.6005244740521633E-2</v>
      </c>
      <c r="N28">
        <v>-3.570099455883299</v>
      </c>
      <c r="P28" s="1">
        <v>2</v>
      </c>
      <c r="Q28" t="s">
        <v>10</v>
      </c>
      <c r="R28" t="s">
        <v>16</v>
      </c>
      <c r="S28" t="s">
        <v>19</v>
      </c>
      <c r="T28" t="s">
        <v>21</v>
      </c>
      <c r="U28">
        <v>2050</v>
      </c>
      <c r="V28" t="s">
        <v>60</v>
      </c>
      <c r="W28">
        <v>5.7104222888172101E-2</v>
      </c>
      <c r="X28" t="s">
        <v>52</v>
      </c>
      <c r="Y28">
        <v>6.4718751670110456E-4</v>
      </c>
      <c r="Z28" t="s">
        <v>25</v>
      </c>
      <c r="AA28">
        <v>3.7158101956843402E-2</v>
      </c>
      <c r="AB28">
        <v>1.1333444077656039E-2</v>
      </c>
      <c r="AC28">
        <v>0.65070672670934648</v>
      </c>
      <c r="AE28" s="14">
        <f>(J28-Y28)/AVERAGE(J28,Y28)</f>
        <v>3.0148186470644975</v>
      </c>
      <c r="AF28" s="6">
        <f t="shared" si="7"/>
        <v>-4.9415909547686683</v>
      </c>
    </row>
    <row r="29" spans="1:32" x14ac:dyDescent="0.35">
      <c r="A29" s="1">
        <v>3</v>
      </c>
      <c r="B29" t="s">
        <v>10</v>
      </c>
      <c r="C29" t="s">
        <v>16</v>
      </c>
      <c r="D29" t="s">
        <v>19</v>
      </c>
      <c r="E29" t="s">
        <v>21</v>
      </c>
      <c r="F29">
        <v>2050</v>
      </c>
      <c r="G29" t="s">
        <v>61</v>
      </c>
      <c r="H29">
        <v>3.1242684515255099E-2</v>
      </c>
      <c r="I29" t="s">
        <v>52</v>
      </c>
      <c r="J29">
        <v>4.9011357085424682E-4</v>
      </c>
      <c r="K29" t="s">
        <v>25</v>
      </c>
      <c r="L29">
        <v>3.124268451524892E-2</v>
      </c>
      <c r="M29">
        <v>1.5687306595402691E-2</v>
      </c>
      <c r="N29">
        <v>1</v>
      </c>
      <c r="P29" s="1">
        <v>3</v>
      </c>
      <c r="Q29" t="s">
        <v>10</v>
      </c>
      <c r="R29" t="s">
        <v>16</v>
      </c>
      <c r="S29" t="s">
        <v>19</v>
      </c>
      <c r="T29" t="s">
        <v>21</v>
      </c>
      <c r="U29">
        <v>2050</v>
      </c>
      <c r="V29" t="s">
        <v>61</v>
      </c>
      <c r="W29">
        <v>3.1242684515255099E-2</v>
      </c>
      <c r="X29" t="s">
        <v>52</v>
      </c>
      <c r="Y29">
        <v>5.4415791823780445E-4</v>
      </c>
      <c r="Z29" t="s">
        <v>25</v>
      </c>
      <c r="AA29">
        <v>3.1242684515255081E-2</v>
      </c>
      <c r="AB29">
        <v>1.7417130655725321E-2</v>
      </c>
      <c r="AC29">
        <v>1</v>
      </c>
      <c r="AE29" s="2">
        <f t="shared" si="6"/>
        <v>-0.10450708146465713</v>
      </c>
      <c r="AF29" s="4">
        <f t="shared" si="7"/>
        <v>0.90068260412607004</v>
      </c>
    </row>
    <row r="30" spans="1:32" x14ac:dyDescent="0.35">
      <c r="A30" s="1">
        <v>4</v>
      </c>
      <c r="B30" t="s">
        <v>10</v>
      </c>
      <c r="C30" t="s">
        <v>16</v>
      </c>
      <c r="D30" t="s">
        <v>19</v>
      </c>
      <c r="E30" t="s">
        <v>21</v>
      </c>
      <c r="F30">
        <v>2050</v>
      </c>
      <c r="G30" t="s">
        <v>62</v>
      </c>
      <c r="H30">
        <v>6.0394699999999996E-9</v>
      </c>
      <c r="I30" t="s">
        <v>53</v>
      </c>
      <c r="J30">
        <v>6.5220701296644056E-4</v>
      </c>
      <c r="K30" t="s">
        <v>25</v>
      </c>
      <c r="L30">
        <v>4.1575461600109657E-2</v>
      </c>
      <c r="M30">
        <v>107990.76954872539</v>
      </c>
      <c r="N30">
        <v>6883958.6255280478</v>
      </c>
      <c r="P30" s="1">
        <v>4</v>
      </c>
      <c r="Q30" t="s">
        <v>10</v>
      </c>
      <c r="R30" t="s">
        <v>16</v>
      </c>
      <c r="S30" t="s">
        <v>19</v>
      </c>
      <c r="T30" t="s">
        <v>21</v>
      </c>
      <c r="U30">
        <v>2050</v>
      </c>
      <c r="V30" t="s">
        <v>62</v>
      </c>
      <c r="W30">
        <v>6.0394699999999996E-9</v>
      </c>
      <c r="X30" t="s">
        <v>53</v>
      </c>
      <c r="Y30">
        <v>6.3497133589339894E-4</v>
      </c>
      <c r="Z30" t="s">
        <v>25</v>
      </c>
      <c r="AA30">
        <v>3.6456713131716237E-2</v>
      </c>
      <c r="AB30">
        <v>105136.93020967051</v>
      </c>
      <c r="AC30">
        <v>6036409.3424946629</v>
      </c>
      <c r="AE30" s="2">
        <f t="shared" si="6"/>
        <v>2.678055778099233E-2</v>
      </c>
      <c r="AF30" s="4">
        <f t="shared" si="7"/>
        <v>1.0271440238302902</v>
      </c>
    </row>
    <row r="31" spans="1:32" x14ac:dyDescent="0.35">
      <c r="A31" s="1">
        <v>5</v>
      </c>
      <c r="B31" t="s">
        <v>10</v>
      </c>
      <c r="C31" t="s">
        <v>16</v>
      </c>
      <c r="D31" t="s">
        <v>19</v>
      </c>
      <c r="E31" t="s">
        <v>21</v>
      </c>
      <c r="F31">
        <v>2050</v>
      </c>
      <c r="G31" t="s">
        <v>63</v>
      </c>
      <c r="J31">
        <v>1.3650000240217641E-3</v>
      </c>
      <c r="K31" t="s">
        <v>25</v>
      </c>
      <c r="L31">
        <v>8.7013026469733301E-2</v>
      </c>
      <c r="P31" s="1">
        <v>5</v>
      </c>
      <c r="Q31" t="s">
        <v>10</v>
      </c>
      <c r="R31" t="s">
        <v>16</v>
      </c>
      <c r="S31" t="s">
        <v>19</v>
      </c>
      <c r="T31" t="s">
        <v>21</v>
      </c>
      <c r="U31">
        <v>2050</v>
      </c>
      <c r="V31" t="s">
        <v>63</v>
      </c>
      <c r="Y31">
        <v>1.3649999629076169E-3</v>
      </c>
      <c r="Z31" t="s">
        <v>25</v>
      </c>
      <c r="AA31">
        <v>7.8371115764634847E-2</v>
      </c>
      <c r="AE31" s="2">
        <f t="shared" si="6"/>
        <v>4.4772269198286557E-8</v>
      </c>
      <c r="AF31" s="4">
        <f t="shared" si="7"/>
        <v>1.0000000447722701</v>
      </c>
    </row>
    <row r="32" spans="1:32" x14ac:dyDescent="0.35">
      <c r="A32" s="1">
        <v>6</v>
      </c>
      <c r="B32" t="s">
        <v>10</v>
      </c>
      <c r="C32" t="s">
        <v>16</v>
      </c>
      <c r="D32" t="s">
        <v>19</v>
      </c>
      <c r="E32" t="s">
        <v>21</v>
      </c>
      <c r="F32">
        <v>2050</v>
      </c>
      <c r="G32" t="s">
        <v>24</v>
      </c>
      <c r="H32">
        <v>1</v>
      </c>
      <c r="I32" t="s">
        <v>52</v>
      </c>
      <c r="J32">
        <v>1.5687306595402691E-2</v>
      </c>
      <c r="K32" t="s">
        <v>25</v>
      </c>
      <c r="L32">
        <v>1</v>
      </c>
      <c r="M32">
        <v>1.5687306595402691E-2</v>
      </c>
      <c r="N32">
        <v>1</v>
      </c>
      <c r="P32" s="1">
        <v>6</v>
      </c>
      <c r="Q32" t="s">
        <v>10</v>
      </c>
      <c r="R32" t="s">
        <v>16</v>
      </c>
      <c r="S32" t="s">
        <v>19</v>
      </c>
      <c r="T32" t="s">
        <v>21</v>
      </c>
      <c r="U32">
        <v>2050</v>
      </c>
      <c r="V32" t="s">
        <v>24</v>
      </c>
      <c r="W32">
        <v>1</v>
      </c>
      <c r="X32" t="s">
        <v>52</v>
      </c>
      <c r="Y32">
        <v>1.7417130655725321E-2</v>
      </c>
      <c r="Z32" t="s">
        <v>25</v>
      </c>
      <c r="AA32">
        <v>1</v>
      </c>
      <c r="AB32">
        <v>1.7417130655725321E-2</v>
      </c>
      <c r="AC32">
        <v>1</v>
      </c>
      <c r="AE32" s="15">
        <f t="shared" si="6"/>
        <v>-0.104507081464657</v>
      </c>
      <c r="AF32" s="10">
        <f t="shared" si="7"/>
        <v>0.90068260412607015</v>
      </c>
    </row>
    <row r="33" spans="1:32" x14ac:dyDescent="0.35">
      <c r="A33" s="8"/>
      <c r="B33" s="9" t="s">
        <v>0</v>
      </c>
      <c r="C33" s="9" t="s">
        <v>1</v>
      </c>
      <c r="D33" s="9" t="s">
        <v>2</v>
      </c>
      <c r="E33" s="9" t="s">
        <v>3</v>
      </c>
      <c r="F33" s="9" t="s">
        <v>4</v>
      </c>
      <c r="G33" s="9" t="s">
        <v>5</v>
      </c>
      <c r="H33" s="9" t="s">
        <v>27</v>
      </c>
      <c r="I33" s="9" t="s">
        <v>28</v>
      </c>
      <c r="J33" s="9" t="s">
        <v>6</v>
      </c>
      <c r="K33" s="1" t="s">
        <v>29</v>
      </c>
      <c r="L33" s="1" t="s">
        <v>30</v>
      </c>
      <c r="M33" s="1" t="s">
        <v>31</v>
      </c>
      <c r="N33" s="1" t="s">
        <v>32</v>
      </c>
      <c r="Q33" s="1" t="s">
        <v>0</v>
      </c>
      <c r="R33" s="1" t="s">
        <v>1</v>
      </c>
      <c r="S33" s="1" t="s">
        <v>2</v>
      </c>
      <c r="T33" s="1" t="s">
        <v>3</v>
      </c>
      <c r="U33" s="1" t="s">
        <v>4</v>
      </c>
      <c r="V33" s="1" t="s">
        <v>5</v>
      </c>
      <c r="W33" s="1" t="s">
        <v>27</v>
      </c>
      <c r="X33" s="1" t="s">
        <v>28</v>
      </c>
      <c r="Y33" s="1" t="s">
        <v>6</v>
      </c>
      <c r="Z33" s="1" t="s">
        <v>29</v>
      </c>
      <c r="AA33" s="1" t="s">
        <v>30</v>
      </c>
      <c r="AB33" s="1" t="s">
        <v>31</v>
      </c>
      <c r="AC33" s="1" t="s">
        <v>32</v>
      </c>
      <c r="AE33" s="13"/>
    </row>
    <row r="34" spans="1:32" x14ac:dyDescent="0.35">
      <c r="A34" s="9">
        <v>0</v>
      </c>
      <c r="B34" s="8" t="s">
        <v>13</v>
      </c>
      <c r="C34" s="8" t="s">
        <v>16</v>
      </c>
      <c r="D34" s="8" t="s">
        <v>19</v>
      </c>
      <c r="E34" s="8" t="s">
        <v>23</v>
      </c>
      <c r="F34" s="8">
        <v>2050</v>
      </c>
      <c r="G34" s="8" t="s">
        <v>58</v>
      </c>
      <c r="H34" s="8">
        <v>0.90977795105681936</v>
      </c>
      <c r="I34" s="8" t="s">
        <v>52</v>
      </c>
      <c r="J34" s="8">
        <v>1.107415897381266E-2</v>
      </c>
      <c r="K34" t="s">
        <v>25</v>
      </c>
      <c r="L34">
        <v>0.90616920710305293</v>
      </c>
      <c r="M34">
        <v>1.217237564501168E-2</v>
      </c>
      <c r="N34">
        <v>0.99603337940904402</v>
      </c>
      <c r="P34" s="1">
        <v>0</v>
      </c>
      <c r="Q34" t="s">
        <v>13</v>
      </c>
      <c r="R34" t="s">
        <v>16</v>
      </c>
      <c r="S34" t="s">
        <v>19</v>
      </c>
      <c r="T34" t="s">
        <v>23</v>
      </c>
      <c r="U34">
        <v>2050</v>
      </c>
      <c r="V34" t="s">
        <v>58</v>
      </c>
      <c r="W34">
        <v>0.90977795105681936</v>
      </c>
      <c r="X34" t="s">
        <v>52</v>
      </c>
      <c r="Y34">
        <v>8.6307558605480082E-3</v>
      </c>
      <c r="Z34" t="s">
        <v>25</v>
      </c>
      <c r="AA34">
        <v>0.66969856011012885</v>
      </c>
      <c r="AB34">
        <v>9.4866619382480318E-3</v>
      </c>
      <c r="AC34">
        <v>0.73611210222471546</v>
      </c>
      <c r="AE34" s="11">
        <f>(J34-Y34)/AVERAGE(J34,Y34)</f>
        <v>0.24799935790678371</v>
      </c>
      <c r="AF34" s="7">
        <f>J34/Y34</f>
        <v>1.2831041860926313</v>
      </c>
    </row>
    <row r="35" spans="1:32" x14ac:dyDescent="0.35">
      <c r="A35" s="9">
        <v>1</v>
      </c>
      <c r="B35" s="8" t="s">
        <v>13</v>
      </c>
      <c r="C35" s="8" t="s">
        <v>16</v>
      </c>
      <c r="D35" s="8" t="s">
        <v>19</v>
      </c>
      <c r="E35" s="8" t="s">
        <v>23</v>
      </c>
      <c r="F35" s="8">
        <v>2050</v>
      </c>
      <c r="G35" s="8" t="s">
        <v>59</v>
      </c>
      <c r="H35" s="8">
        <v>4.3975119343490222E-2</v>
      </c>
      <c r="I35" s="8" t="s">
        <v>52</v>
      </c>
      <c r="J35" s="8">
        <v>1.337753100554586E-3</v>
      </c>
      <c r="K35" t="s">
        <v>25</v>
      </c>
      <c r="L35">
        <v>0.1094648062481126</v>
      </c>
      <c r="M35">
        <v>3.0420681524599841E-2</v>
      </c>
      <c r="N35">
        <v>2.489244097169363</v>
      </c>
      <c r="P35" s="1">
        <v>1</v>
      </c>
      <c r="Q35" t="s">
        <v>13</v>
      </c>
      <c r="R35" t="s">
        <v>16</v>
      </c>
      <c r="S35" t="s">
        <v>19</v>
      </c>
      <c r="T35" t="s">
        <v>23</v>
      </c>
      <c r="U35">
        <v>2050</v>
      </c>
      <c r="V35" t="s">
        <v>59</v>
      </c>
      <c r="W35">
        <v>4.3975119343490222E-2</v>
      </c>
      <c r="X35" t="s">
        <v>52</v>
      </c>
      <c r="Y35">
        <v>1.3300306790061699E-3</v>
      </c>
      <c r="Z35" t="s">
        <v>25</v>
      </c>
      <c r="AA35">
        <v>0.1032029691286127</v>
      </c>
      <c r="AB35">
        <v>3.0245072642493209E-2</v>
      </c>
      <c r="AC35">
        <v>2.3468490971563498</v>
      </c>
      <c r="AE35" s="2">
        <f t="shared" ref="AE35:AE40" si="8">(J35-Y35)/AVERAGE(J35,Y35)</f>
        <v>5.7893908851095847E-3</v>
      </c>
      <c r="AF35" s="4">
        <f t="shared" ref="AF35:AF40" si="9">J35/Y35</f>
        <v>1.0058061980601729</v>
      </c>
    </row>
    <row r="36" spans="1:32" x14ac:dyDescent="0.35">
      <c r="A36" s="9">
        <v>2</v>
      </c>
      <c r="B36" s="8" t="s">
        <v>13</v>
      </c>
      <c r="C36" s="8" t="s">
        <v>16</v>
      </c>
      <c r="D36" s="8" t="s">
        <v>19</v>
      </c>
      <c r="E36" s="8" t="s">
        <v>23</v>
      </c>
      <c r="F36" s="8">
        <v>2050</v>
      </c>
      <c r="G36" s="8" t="s">
        <v>60</v>
      </c>
      <c r="H36" s="8">
        <v>4.6246929599690588E-2</v>
      </c>
      <c r="I36" s="8" t="s">
        <v>52</v>
      </c>
      <c r="J36" s="8">
        <v>-2.5900791897213518E-3</v>
      </c>
      <c r="K36" t="s">
        <v>25</v>
      </c>
      <c r="L36">
        <v>-0.2119393455732434</v>
      </c>
      <c r="M36">
        <v>-5.6005430244577367E-2</v>
      </c>
      <c r="N36">
        <v>-4.582776573661218</v>
      </c>
      <c r="P36" s="1">
        <v>2</v>
      </c>
      <c r="Q36" t="s">
        <v>13</v>
      </c>
      <c r="R36" t="s">
        <v>16</v>
      </c>
      <c r="S36" t="s">
        <v>19</v>
      </c>
      <c r="T36" t="s">
        <v>23</v>
      </c>
      <c r="U36">
        <v>2050</v>
      </c>
      <c r="V36" t="s">
        <v>60</v>
      </c>
      <c r="W36">
        <v>4.6246929599690588E-2</v>
      </c>
      <c r="X36" t="s">
        <v>52</v>
      </c>
      <c r="Y36">
        <v>5.2412578030263659E-4</v>
      </c>
      <c r="Z36" t="s">
        <v>25</v>
      </c>
      <c r="AA36">
        <v>4.066923987385114E-2</v>
      </c>
      <c r="AB36">
        <v>1.1333201681482941E-2</v>
      </c>
      <c r="AC36">
        <v>0.87939329650380249</v>
      </c>
      <c r="AE36" s="14">
        <f t="shared" si="8"/>
        <v>3.0147872220411913</v>
      </c>
      <c r="AF36" s="6">
        <f t="shared" si="9"/>
        <v>-4.941713014432926</v>
      </c>
    </row>
    <row r="37" spans="1:32" x14ac:dyDescent="0.35">
      <c r="A37" s="9">
        <v>3</v>
      </c>
      <c r="B37" s="8" t="s">
        <v>13</v>
      </c>
      <c r="C37" s="8" t="s">
        <v>16</v>
      </c>
      <c r="D37" s="8" t="s">
        <v>19</v>
      </c>
      <c r="E37" s="8" t="s">
        <v>23</v>
      </c>
      <c r="F37" s="8">
        <v>2050</v>
      </c>
      <c r="G37" s="8" t="s">
        <v>61</v>
      </c>
      <c r="H37" s="8">
        <v>3.1242684515255099E-2</v>
      </c>
      <c r="I37" s="8" t="s">
        <v>52</v>
      </c>
      <c r="J37" s="8">
        <v>3.8181219619759022E-4</v>
      </c>
      <c r="K37" t="s">
        <v>25</v>
      </c>
      <c r="L37">
        <v>3.1242684515258311E-2</v>
      </c>
      <c r="M37">
        <v>1.222085112472201E-2</v>
      </c>
      <c r="N37">
        <v>1</v>
      </c>
      <c r="P37" s="1">
        <v>3</v>
      </c>
      <c r="Q37" t="s">
        <v>13</v>
      </c>
      <c r="R37" t="s">
        <v>16</v>
      </c>
      <c r="S37" t="s">
        <v>19</v>
      </c>
      <c r="T37" t="s">
        <v>23</v>
      </c>
      <c r="U37">
        <v>2050</v>
      </c>
      <c r="V37" t="s">
        <v>61</v>
      </c>
      <c r="W37">
        <v>3.1242684515255099E-2</v>
      </c>
      <c r="X37" t="s">
        <v>52</v>
      </c>
      <c r="Y37">
        <v>4.026408275910699E-4</v>
      </c>
      <c r="Z37" t="s">
        <v>25</v>
      </c>
      <c r="AA37">
        <v>3.1242684515255061E-2</v>
      </c>
      <c r="AB37">
        <v>1.2887523394299541E-2</v>
      </c>
      <c r="AC37">
        <v>1</v>
      </c>
      <c r="AE37" s="2">
        <f t="shared" si="8"/>
        <v>-5.310357857474747E-2</v>
      </c>
      <c r="AF37" s="4">
        <f t="shared" si="9"/>
        <v>0.94826994689511801</v>
      </c>
    </row>
    <row r="38" spans="1:32" x14ac:dyDescent="0.35">
      <c r="A38" s="9">
        <v>4</v>
      </c>
      <c r="B38" s="8" t="s">
        <v>13</v>
      </c>
      <c r="C38" s="8" t="s">
        <v>16</v>
      </c>
      <c r="D38" s="8" t="s">
        <v>19</v>
      </c>
      <c r="E38" s="8" t="s">
        <v>23</v>
      </c>
      <c r="F38" s="8">
        <v>2050</v>
      </c>
      <c r="G38" s="8" t="s">
        <v>62</v>
      </c>
      <c r="H38" s="8">
        <v>6.0394699999999996E-9</v>
      </c>
      <c r="I38" s="8" t="s">
        <v>53</v>
      </c>
      <c r="J38" s="8">
        <v>6.5220620197151006E-4</v>
      </c>
      <c r="K38" t="s">
        <v>25</v>
      </c>
      <c r="L38">
        <v>5.3368312510755099E-2</v>
      </c>
      <c r="M38">
        <v>107990.6352662585</v>
      </c>
      <c r="N38">
        <v>8836588.7256248649</v>
      </c>
      <c r="P38" s="1">
        <v>4</v>
      </c>
      <c r="Q38" t="s">
        <v>13</v>
      </c>
      <c r="R38" t="s">
        <v>16</v>
      </c>
      <c r="S38" t="s">
        <v>19</v>
      </c>
      <c r="T38" t="s">
        <v>23</v>
      </c>
      <c r="U38">
        <v>2050</v>
      </c>
      <c r="V38" t="s">
        <v>62</v>
      </c>
      <c r="W38">
        <v>6.0394699999999996E-9</v>
      </c>
      <c r="X38" t="s">
        <v>53</v>
      </c>
      <c r="Y38">
        <v>6.3497027616850354E-4</v>
      </c>
      <c r="Z38" t="s">
        <v>25</v>
      </c>
      <c r="AA38">
        <v>4.9270155074897147E-2</v>
      </c>
      <c r="AB38">
        <v>105136.754743132</v>
      </c>
      <c r="AC38">
        <v>8158026.2961645965</v>
      </c>
      <c r="AE38" s="2">
        <f t="shared" si="8"/>
        <v>2.6780983176312619E-2</v>
      </c>
      <c r="AF38" s="4">
        <f t="shared" si="9"/>
        <v>1.027144460851003</v>
      </c>
    </row>
    <row r="39" spans="1:32" x14ac:dyDescent="0.35">
      <c r="A39" s="9">
        <v>5</v>
      </c>
      <c r="B39" s="8" t="s">
        <v>13</v>
      </c>
      <c r="C39" s="8" t="s">
        <v>16</v>
      </c>
      <c r="D39" s="8" t="s">
        <v>19</v>
      </c>
      <c r="E39" s="8" t="s">
        <v>23</v>
      </c>
      <c r="F39" s="8">
        <v>2050</v>
      </c>
      <c r="G39" s="8" t="s">
        <v>63</v>
      </c>
      <c r="H39" s="8"/>
      <c r="I39" s="8"/>
      <c r="J39" s="8">
        <v>1.36499984190702E-3</v>
      </c>
      <c r="K39" t="s">
        <v>25</v>
      </c>
      <c r="L39">
        <v>0.1116943351960645</v>
      </c>
      <c r="P39" s="1">
        <v>5</v>
      </c>
      <c r="Q39" t="s">
        <v>13</v>
      </c>
      <c r="R39" t="s">
        <v>16</v>
      </c>
      <c r="S39" t="s">
        <v>19</v>
      </c>
      <c r="T39" t="s">
        <v>23</v>
      </c>
      <c r="U39">
        <v>2050</v>
      </c>
      <c r="V39" t="s">
        <v>63</v>
      </c>
      <c r="Y39">
        <v>1.3649999706831469E-3</v>
      </c>
      <c r="Z39" t="s">
        <v>25</v>
      </c>
      <c r="AA39">
        <v>0.10591639129725509</v>
      </c>
      <c r="AE39" s="2">
        <f t="shared" si="8"/>
        <v>-9.4341491395615518E-8</v>
      </c>
      <c r="AF39" s="4">
        <f t="shared" si="9"/>
        <v>0.99999990565851304</v>
      </c>
    </row>
    <row r="40" spans="1:32" x14ac:dyDescent="0.35">
      <c r="A40" s="9">
        <v>6</v>
      </c>
      <c r="B40" s="8" t="s">
        <v>13</v>
      </c>
      <c r="C40" s="8" t="s">
        <v>16</v>
      </c>
      <c r="D40" s="8" t="s">
        <v>19</v>
      </c>
      <c r="E40" s="8" t="s">
        <v>23</v>
      </c>
      <c r="F40" s="8">
        <v>2050</v>
      </c>
      <c r="G40" s="8" t="s">
        <v>24</v>
      </c>
      <c r="H40" s="8">
        <v>1</v>
      </c>
      <c r="I40" s="8" t="s">
        <v>52</v>
      </c>
      <c r="J40" s="8">
        <v>1.222085112472201E-2</v>
      </c>
      <c r="K40" t="s">
        <v>25</v>
      </c>
      <c r="L40">
        <v>1</v>
      </c>
      <c r="M40">
        <v>1.222085112472201E-2</v>
      </c>
      <c r="N40">
        <v>1</v>
      </c>
      <c r="P40" s="1">
        <v>6</v>
      </c>
      <c r="Q40" t="s">
        <v>13</v>
      </c>
      <c r="R40" t="s">
        <v>16</v>
      </c>
      <c r="S40" t="s">
        <v>19</v>
      </c>
      <c r="T40" t="s">
        <v>23</v>
      </c>
      <c r="U40">
        <v>2050</v>
      </c>
      <c r="V40" t="s">
        <v>24</v>
      </c>
      <c r="W40">
        <v>1</v>
      </c>
      <c r="X40" t="s">
        <v>52</v>
      </c>
      <c r="Y40">
        <v>1.2887523394299541E-2</v>
      </c>
      <c r="Z40" t="s">
        <v>25</v>
      </c>
      <c r="AA40">
        <v>1</v>
      </c>
      <c r="AB40">
        <v>1.2887523394299541E-2</v>
      </c>
      <c r="AC40">
        <v>1</v>
      </c>
      <c r="AE40" s="15">
        <f t="shared" si="8"/>
        <v>-5.3103578574747984E-2</v>
      </c>
      <c r="AF40" s="10">
        <f t="shared" si="9"/>
        <v>0.94826994689511757</v>
      </c>
    </row>
    <row r="41" spans="1:32" x14ac:dyDescent="0.35">
      <c r="A41" s="8"/>
      <c r="B41" s="9" t="s">
        <v>0</v>
      </c>
      <c r="C41" s="9" t="s">
        <v>1</v>
      </c>
      <c r="D41" s="9" t="s">
        <v>2</v>
      </c>
      <c r="E41" s="9" t="s">
        <v>3</v>
      </c>
      <c r="F41" s="9" t="s">
        <v>4</v>
      </c>
      <c r="G41" s="9" t="s">
        <v>5</v>
      </c>
      <c r="H41" s="9" t="s">
        <v>27</v>
      </c>
      <c r="I41" s="9" t="s">
        <v>28</v>
      </c>
      <c r="J41" s="9" t="s">
        <v>6</v>
      </c>
      <c r="K41" s="1" t="s">
        <v>29</v>
      </c>
      <c r="L41" s="1" t="s">
        <v>30</v>
      </c>
      <c r="M41" s="1" t="s">
        <v>31</v>
      </c>
      <c r="N41" s="1" t="s">
        <v>32</v>
      </c>
      <c r="Q41" s="1" t="s">
        <v>0</v>
      </c>
      <c r="R41" s="1" t="s">
        <v>1</v>
      </c>
      <c r="S41" s="1" t="s">
        <v>2</v>
      </c>
      <c r="T41" s="1" t="s">
        <v>3</v>
      </c>
      <c r="U41" s="1" t="s">
        <v>4</v>
      </c>
      <c r="V41" s="1" t="s">
        <v>5</v>
      </c>
      <c r="W41" s="1" t="s">
        <v>27</v>
      </c>
      <c r="X41" s="1" t="s">
        <v>28</v>
      </c>
      <c r="Y41" s="1" t="s">
        <v>6</v>
      </c>
      <c r="Z41" s="1" t="s">
        <v>29</v>
      </c>
      <c r="AA41" s="1" t="s">
        <v>30</v>
      </c>
      <c r="AB41" s="1" t="s">
        <v>31</v>
      </c>
      <c r="AC41" s="1" t="s">
        <v>32</v>
      </c>
      <c r="AE41" s="13"/>
    </row>
    <row r="42" spans="1:32" x14ac:dyDescent="0.35">
      <c r="A42" s="9">
        <v>0</v>
      </c>
      <c r="B42" s="8" t="s">
        <v>11</v>
      </c>
      <c r="C42" s="8" t="s">
        <v>16</v>
      </c>
      <c r="D42" s="8" t="s">
        <v>19</v>
      </c>
      <c r="E42" s="8" t="s">
        <v>22</v>
      </c>
      <c r="F42" s="8">
        <v>2050</v>
      </c>
      <c r="G42" s="8" t="s">
        <v>58</v>
      </c>
      <c r="H42" s="8">
        <v>0.94045641483364362</v>
      </c>
      <c r="I42" s="8" t="s">
        <v>52</v>
      </c>
      <c r="J42" s="8">
        <v>9.5091569153522865E-3</v>
      </c>
      <c r="K42" t="s">
        <v>25</v>
      </c>
      <c r="L42">
        <v>0.93187752267903967</v>
      </c>
      <c r="M42">
        <v>1.0111214900941849E-2</v>
      </c>
      <c r="N42">
        <v>0.99087794806888174</v>
      </c>
      <c r="P42" s="1">
        <v>0</v>
      </c>
      <c r="Q42" t="s">
        <v>11</v>
      </c>
      <c r="R42" t="s">
        <v>16</v>
      </c>
      <c r="S42" t="s">
        <v>19</v>
      </c>
      <c r="T42" t="s">
        <v>22</v>
      </c>
      <c r="U42">
        <v>2050</v>
      </c>
      <c r="V42" t="s">
        <v>58</v>
      </c>
      <c r="W42">
        <v>0.94045641483364362</v>
      </c>
      <c r="X42" t="s">
        <v>52</v>
      </c>
      <c r="Y42">
        <v>6.9604571399973026E-3</v>
      </c>
      <c r="Z42" t="s">
        <v>25</v>
      </c>
      <c r="AA42">
        <v>0.6948039200452486</v>
      </c>
      <c r="AB42">
        <v>7.4011480279269834E-3</v>
      </c>
      <c r="AC42">
        <v>0.73879438651939278</v>
      </c>
      <c r="AE42" s="11">
        <f>(J42-Y42)/AVERAGE(J42,Y42)</f>
        <v>0.30950327880052858</v>
      </c>
      <c r="AF42" s="7">
        <f>J42/Y42</f>
        <v>1.3661684461368542</v>
      </c>
    </row>
    <row r="43" spans="1:32" x14ac:dyDescent="0.35">
      <c r="A43" s="9">
        <v>1</v>
      </c>
      <c r="B43" s="8" t="s">
        <v>11</v>
      </c>
      <c r="C43" s="8" t="s">
        <v>16</v>
      </c>
      <c r="D43" s="8" t="s">
        <v>19</v>
      </c>
      <c r="E43" s="8" t="s">
        <v>22</v>
      </c>
      <c r="F43" s="8">
        <v>2050</v>
      </c>
      <c r="G43" s="8" t="s">
        <v>59</v>
      </c>
      <c r="H43" s="8">
        <v>2.4085503535129119E-2</v>
      </c>
      <c r="I43" s="8" t="s">
        <v>52</v>
      </c>
      <c r="J43" s="8">
        <v>3.44975641388393E-4</v>
      </c>
      <c r="K43" t="s">
        <v>25</v>
      </c>
      <c r="L43">
        <v>3.3806892550339071E-2</v>
      </c>
      <c r="M43">
        <v>1.4322957412338929E-2</v>
      </c>
      <c r="N43">
        <v>1.403619920064638</v>
      </c>
      <c r="P43" s="1">
        <v>1</v>
      </c>
      <c r="Q43" t="s">
        <v>11</v>
      </c>
      <c r="R43" t="s">
        <v>16</v>
      </c>
      <c r="S43" t="s">
        <v>19</v>
      </c>
      <c r="T43" t="s">
        <v>22</v>
      </c>
      <c r="U43">
        <v>2050</v>
      </c>
      <c r="V43" t="s">
        <v>59</v>
      </c>
      <c r="W43">
        <v>2.4085503535129119E-2</v>
      </c>
      <c r="X43" t="s">
        <v>52</v>
      </c>
      <c r="Y43">
        <v>3.426125211802191E-4</v>
      </c>
      <c r="Z43" t="s">
        <v>25</v>
      </c>
      <c r="AA43">
        <v>3.420012766182972E-2</v>
      </c>
      <c r="AB43">
        <v>1.422484361518591E-2</v>
      </c>
      <c r="AC43">
        <v>1.419946550502807</v>
      </c>
      <c r="AE43" s="2">
        <f t="shared" ref="AE43:AE48" si="10">(J43-Y43)/AVERAGE(J43,Y43)</f>
        <v>6.8736500621128221E-3</v>
      </c>
      <c r="AF43" s="4">
        <f t="shared" ref="AF43:AF48" si="11">J43/Y43</f>
        <v>1.0068973550646472</v>
      </c>
    </row>
    <row r="44" spans="1:32" x14ac:dyDescent="0.35">
      <c r="A44" s="9">
        <v>2</v>
      </c>
      <c r="B44" s="8" t="s">
        <v>11</v>
      </c>
      <c r="C44" s="8" t="s">
        <v>16</v>
      </c>
      <c r="D44" s="8" t="s">
        <v>19</v>
      </c>
      <c r="E44" s="8" t="s">
        <v>22</v>
      </c>
      <c r="F44" s="8">
        <v>2050</v>
      </c>
      <c r="G44" s="8" t="s">
        <v>60</v>
      </c>
      <c r="H44" s="8">
        <v>3.5458081631227323E-2</v>
      </c>
      <c r="I44" s="8" t="s">
        <v>52</v>
      </c>
      <c r="J44" s="8">
        <v>-1.9858489448901259E-3</v>
      </c>
      <c r="K44" t="s">
        <v>25</v>
      </c>
      <c r="L44">
        <v>-0.19460905016629829</v>
      </c>
      <c r="M44">
        <v>-5.6005538188541593E-2</v>
      </c>
      <c r="N44">
        <v>-5.4884258028761916</v>
      </c>
      <c r="P44" s="1">
        <v>2</v>
      </c>
      <c r="Q44" t="s">
        <v>11</v>
      </c>
      <c r="R44" t="s">
        <v>16</v>
      </c>
      <c r="S44" t="s">
        <v>19</v>
      </c>
      <c r="T44" t="s">
        <v>22</v>
      </c>
      <c r="U44">
        <v>2050</v>
      </c>
      <c r="V44" t="s">
        <v>60</v>
      </c>
      <c r="W44">
        <v>3.5458081631227323E-2</v>
      </c>
      <c r="X44" t="s">
        <v>52</v>
      </c>
      <c r="Y44">
        <v>4.0184814521954701E-4</v>
      </c>
      <c r="Z44" t="s">
        <v>25</v>
      </c>
      <c r="AA44">
        <v>4.0113122018529047E-2</v>
      </c>
      <c r="AB44">
        <v>1.133304811576852E-2</v>
      </c>
      <c r="AC44">
        <v>1.1312829169867491</v>
      </c>
      <c r="AE44" s="14">
        <f t="shared" si="10"/>
        <v>3.0147675311858899</v>
      </c>
      <c r="AF44" s="6">
        <f t="shared" si="11"/>
        <v>-4.9417895006213621</v>
      </c>
    </row>
    <row r="45" spans="1:32" x14ac:dyDescent="0.35">
      <c r="A45" s="9">
        <v>3</v>
      </c>
      <c r="B45" s="8" t="s">
        <v>11</v>
      </c>
      <c r="C45" s="8" t="s">
        <v>16</v>
      </c>
      <c r="D45" s="8" t="s">
        <v>19</v>
      </c>
      <c r="E45" s="8" t="s">
        <v>22</v>
      </c>
      <c r="F45" s="8">
        <v>2050</v>
      </c>
      <c r="G45" s="8" t="s">
        <v>61</v>
      </c>
      <c r="H45" s="8">
        <v>3.1242684515255099E-2</v>
      </c>
      <c r="I45" s="8" t="s">
        <v>52</v>
      </c>
      <c r="J45" s="8">
        <v>3.1880969581746352E-4</v>
      </c>
      <c r="K45" t="s">
        <v>25</v>
      </c>
      <c r="L45">
        <v>3.1242684518623241E-2</v>
      </c>
      <c r="M45">
        <v>1.020429904676712E-2</v>
      </c>
      <c r="N45">
        <v>1</v>
      </c>
      <c r="P45" s="1">
        <v>3</v>
      </c>
      <c r="Q45" t="s">
        <v>11</v>
      </c>
      <c r="R45" t="s">
        <v>16</v>
      </c>
      <c r="S45" t="s">
        <v>19</v>
      </c>
      <c r="T45" t="s">
        <v>22</v>
      </c>
      <c r="U45">
        <v>2050</v>
      </c>
      <c r="V45" t="s">
        <v>61</v>
      </c>
      <c r="W45">
        <v>3.1242684515255099E-2</v>
      </c>
      <c r="X45" t="s">
        <v>52</v>
      </c>
      <c r="Y45">
        <v>3.1298523257141108E-4</v>
      </c>
      <c r="Z45" t="s">
        <v>25</v>
      </c>
      <c r="AA45">
        <v>3.1242684515255061E-2</v>
      </c>
      <c r="AB45">
        <v>1.0017872581294589E-2</v>
      </c>
      <c r="AC45">
        <v>1</v>
      </c>
      <c r="AE45" s="2">
        <f t="shared" si="10"/>
        <v>1.8437828429250833E-2</v>
      </c>
      <c r="AF45" s="4">
        <f t="shared" si="11"/>
        <v>1.0186093867694652</v>
      </c>
    </row>
    <row r="46" spans="1:32" x14ac:dyDescent="0.35">
      <c r="A46" s="9">
        <v>4</v>
      </c>
      <c r="B46" s="8" t="s">
        <v>11</v>
      </c>
      <c r="C46" s="8" t="s">
        <v>16</v>
      </c>
      <c r="D46" s="8" t="s">
        <v>19</v>
      </c>
      <c r="E46" s="8" t="s">
        <v>22</v>
      </c>
      <c r="F46" s="8">
        <v>2050</v>
      </c>
      <c r="G46" s="8" t="s">
        <v>62</v>
      </c>
      <c r="H46" s="8">
        <v>6.0394699999999996E-9</v>
      </c>
      <c r="I46" s="8" t="s">
        <v>53</v>
      </c>
      <c r="J46" s="8">
        <v>6.5220572997323474E-4</v>
      </c>
      <c r="K46" t="s">
        <v>25</v>
      </c>
      <c r="L46">
        <v>6.3914799738270633E-2</v>
      </c>
      <c r="M46">
        <v>107990.5571139909</v>
      </c>
      <c r="N46">
        <v>10582849.112816229</v>
      </c>
      <c r="P46" s="1">
        <v>4</v>
      </c>
      <c r="Q46" t="s">
        <v>11</v>
      </c>
      <c r="R46" t="s">
        <v>16</v>
      </c>
      <c r="S46" t="s">
        <v>19</v>
      </c>
      <c r="T46" t="s">
        <v>22</v>
      </c>
      <c r="U46">
        <v>2050</v>
      </c>
      <c r="V46" t="s">
        <v>62</v>
      </c>
      <c r="W46">
        <v>6.0394699999999996E-9</v>
      </c>
      <c r="X46" t="s">
        <v>53</v>
      </c>
      <c r="Y46">
        <v>6.3496960479894832E-4</v>
      </c>
      <c r="Z46" t="s">
        <v>25</v>
      </c>
      <c r="AA46">
        <v>6.338367748703104E-2</v>
      </c>
      <c r="AB46">
        <v>105136.64357947771</v>
      </c>
      <c r="AC46">
        <v>10494907.249647919</v>
      </c>
      <c r="AE46" s="2">
        <f t="shared" si="10"/>
        <v>2.6781316746311078E-2</v>
      </c>
      <c r="AF46" s="4">
        <f t="shared" si="11"/>
        <v>1.0271448035370825</v>
      </c>
    </row>
    <row r="47" spans="1:32" x14ac:dyDescent="0.35">
      <c r="A47" s="9">
        <v>5</v>
      </c>
      <c r="B47" s="8" t="s">
        <v>11</v>
      </c>
      <c r="C47" s="8" t="s">
        <v>16</v>
      </c>
      <c r="D47" s="8" t="s">
        <v>19</v>
      </c>
      <c r="E47" s="8" t="s">
        <v>22</v>
      </c>
      <c r="F47" s="8">
        <v>2050</v>
      </c>
      <c r="G47" s="8" t="s">
        <v>63</v>
      </c>
      <c r="H47" s="8"/>
      <c r="I47" s="8"/>
      <c r="J47" s="8">
        <v>1.3650000091258679E-3</v>
      </c>
      <c r="K47" t="s">
        <v>25</v>
      </c>
      <c r="L47">
        <v>0.13376715068002579</v>
      </c>
      <c r="P47" s="1">
        <v>5</v>
      </c>
      <c r="Q47" t="s">
        <v>11</v>
      </c>
      <c r="R47" t="s">
        <v>16</v>
      </c>
      <c r="S47" t="s">
        <v>19</v>
      </c>
      <c r="T47" t="s">
        <v>22</v>
      </c>
      <c r="U47">
        <v>2050</v>
      </c>
      <c r="V47" t="s">
        <v>63</v>
      </c>
      <c r="Y47">
        <v>1.364999937527164E-3</v>
      </c>
      <c r="Z47" t="s">
        <v>25</v>
      </c>
      <c r="AA47">
        <v>0.13625646827210669</v>
      </c>
      <c r="AE47" s="2">
        <f t="shared" si="10"/>
        <v>5.2453264000960765E-8</v>
      </c>
      <c r="AF47" s="4">
        <f t="shared" si="11"/>
        <v>1.0000000524532653</v>
      </c>
    </row>
    <row r="48" spans="1:32" x14ac:dyDescent="0.35">
      <c r="A48" s="9">
        <v>6</v>
      </c>
      <c r="B48" s="8" t="s">
        <v>11</v>
      </c>
      <c r="C48" s="8" t="s">
        <v>16</v>
      </c>
      <c r="D48" s="8" t="s">
        <v>19</v>
      </c>
      <c r="E48" s="8" t="s">
        <v>22</v>
      </c>
      <c r="F48" s="8">
        <v>2050</v>
      </c>
      <c r="G48" s="8" t="s">
        <v>24</v>
      </c>
      <c r="H48" s="8">
        <v>1</v>
      </c>
      <c r="I48" s="8" t="s">
        <v>52</v>
      </c>
      <c r="J48" s="8">
        <v>1.020429904676712E-2</v>
      </c>
      <c r="K48" t="s">
        <v>25</v>
      </c>
      <c r="L48">
        <v>1</v>
      </c>
      <c r="M48">
        <v>1.020429904676712E-2</v>
      </c>
      <c r="N48">
        <v>1</v>
      </c>
      <c r="P48" s="1">
        <v>6</v>
      </c>
      <c r="Q48" t="s">
        <v>11</v>
      </c>
      <c r="R48" t="s">
        <v>16</v>
      </c>
      <c r="S48" t="s">
        <v>19</v>
      </c>
      <c r="T48" t="s">
        <v>22</v>
      </c>
      <c r="U48">
        <v>2050</v>
      </c>
      <c r="V48" t="s">
        <v>24</v>
      </c>
      <c r="W48">
        <v>1</v>
      </c>
      <c r="X48" t="s">
        <v>52</v>
      </c>
      <c r="Y48">
        <v>1.0017872581294589E-2</v>
      </c>
      <c r="Z48" t="s">
        <v>25</v>
      </c>
      <c r="AA48">
        <v>1</v>
      </c>
      <c r="AB48">
        <v>1.0017872581294589E-2</v>
      </c>
      <c r="AC48">
        <v>1</v>
      </c>
      <c r="AE48" s="12">
        <f t="shared" si="10"/>
        <v>1.8437828429250572E-2</v>
      </c>
      <c r="AF48" s="5">
        <f t="shared" si="11"/>
        <v>1.018609386769465</v>
      </c>
    </row>
    <row r="49" spans="1:32" x14ac:dyDescent="0.35">
      <c r="B49" s="1" t="s">
        <v>0</v>
      </c>
      <c r="C49" s="1" t="s">
        <v>1</v>
      </c>
      <c r="D49" s="1" t="s">
        <v>2</v>
      </c>
      <c r="E49" s="1" t="s">
        <v>3</v>
      </c>
      <c r="F49" s="1" t="s">
        <v>4</v>
      </c>
      <c r="G49" s="1" t="s">
        <v>5</v>
      </c>
      <c r="H49" s="1" t="s">
        <v>27</v>
      </c>
      <c r="I49" s="1" t="s">
        <v>28</v>
      </c>
      <c r="J49" s="1" t="s">
        <v>6</v>
      </c>
      <c r="K49" s="1" t="s">
        <v>29</v>
      </c>
      <c r="L49" s="1" t="s">
        <v>30</v>
      </c>
      <c r="M49" s="1" t="s">
        <v>31</v>
      </c>
      <c r="N49" s="1" t="s">
        <v>32</v>
      </c>
      <c r="Q49" s="1" t="s">
        <v>0</v>
      </c>
      <c r="R49" s="1" t="s">
        <v>1</v>
      </c>
      <c r="S49" s="1" t="s">
        <v>2</v>
      </c>
      <c r="T49" s="1" t="s">
        <v>3</v>
      </c>
      <c r="U49" s="1" t="s">
        <v>4</v>
      </c>
      <c r="V49" s="1" t="s">
        <v>5</v>
      </c>
      <c r="W49" s="1" t="s">
        <v>27</v>
      </c>
      <c r="X49" s="1" t="s">
        <v>28</v>
      </c>
      <c r="Y49" s="1" t="s">
        <v>6</v>
      </c>
      <c r="Z49" s="1" t="s">
        <v>29</v>
      </c>
      <c r="AA49" s="1" t="s">
        <v>30</v>
      </c>
      <c r="AB49" s="1" t="s">
        <v>31</v>
      </c>
      <c r="AC49" s="1" t="s">
        <v>32</v>
      </c>
      <c r="AE49" s="13"/>
    </row>
    <row r="50" spans="1:32" x14ac:dyDescent="0.35">
      <c r="A50" s="1">
        <v>0</v>
      </c>
      <c r="B50" t="s">
        <v>14</v>
      </c>
      <c r="C50" t="s">
        <v>17</v>
      </c>
      <c r="D50" t="s">
        <v>18</v>
      </c>
      <c r="E50" t="s">
        <v>23</v>
      </c>
      <c r="F50">
        <v>2050</v>
      </c>
      <c r="G50" t="s">
        <v>58</v>
      </c>
      <c r="H50">
        <v>0.90977795105681936</v>
      </c>
      <c r="I50" t="s">
        <v>52</v>
      </c>
      <c r="J50">
        <v>1.5774566141618141E-2</v>
      </c>
      <c r="K50" t="s">
        <v>25</v>
      </c>
      <c r="L50">
        <v>0.3365997104267564</v>
      </c>
      <c r="M50">
        <v>1.7338918934333411E-2</v>
      </c>
      <c r="N50">
        <v>0.36998007045126557</v>
      </c>
      <c r="P50" s="1">
        <v>0</v>
      </c>
      <c r="Q50" t="s">
        <v>14</v>
      </c>
      <c r="R50" t="s">
        <v>17</v>
      </c>
      <c r="S50" t="s">
        <v>18</v>
      </c>
      <c r="T50" t="s">
        <v>23</v>
      </c>
      <c r="U50">
        <v>2050</v>
      </c>
      <c r="V50" t="s">
        <v>58</v>
      </c>
      <c r="W50">
        <v>0.90977795105681936</v>
      </c>
      <c r="X50" t="s">
        <v>52</v>
      </c>
      <c r="Y50">
        <v>1.430418646778518E-2</v>
      </c>
      <c r="Z50" t="s">
        <v>25</v>
      </c>
      <c r="AA50">
        <v>0.31700803135826661</v>
      </c>
      <c r="AB50">
        <v>1.5722722727198539E-2</v>
      </c>
      <c r="AC50">
        <v>0.3484454981460286</v>
      </c>
      <c r="AE50" s="11">
        <f>(J50-Y50)/AVERAGE(J50,Y50)</f>
        <v>9.7768660351512438E-2</v>
      </c>
      <c r="AF50" s="7">
        <f>J50/Y50</f>
        <v>1.1027936595446683</v>
      </c>
    </row>
    <row r="51" spans="1:32" x14ac:dyDescent="0.35">
      <c r="A51" s="1">
        <v>1</v>
      </c>
      <c r="B51" t="s">
        <v>14</v>
      </c>
      <c r="C51" t="s">
        <v>17</v>
      </c>
      <c r="D51" t="s">
        <v>18</v>
      </c>
      <c r="E51" t="s">
        <v>23</v>
      </c>
      <c r="F51">
        <v>2050</v>
      </c>
      <c r="G51" t="s">
        <v>59</v>
      </c>
      <c r="H51">
        <v>4.3975119343490222E-2</v>
      </c>
      <c r="I51" t="s">
        <v>52</v>
      </c>
      <c r="J51">
        <v>4.0708662719150281E-3</v>
      </c>
      <c r="K51" t="s">
        <v>25</v>
      </c>
      <c r="L51">
        <v>8.6864665310667527E-2</v>
      </c>
      <c r="M51">
        <v>9.2572034657085064E-2</v>
      </c>
      <c r="N51">
        <v>1.9753139185872819</v>
      </c>
      <c r="P51" s="1">
        <v>1</v>
      </c>
      <c r="Q51" t="s">
        <v>14</v>
      </c>
      <c r="R51" t="s">
        <v>17</v>
      </c>
      <c r="S51" t="s">
        <v>18</v>
      </c>
      <c r="T51" t="s">
        <v>23</v>
      </c>
      <c r="U51">
        <v>2050</v>
      </c>
      <c r="V51" t="s">
        <v>59</v>
      </c>
      <c r="W51">
        <v>4.3975119343490222E-2</v>
      </c>
      <c r="X51" t="s">
        <v>52</v>
      </c>
      <c r="Y51">
        <v>3.8836034396498671E-3</v>
      </c>
      <c r="Z51" t="s">
        <v>25</v>
      </c>
      <c r="AA51">
        <v>8.6068053136210437E-2</v>
      </c>
      <c r="AB51">
        <v>8.8313653211830781E-2</v>
      </c>
      <c r="AC51">
        <v>1.957198852922531</v>
      </c>
      <c r="AE51" s="2">
        <f t="shared" ref="AE51:AE56" si="12">(J51-Y51)/AVERAGE(J51,Y51)</f>
        <v>4.70836747276571E-2</v>
      </c>
      <c r="AF51" s="4">
        <f t="shared" ref="AF51:AF56" si="13">J51/Y51</f>
        <v>1.048218834691846</v>
      </c>
    </row>
    <row r="52" spans="1:32" x14ac:dyDescent="0.35">
      <c r="A52" s="1">
        <v>2</v>
      </c>
      <c r="B52" t="s">
        <v>14</v>
      </c>
      <c r="C52" t="s">
        <v>17</v>
      </c>
      <c r="D52" t="s">
        <v>18</v>
      </c>
      <c r="E52" t="s">
        <v>23</v>
      </c>
      <c r="F52">
        <v>2050</v>
      </c>
      <c r="G52" t="s">
        <v>60</v>
      </c>
      <c r="H52">
        <v>4.6246929599690588E-2</v>
      </c>
      <c r="I52" t="s">
        <v>52</v>
      </c>
      <c r="J52">
        <v>2.3078397467017769E-2</v>
      </c>
      <c r="K52" t="s">
        <v>25</v>
      </c>
      <c r="L52">
        <v>0.49244979765351038</v>
      </c>
      <c r="M52">
        <v>0.49902550648837402</v>
      </c>
      <c r="N52">
        <v>10.64827009958249</v>
      </c>
      <c r="P52" s="1">
        <v>2</v>
      </c>
      <c r="Q52" t="s">
        <v>14</v>
      </c>
      <c r="R52" t="s">
        <v>17</v>
      </c>
      <c r="S52" t="s">
        <v>18</v>
      </c>
      <c r="T52" t="s">
        <v>23</v>
      </c>
      <c r="U52">
        <v>2050</v>
      </c>
      <c r="V52" t="s">
        <v>60</v>
      </c>
      <c r="W52">
        <v>4.6246929599690588E-2</v>
      </c>
      <c r="X52" t="s">
        <v>52</v>
      </c>
      <c r="Y52">
        <v>2.3077535150528829E-2</v>
      </c>
      <c r="Z52" t="s">
        <v>25</v>
      </c>
      <c r="AA52">
        <v>0.51144215738143239</v>
      </c>
      <c r="AB52">
        <v>0.49900686056968468</v>
      </c>
      <c r="AC52">
        <v>11.05894297866759</v>
      </c>
      <c r="AE52" s="2">
        <f t="shared" si="12"/>
        <v>3.7365358689001297E-5</v>
      </c>
      <c r="AF52" s="4">
        <f t="shared" si="13"/>
        <v>1.0000373660567872</v>
      </c>
    </row>
    <row r="53" spans="1:32" x14ac:dyDescent="0.35">
      <c r="A53" s="1">
        <v>3</v>
      </c>
      <c r="B53" t="s">
        <v>14</v>
      </c>
      <c r="C53" t="s">
        <v>17</v>
      </c>
      <c r="D53" t="s">
        <v>18</v>
      </c>
      <c r="E53" t="s">
        <v>23</v>
      </c>
      <c r="F53">
        <v>2050</v>
      </c>
      <c r="G53" t="s">
        <v>61</v>
      </c>
      <c r="H53">
        <v>3.1242684515255099E-2</v>
      </c>
      <c r="I53" t="s">
        <v>52</v>
      </c>
      <c r="J53">
        <v>1.464171768604269E-3</v>
      </c>
      <c r="K53" t="s">
        <v>25</v>
      </c>
      <c r="L53">
        <v>3.1242684515231541E-2</v>
      </c>
      <c r="M53">
        <v>4.6864467356809471E-2</v>
      </c>
      <c r="N53">
        <v>1</v>
      </c>
      <c r="P53" s="1">
        <v>3</v>
      </c>
      <c r="Q53" t="s">
        <v>14</v>
      </c>
      <c r="R53" t="s">
        <v>17</v>
      </c>
      <c r="S53" t="s">
        <v>18</v>
      </c>
      <c r="T53" t="s">
        <v>23</v>
      </c>
      <c r="U53">
        <v>2050</v>
      </c>
      <c r="V53" t="s">
        <v>61</v>
      </c>
      <c r="W53">
        <v>3.1242684515255099E-2</v>
      </c>
      <c r="X53" t="s">
        <v>52</v>
      </c>
      <c r="Y53">
        <v>1.409747201500166E-3</v>
      </c>
      <c r="Z53" t="s">
        <v>25</v>
      </c>
      <c r="AA53">
        <v>3.1242684515255088E-2</v>
      </c>
      <c r="AB53">
        <v>4.5122473416515103E-2</v>
      </c>
      <c r="AC53">
        <v>1</v>
      </c>
      <c r="AE53" s="2">
        <f t="shared" si="12"/>
        <v>3.7874809742548365E-2</v>
      </c>
      <c r="AF53" s="4">
        <f t="shared" si="13"/>
        <v>1.0386059054035983</v>
      </c>
    </row>
    <row r="54" spans="1:32" x14ac:dyDescent="0.35">
      <c r="A54" s="1">
        <v>4</v>
      </c>
      <c r="B54" t="s">
        <v>14</v>
      </c>
      <c r="C54" t="s">
        <v>17</v>
      </c>
      <c r="D54" t="s">
        <v>18</v>
      </c>
      <c r="E54" t="s">
        <v>23</v>
      </c>
      <c r="F54">
        <v>2050</v>
      </c>
      <c r="G54" t="s">
        <v>62</v>
      </c>
      <c r="H54">
        <v>6.0394699999999996E-9</v>
      </c>
      <c r="I54" t="s">
        <v>53</v>
      </c>
      <c r="J54">
        <v>1.1114651674173309E-3</v>
      </c>
      <c r="K54" t="s">
        <v>25</v>
      </c>
      <c r="L54">
        <v>2.3716585936082259E-2</v>
      </c>
      <c r="M54">
        <v>184033.56046430091</v>
      </c>
      <c r="N54">
        <v>3926931.6572646489</v>
      </c>
      <c r="P54" s="1">
        <v>4</v>
      </c>
      <c r="Q54" t="s">
        <v>14</v>
      </c>
      <c r="R54" t="s">
        <v>17</v>
      </c>
      <c r="S54" t="s">
        <v>18</v>
      </c>
      <c r="T54" t="s">
        <v>23</v>
      </c>
      <c r="U54">
        <v>2050</v>
      </c>
      <c r="V54" t="s">
        <v>62</v>
      </c>
      <c r="W54">
        <v>6.0394699999999996E-9</v>
      </c>
      <c r="X54" t="s">
        <v>53</v>
      </c>
      <c r="Y54">
        <v>1.08240058005353E-3</v>
      </c>
      <c r="Z54" t="s">
        <v>25</v>
      </c>
      <c r="AA54">
        <v>2.3988059565399719E-2</v>
      </c>
      <c r="AB54">
        <v>179221.12040518949</v>
      </c>
      <c r="AC54">
        <v>3971881.566660604</v>
      </c>
      <c r="AE54" s="2">
        <f t="shared" si="12"/>
        <v>2.6496231501227676E-2</v>
      </c>
      <c r="AF54" s="4">
        <f t="shared" si="13"/>
        <v>1.026851969501313</v>
      </c>
    </row>
    <row r="55" spans="1:32" x14ac:dyDescent="0.35">
      <c r="A55" s="1">
        <v>5</v>
      </c>
      <c r="B55" t="s">
        <v>14</v>
      </c>
      <c r="C55" t="s">
        <v>17</v>
      </c>
      <c r="D55" t="s">
        <v>18</v>
      </c>
      <c r="E55" t="s">
        <v>23</v>
      </c>
      <c r="F55">
        <v>2050</v>
      </c>
      <c r="G55" t="s">
        <v>63</v>
      </c>
      <c r="J55">
        <v>1.3650005402369369E-3</v>
      </c>
      <c r="K55" t="s">
        <v>25</v>
      </c>
      <c r="L55">
        <v>2.9126556157751841E-2</v>
      </c>
      <c r="P55" s="1">
        <v>5</v>
      </c>
      <c r="Q55" t="s">
        <v>14</v>
      </c>
      <c r="R55" t="s">
        <v>17</v>
      </c>
      <c r="S55" t="s">
        <v>18</v>
      </c>
      <c r="T55" t="s">
        <v>23</v>
      </c>
      <c r="U55">
        <v>2050</v>
      </c>
      <c r="V55" t="s">
        <v>63</v>
      </c>
      <c r="Y55">
        <v>1.365000576997538E-3</v>
      </c>
      <c r="Z55" t="s">
        <v>25</v>
      </c>
      <c r="AA55">
        <v>3.0251014043435661E-2</v>
      </c>
      <c r="AE55" s="2">
        <f t="shared" si="12"/>
        <v>-2.6930832256080203E-8</v>
      </c>
      <c r="AF55" s="4">
        <f t="shared" si="13"/>
        <v>0.9999999730691681</v>
      </c>
    </row>
    <row r="56" spans="1:32" x14ac:dyDescent="0.35">
      <c r="A56" s="1">
        <v>6</v>
      </c>
      <c r="B56" t="s">
        <v>14</v>
      </c>
      <c r="C56" t="s">
        <v>17</v>
      </c>
      <c r="D56" t="s">
        <v>18</v>
      </c>
      <c r="E56" t="s">
        <v>23</v>
      </c>
      <c r="F56">
        <v>2050</v>
      </c>
      <c r="G56" t="s">
        <v>24</v>
      </c>
      <c r="H56">
        <v>1</v>
      </c>
      <c r="I56" t="s">
        <v>52</v>
      </c>
      <c r="J56">
        <v>4.6864467356809471E-2</v>
      </c>
      <c r="K56" t="s">
        <v>25</v>
      </c>
      <c r="L56">
        <v>1</v>
      </c>
      <c r="M56">
        <v>4.6864467356809471E-2</v>
      </c>
      <c r="N56">
        <v>1</v>
      </c>
      <c r="P56" s="1">
        <v>6</v>
      </c>
      <c r="Q56" t="s">
        <v>14</v>
      </c>
      <c r="R56" t="s">
        <v>17</v>
      </c>
      <c r="S56" t="s">
        <v>18</v>
      </c>
      <c r="T56" t="s">
        <v>23</v>
      </c>
      <c r="U56">
        <v>2050</v>
      </c>
      <c r="V56" t="s">
        <v>24</v>
      </c>
      <c r="W56">
        <v>1</v>
      </c>
      <c r="X56" t="s">
        <v>52</v>
      </c>
      <c r="Y56">
        <v>4.5122473416515103E-2</v>
      </c>
      <c r="Z56" t="s">
        <v>25</v>
      </c>
      <c r="AA56">
        <v>1</v>
      </c>
      <c r="AB56">
        <v>4.5122473416515103E-2</v>
      </c>
      <c r="AC56">
        <v>1</v>
      </c>
      <c r="AE56" s="12">
        <f t="shared" si="12"/>
        <v>3.7874809742548386E-2</v>
      </c>
      <c r="AF56" s="5">
        <f t="shared" si="13"/>
        <v>1.0386059054035985</v>
      </c>
    </row>
    <row r="57" spans="1:32" x14ac:dyDescent="0.35">
      <c r="A57" s="8"/>
      <c r="B57" s="9" t="s">
        <v>0</v>
      </c>
      <c r="C57" s="9" t="s">
        <v>1</v>
      </c>
      <c r="D57" s="9" t="s">
        <v>2</v>
      </c>
      <c r="E57" s="9" t="s">
        <v>3</v>
      </c>
      <c r="F57" s="9" t="s">
        <v>4</v>
      </c>
      <c r="G57" s="9" t="s">
        <v>5</v>
      </c>
      <c r="H57" s="9" t="s">
        <v>27</v>
      </c>
      <c r="I57" s="9" t="s">
        <v>28</v>
      </c>
      <c r="J57" s="9" t="s">
        <v>6</v>
      </c>
      <c r="K57" s="1" t="s">
        <v>29</v>
      </c>
      <c r="L57" s="1" t="s">
        <v>30</v>
      </c>
      <c r="M57" s="1" t="s">
        <v>31</v>
      </c>
      <c r="N57" s="1" t="s">
        <v>32</v>
      </c>
      <c r="Q57" s="1" t="s">
        <v>0</v>
      </c>
      <c r="R57" s="1" t="s">
        <v>1</v>
      </c>
      <c r="S57" s="1" t="s">
        <v>2</v>
      </c>
      <c r="T57" s="1" t="s">
        <v>3</v>
      </c>
      <c r="U57" s="1" t="s">
        <v>4</v>
      </c>
      <c r="V57" s="1" t="s">
        <v>5</v>
      </c>
      <c r="W57" s="1" t="s">
        <v>27</v>
      </c>
      <c r="X57" s="1" t="s">
        <v>28</v>
      </c>
      <c r="Y57" s="1" t="s">
        <v>6</v>
      </c>
      <c r="Z57" s="1" t="s">
        <v>29</v>
      </c>
      <c r="AA57" s="1" t="s">
        <v>30</v>
      </c>
      <c r="AB57" s="1" t="s">
        <v>31</v>
      </c>
      <c r="AC57" s="1" t="s">
        <v>32</v>
      </c>
      <c r="AE57" s="13"/>
    </row>
    <row r="58" spans="1:32" x14ac:dyDescent="0.35">
      <c r="A58" s="9">
        <v>0</v>
      </c>
      <c r="B58" s="8" t="s">
        <v>15</v>
      </c>
      <c r="C58" s="8" t="s">
        <v>17</v>
      </c>
      <c r="D58" s="8" t="s">
        <v>20</v>
      </c>
      <c r="E58" s="8" t="s">
        <v>23</v>
      </c>
      <c r="F58" s="8">
        <v>2050</v>
      </c>
      <c r="G58" s="8" t="s">
        <v>58</v>
      </c>
      <c r="H58" s="8">
        <v>0.90977795105681936</v>
      </c>
      <c r="I58" s="8" t="s">
        <v>52</v>
      </c>
      <c r="J58" s="8">
        <v>9.3803549506771156E-3</v>
      </c>
      <c r="K58" t="s">
        <v>25</v>
      </c>
      <c r="L58">
        <v>0.71107010965584538</v>
      </c>
      <c r="M58">
        <v>1.031059825068378E-2</v>
      </c>
      <c r="N58">
        <v>0.78158643964013141</v>
      </c>
      <c r="P58" s="1">
        <v>0</v>
      </c>
      <c r="Q58" t="s">
        <v>15</v>
      </c>
      <c r="R58" t="s">
        <v>17</v>
      </c>
      <c r="S58" t="s">
        <v>20</v>
      </c>
      <c r="T58" t="s">
        <v>23</v>
      </c>
      <c r="U58">
        <v>2050</v>
      </c>
      <c r="V58" t="s">
        <v>58</v>
      </c>
      <c r="W58">
        <v>0.90977795105681936</v>
      </c>
      <c r="X58" t="s">
        <v>52</v>
      </c>
      <c r="Y58">
        <v>8.1887459397601281E-3</v>
      </c>
      <c r="Z58" t="s">
        <v>25</v>
      </c>
      <c r="AA58">
        <v>0.56768378340416192</v>
      </c>
      <c r="AB58">
        <v>9.0008181999221785E-3</v>
      </c>
      <c r="AC58">
        <v>0.62398059080760038</v>
      </c>
      <c r="AE58" s="11">
        <f>(J58-Y58)/AVERAGE(J58,Y58)</f>
        <v>0.13564826320344864</v>
      </c>
      <c r="AF58" s="7">
        <f>J58/Y58</f>
        <v>1.1455178875597027</v>
      </c>
    </row>
    <row r="59" spans="1:32" x14ac:dyDescent="0.35">
      <c r="A59" s="9">
        <v>1</v>
      </c>
      <c r="B59" s="8" t="s">
        <v>15</v>
      </c>
      <c r="C59" s="8" t="s">
        <v>17</v>
      </c>
      <c r="D59" s="8" t="s">
        <v>20</v>
      </c>
      <c r="E59" s="8" t="s">
        <v>23</v>
      </c>
      <c r="F59" s="8">
        <v>2050</v>
      </c>
      <c r="G59" s="8" t="s">
        <v>59</v>
      </c>
      <c r="H59" s="8">
        <v>4.3975119343490222E-2</v>
      </c>
      <c r="I59" s="8" t="s">
        <v>52</v>
      </c>
      <c r="J59" s="8">
        <v>1.3264393399336871E-3</v>
      </c>
      <c r="K59" t="s">
        <v>25</v>
      </c>
      <c r="L59">
        <v>0.1005496457072118</v>
      </c>
      <c r="M59">
        <v>3.016340511944612E-2</v>
      </c>
      <c r="N59">
        <v>2.2865121733520488</v>
      </c>
      <c r="P59" s="1">
        <v>1</v>
      </c>
      <c r="Q59" t="s">
        <v>15</v>
      </c>
      <c r="R59" t="s">
        <v>17</v>
      </c>
      <c r="S59" t="s">
        <v>20</v>
      </c>
      <c r="T59" t="s">
        <v>23</v>
      </c>
      <c r="U59">
        <v>2050</v>
      </c>
      <c r="V59" t="s">
        <v>59</v>
      </c>
      <c r="W59">
        <v>4.3975119343490222E-2</v>
      </c>
      <c r="X59" t="s">
        <v>52</v>
      </c>
      <c r="Y59">
        <v>1.3676327924942611E-3</v>
      </c>
      <c r="Z59" t="s">
        <v>25</v>
      </c>
      <c r="AA59">
        <v>9.4810971504323396E-2</v>
      </c>
      <c r="AB59">
        <v>3.1100149650798312E-2</v>
      </c>
      <c r="AC59">
        <v>2.1560139669833238</v>
      </c>
      <c r="AE59" s="2">
        <f t="shared" ref="AE59:AE64" si="14">(J59-Y59)/AVERAGE(J59,Y59)</f>
        <v>-3.0580808928415505E-2</v>
      </c>
      <c r="AF59" s="4">
        <f t="shared" ref="AF59:AF64" si="15">J59/Y59</f>
        <v>0.9698797419989863</v>
      </c>
    </row>
    <row r="60" spans="1:32" x14ac:dyDescent="0.35">
      <c r="A60" s="9">
        <v>2</v>
      </c>
      <c r="B60" s="8" t="s">
        <v>15</v>
      </c>
      <c r="C60" s="8" t="s">
        <v>17</v>
      </c>
      <c r="D60" s="8" t="s">
        <v>20</v>
      </c>
      <c r="E60" s="8" t="s">
        <v>23</v>
      </c>
      <c r="F60" s="8">
        <v>2050</v>
      </c>
      <c r="G60" s="8" t="s">
        <v>60</v>
      </c>
      <c r="H60" s="8">
        <v>4.6246929599690588E-2</v>
      </c>
      <c r="I60" s="8" t="s">
        <v>52</v>
      </c>
      <c r="J60" s="8">
        <v>7.8811813206973008E-5</v>
      </c>
      <c r="K60" t="s">
        <v>25</v>
      </c>
      <c r="L60">
        <v>5.9742648283488504E-3</v>
      </c>
      <c r="M60">
        <v>1.7041523380938201E-3</v>
      </c>
      <c r="N60">
        <v>0.1291818695822837</v>
      </c>
      <c r="P60" s="1">
        <v>2</v>
      </c>
      <c r="Q60" t="s">
        <v>15</v>
      </c>
      <c r="R60" t="s">
        <v>17</v>
      </c>
      <c r="S60" t="s">
        <v>20</v>
      </c>
      <c r="T60" t="s">
        <v>23</v>
      </c>
      <c r="U60">
        <v>2050</v>
      </c>
      <c r="V60" t="s">
        <v>60</v>
      </c>
      <c r="W60">
        <v>4.6246929599690588E-2</v>
      </c>
      <c r="X60" t="s">
        <v>52</v>
      </c>
      <c r="Y60">
        <v>2.394542116976366E-3</v>
      </c>
      <c r="Z60" t="s">
        <v>25</v>
      </c>
      <c r="AA60">
        <v>0.16600133139868459</v>
      </c>
      <c r="AB60">
        <v>5.1777320953051681E-2</v>
      </c>
      <c r="AC60">
        <v>3.5894562695421701</v>
      </c>
      <c r="AE60" s="14">
        <f t="shared" si="14"/>
        <v>-1.8725426033933914</v>
      </c>
      <c r="AF60" s="6">
        <f t="shared" si="15"/>
        <v>3.2913103782233818E-2</v>
      </c>
    </row>
    <row r="61" spans="1:32" x14ac:dyDescent="0.35">
      <c r="A61" s="9">
        <v>3</v>
      </c>
      <c r="B61" s="8" t="s">
        <v>15</v>
      </c>
      <c r="C61" s="8" t="s">
        <v>17</v>
      </c>
      <c r="D61" s="8" t="s">
        <v>20</v>
      </c>
      <c r="E61" s="8" t="s">
        <v>23</v>
      </c>
      <c r="F61" s="8">
        <v>2050</v>
      </c>
      <c r="G61" s="8" t="s">
        <v>61</v>
      </c>
      <c r="H61" s="8">
        <v>3.1242684515255099E-2</v>
      </c>
      <c r="I61" s="8" t="s">
        <v>52</v>
      </c>
      <c r="J61" s="8">
        <v>4.1214989407694209E-4</v>
      </c>
      <c r="K61" t="s">
        <v>25</v>
      </c>
      <c r="L61">
        <v>3.1242684516408551E-2</v>
      </c>
      <c r="M61">
        <v>1.319188477147982E-2</v>
      </c>
      <c r="N61">
        <v>1</v>
      </c>
      <c r="P61" s="1">
        <v>3</v>
      </c>
      <c r="Q61" t="s">
        <v>15</v>
      </c>
      <c r="R61" t="s">
        <v>17</v>
      </c>
      <c r="S61" t="s">
        <v>20</v>
      </c>
      <c r="T61" t="s">
        <v>23</v>
      </c>
      <c r="U61">
        <v>2050</v>
      </c>
      <c r="V61" t="s">
        <v>61</v>
      </c>
      <c r="W61">
        <v>3.1242684515255099E-2</v>
      </c>
      <c r="X61" t="s">
        <v>52</v>
      </c>
      <c r="Y61">
        <v>4.506706258849705E-4</v>
      </c>
      <c r="Z61" t="s">
        <v>25</v>
      </c>
      <c r="AA61">
        <v>3.1242684515255081E-2</v>
      </c>
      <c r="AB61">
        <v>1.4424836817877099E-2</v>
      </c>
      <c r="AC61">
        <v>1</v>
      </c>
      <c r="AE61" s="2">
        <f t="shared" si="14"/>
        <v>-8.9290254269170199E-2</v>
      </c>
      <c r="AF61" s="4">
        <f t="shared" si="15"/>
        <v>0.91452575429697414</v>
      </c>
    </row>
    <row r="62" spans="1:32" x14ac:dyDescent="0.35">
      <c r="A62" s="9">
        <v>4</v>
      </c>
      <c r="B62" s="8" t="s">
        <v>15</v>
      </c>
      <c r="C62" s="8" t="s">
        <v>17</v>
      </c>
      <c r="D62" s="8" t="s">
        <v>20</v>
      </c>
      <c r="E62" s="8" t="s">
        <v>23</v>
      </c>
      <c r="F62" s="8">
        <v>2050</v>
      </c>
      <c r="G62" s="8" t="s">
        <v>62</v>
      </c>
      <c r="H62" s="8">
        <v>6.0394699999999996E-9</v>
      </c>
      <c r="I62" s="8" t="s">
        <v>53</v>
      </c>
      <c r="J62" s="8">
        <v>6.2912883825185157E-4</v>
      </c>
      <c r="K62" t="s">
        <v>25</v>
      </c>
      <c r="L62">
        <v>4.7690595329882117E-2</v>
      </c>
      <c r="M62">
        <v>104169.54438913539</v>
      </c>
      <c r="N62">
        <v>7896486.8321427908</v>
      </c>
      <c r="P62" s="1">
        <v>4</v>
      </c>
      <c r="Q62" t="s">
        <v>15</v>
      </c>
      <c r="R62" t="s">
        <v>17</v>
      </c>
      <c r="S62" t="s">
        <v>20</v>
      </c>
      <c r="T62" t="s">
        <v>23</v>
      </c>
      <c r="U62">
        <v>2050</v>
      </c>
      <c r="V62" t="s">
        <v>62</v>
      </c>
      <c r="W62">
        <v>6.0394699999999996E-9</v>
      </c>
      <c r="X62" t="s">
        <v>53</v>
      </c>
      <c r="Y62">
        <v>6.5824531937078937E-4</v>
      </c>
      <c r="Z62" t="s">
        <v>25</v>
      </c>
      <c r="AA62">
        <v>4.5632774060570813E-2</v>
      </c>
      <c r="AB62">
        <v>108990.5768835327</v>
      </c>
      <c r="AC62">
        <v>7555758.0484000817</v>
      </c>
      <c r="AE62" s="2">
        <f t="shared" si="14"/>
        <v>-4.5233906470060606E-2</v>
      </c>
      <c r="AF62" s="4">
        <f t="shared" si="15"/>
        <v>0.95576652007678542</v>
      </c>
    </row>
    <row r="63" spans="1:32" x14ac:dyDescent="0.35">
      <c r="A63" s="9">
        <v>5</v>
      </c>
      <c r="B63" s="8" t="s">
        <v>15</v>
      </c>
      <c r="C63" s="8" t="s">
        <v>17</v>
      </c>
      <c r="D63" s="8" t="s">
        <v>20</v>
      </c>
      <c r="E63" s="8" t="s">
        <v>23</v>
      </c>
      <c r="F63" s="8">
        <v>2050</v>
      </c>
      <c r="G63" s="8" t="s">
        <v>63</v>
      </c>
      <c r="H63" s="8"/>
      <c r="I63" s="8"/>
      <c r="J63" s="8">
        <v>1.3649999353332509E-3</v>
      </c>
      <c r="K63" t="s">
        <v>25</v>
      </c>
      <c r="L63">
        <v>0.1034726999623032</v>
      </c>
      <c r="P63" s="1">
        <v>5</v>
      </c>
      <c r="Q63" t="s">
        <v>15</v>
      </c>
      <c r="R63" t="s">
        <v>17</v>
      </c>
      <c r="S63" t="s">
        <v>20</v>
      </c>
      <c r="T63" t="s">
        <v>23</v>
      </c>
      <c r="U63">
        <v>2050</v>
      </c>
      <c r="V63" t="s">
        <v>63</v>
      </c>
      <c r="Y63">
        <v>1.365000023390583E-3</v>
      </c>
      <c r="Z63" t="s">
        <v>25</v>
      </c>
      <c r="AA63">
        <v>9.462845511700424E-2</v>
      </c>
      <c r="AE63" s="2">
        <f t="shared" si="14"/>
        <v>-6.451086694050591E-8</v>
      </c>
      <c r="AF63" s="4">
        <f t="shared" si="15"/>
        <v>0.99999993548913513</v>
      </c>
    </row>
    <row r="64" spans="1:32" x14ac:dyDescent="0.35">
      <c r="A64" s="9">
        <v>6</v>
      </c>
      <c r="B64" s="8" t="s">
        <v>15</v>
      </c>
      <c r="C64" s="8" t="s">
        <v>17</v>
      </c>
      <c r="D64" s="8" t="s">
        <v>20</v>
      </c>
      <c r="E64" s="8" t="s">
        <v>23</v>
      </c>
      <c r="F64" s="8">
        <v>2050</v>
      </c>
      <c r="G64" s="8" t="s">
        <v>24</v>
      </c>
      <c r="H64" s="8">
        <v>1</v>
      </c>
      <c r="I64" s="8" t="s">
        <v>52</v>
      </c>
      <c r="J64" s="8">
        <v>1.319188477147982E-2</v>
      </c>
      <c r="K64" t="s">
        <v>25</v>
      </c>
      <c r="L64">
        <v>1</v>
      </c>
      <c r="M64">
        <v>1.319188477147982E-2</v>
      </c>
      <c r="N64">
        <v>1</v>
      </c>
      <c r="P64" s="1">
        <v>6</v>
      </c>
      <c r="Q64" t="s">
        <v>15</v>
      </c>
      <c r="R64" t="s">
        <v>17</v>
      </c>
      <c r="S64" t="s">
        <v>20</v>
      </c>
      <c r="T64" t="s">
        <v>23</v>
      </c>
      <c r="U64">
        <v>2050</v>
      </c>
      <c r="V64" t="s">
        <v>24</v>
      </c>
      <c r="W64">
        <v>1</v>
      </c>
      <c r="X64" t="s">
        <v>52</v>
      </c>
      <c r="Y64">
        <v>1.4424836817877099E-2</v>
      </c>
      <c r="Z64" t="s">
        <v>25</v>
      </c>
      <c r="AA64">
        <v>1</v>
      </c>
      <c r="AB64">
        <v>1.4424836817877099E-2</v>
      </c>
      <c r="AC64">
        <v>1</v>
      </c>
      <c r="AE64" s="15">
        <f t="shared" si="14"/>
        <v>-8.9290254269170075E-2</v>
      </c>
      <c r="AF64" s="10">
        <f t="shared" si="15"/>
        <v>0.91452575429697425</v>
      </c>
    </row>
  </sheetData>
  <autoFilter ref="A1:AF64" xr:uid="{00000000-0001-0000-02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F142-B530-49ED-8289-E431907F7ED2}">
  <sheetPr filterMode="1"/>
  <dimension ref="A1:N269"/>
  <sheetViews>
    <sheetView workbookViewId="0">
      <selection activeCell="L274" sqref="L274"/>
    </sheetView>
  </sheetViews>
  <sheetFormatPr baseColWidth="10" defaultColWidth="8.7265625" defaultRowHeight="14.5" x14ac:dyDescent="0.35"/>
  <cols>
    <col min="7" max="7" width="33.26953125" customWidth="1"/>
  </cols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6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 hidden="1" x14ac:dyDescent="0.35">
      <c r="A2" s="1">
        <v>0</v>
      </c>
      <c r="B2" t="s">
        <v>81</v>
      </c>
      <c r="C2" t="s">
        <v>16</v>
      </c>
      <c r="D2" t="s">
        <v>19</v>
      </c>
      <c r="E2" t="s">
        <v>21</v>
      </c>
      <c r="F2">
        <v>2050</v>
      </c>
      <c r="G2" t="s">
        <v>46</v>
      </c>
      <c r="H2">
        <v>2.615654594743062E-2</v>
      </c>
      <c r="I2" t="s">
        <v>52</v>
      </c>
      <c r="J2">
        <v>-1.465007725552815E-3</v>
      </c>
      <c r="K2" t="s">
        <v>25</v>
      </c>
      <c r="L2">
        <v>2.6156545947430668E-2</v>
      </c>
      <c r="M2">
        <v>-5.6009219584924719E-2</v>
      </c>
      <c r="N2">
        <v>1.000000000000002</v>
      </c>
    </row>
    <row r="3" spans="1:14" hidden="1" x14ac:dyDescent="0.35">
      <c r="A3" s="1">
        <v>1</v>
      </c>
      <c r="B3" t="s">
        <v>81</v>
      </c>
      <c r="C3" t="s">
        <v>16</v>
      </c>
      <c r="D3" t="s">
        <v>19</v>
      </c>
      <c r="E3" t="s">
        <v>21</v>
      </c>
      <c r="F3">
        <v>2050</v>
      </c>
      <c r="G3" t="s">
        <v>82</v>
      </c>
      <c r="H3">
        <v>2.6315703287565629E-12</v>
      </c>
      <c r="I3" t="s">
        <v>52</v>
      </c>
      <c r="J3">
        <v>9.9812493412548843E-13</v>
      </c>
      <c r="K3" t="s">
        <v>25</v>
      </c>
      <c r="L3">
        <v>-1.7820725614861859E-11</v>
      </c>
      <c r="M3">
        <v>0.37928871716573498</v>
      </c>
      <c r="N3">
        <v>-6.77189791210417</v>
      </c>
    </row>
    <row r="4" spans="1:14" hidden="1" x14ac:dyDescent="0.35">
      <c r="A4" s="1">
        <v>2</v>
      </c>
      <c r="B4" t="s">
        <v>81</v>
      </c>
      <c r="C4" t="s">
        <v>16</v>
      </c>
      <c r="D4" t="s">
        <v>19</v>
      </c>
      <c r="E4" t="s">
        <v>21</v>
      </c>
      <c r="F4">
        <v>2050</v>
      </c>
      <c r="G4" t="s">
        <v>83</v>
      </c>
      <c r="H4">
        <v>4.9023104098282677E-11</v>
      </c>
      <c r="I4" t="s">
        <v>52</v>
      </c>
      <c r="J4">
        <v>2.2532729317560421E-11</v>
      </c>
      <c r="K4" t="s">
        <v>25</v>
      </c>
      <c r="L4">
        <v>-4.0230393289795648E-10</v>
      </c>
      <c r="M4">
        <v>0.45963489526053419</v>
      </c>
      <c r="N4">
        <v>-8.2064149200223628</v>
      </c>
    </row>
    <row r="5" spans="1:14" hidden="1" x14ac:dyDescent="0.35">
      <c r="A5" s="1">
        <v>3</v>
      </c>
      <c r="B5" t="s">
        <v>81</v>
      </c>
      <c r="C5" t="s">
        <v>16</v>
      </c>
      <c r="D5" t="s">
        <v>19</v>
      </c>
      <c r="E5" t="s">
        <v>21</v>
      </c>
      <c r="F5">
        <v>2050</v>
      </c>
      <c r="G5" t="s">
        <v>82</v>
      </c>
      <c r="H5">
        <v>2.721695374755122E-12</v>
      </c>
      <c r="I5" t="s">
        <v>52</v>
      </c>
      <c r="J5">
        <v>9.2917710278713886E-13</v>
      </c>
      <c r="K5" t="s">
        <v>25</v>
      </c>
      <c r="L5">
        <v>-1.6589717008612549E-11</v>
      </c>
      <c r="M5">
        <v>0.34139643672309927</v>
      </c>
      <c r="N5">
        <v>-6.0953614289421232</v>
      </c>
    </row>
    <row r="6" spans="1:14" hidden="1" x14ac:dyDescent="0.35">
      <c r="A6" s="1">
        <v>4</v>
      </c>
      <c r="B6" t="s">
        <v>81</v>
      </c>
      <c r="C6" t="s">
        <v>16</v>
      </c>
      <c r="D6" t="s">
        <v>19</v>
      </c>
      <c r="E6" t="s">
        <v>21</v>
      </c>
      <c r="F6">
        <v>2050</v>
      </c>
      <c r="G6" t="s">
        <v>82</v>
      </c>
      <c r="H6">
        <v>2.1706410385417369E-11</v>
      </c>
      <c r="I6" t="s">
        <v>52</v>
      </c>
      <c r="J6">
        <v>7.7207781476352444E-12</v>
      </c>
      <c r="K6" t="s">
        <v>25</v>
      </c>
      <c r="L6">
        <v>-1.3784834362722239E-10</v>
      </c>
      <c r="M6">
        <v>0.35569115346783259</v>
      </c>
      <c r="N6">
        <v>-6.3505822095684046</v>
      </c>
    </row>
    <row r="7" spans="1:14" hidden="1" x14ac:dyDescent="0.35">
      <c r="A7" s="1">
        <v>5</v>
      </c>
      <c r="B7" t="s">
        <v>81</v>
      </c>
      <c r="C7" t="s">
        <v>16</v>
      </c>
      <c r="D7" t="s">
        <v>19</v>
      </c>
      <c r="E7" t="s">
        <v>21</v>
      </c>
      <c r="F7">
        <v>2050</v>
      </c>
      <c r="G7" t="s">
        <v>83</v>
      </c>
      <c r="H7">
        <v>5.5936159499858028E-11</v>
      </c>
      <c r="I7" t="s">
        <v>52</v>
      </c>
      <c r="J7">
        <v>3.0285685412586312E-11</v>
      </c>
      <c r="K7" t="s">
        <v>25</v>
      </c>
      <c r="L7">
        <v>-5.4072678814360728E-10</v>
      </c>
      <c r="M7">
        <v>0.54143304945101178</v>
      </c>
      <c r="N7">
        <v>-9.6668558045172848</v>
      </c>
    </row>
    <row r="8" spans="1:14" hidden="1" x14ac:dyDescent="0.35">
      <c r="A8" s="1">
        <v>6</v>
      </c>
      <c r="B8" t="s">
        <v>81</v>
      </c>
      <c r="C8" t="s">
        <v>16</v>
      </c>
      <c r="D8" t="s">
        <v>19</v>
      </c>
      <c r="E8" t="s">
        <v>21</v>
      </c>
      <c r="F8">
        <v>2050</v>
      </c>
      <c r="G8" t="s">
        <v>82</v>
      </c>
      <c r="H8">
        <v>7.5685002604356737E-13</v>
      </c>
      <c r="I8" t="s">
        <v>52</v>
      </c>
      <c r="J8">
        <v>2.6919616594463009E-13</v>
      </c>
      <c r="K8" t="s">
        <v>25</v>
      </c>
      <c r="L8">
        <v>-4.8062831073098304E-12</v>
      </c>
      <c r="M8">
        <v>0.35567966794141859</v>
      </c>
      <c r="N8">
        <v>-6.3503771446433968</v>
      </c>
    </row>
    <row r="9" spans="1:14" hidden="1" x14ac:dyDescent="0.35">
      <c r="A9" s="1">
        <v>7</v>
      </c>
      <c r="B9" t="s">
        <v>81</v>
      </c>
      <c r="C9" t="s">
        <v>16</v>
      </c>
      <c r="D9" t="s">
        <v>19</v>
      </c>
      <c r="E9" t="s">
        <v>21</v>
      </c>
      <c r="F9">
        <v>2050</v>
      </c>
      <c r="G9" t="s">
        <v>82</v>
      </c>
      <c r="H9">
        <v>9.8281771715120365E-12</v>
      </c>
      <c r="I9" t="s">
        <v>52</v>
      </c>
      <c r="J9">
        <v>3.4367266229103698E-12</v>
      </c>
      <c r="K9" t="s">
        <v>25</v>
      </c>
      <c r="L9">
        <v>-6.1360016232673878E-11</v>
      </c>
      <c r="M9">
        <v>0.34968097979267909</v>
      </c>
      <c r="N9">
        <v>-6.2432753461681658</v>
      </c>
    </row>
    <row r="10" spans="1:14" hidden="1" x14ac:dyDescent="0.35">
      <c r="A10" s="1">
        <v>8</v>
      </c>
      <c r="B10" t="s">
        <v>81</v>
      </c>
      <c r="C10" t="s">
        <v>16</v>
      </c>
      <c r="D10" t="s">
        <v>19</v>
      </c>
      <c r="E10" t="s">
        <v>21</v>
      </c>
      <c r="F10">
        <v>2050</v>
      </c>
      <c r="G10" t="s">
        <v>83</v>
      </c>
      <c r="H10">
        <v>7.5785295825210345E-12</v>
      </c>
      <c r="I10" t="s">
        <v>52</v>
      </c>
      <c r="J10">
        <v>2.3007990901029621E-13</v>
      </c>
      <c r="K10" t="s">
        <v>25</v>
      </c>
      <c r="L10">
        <v>-4.1078934988807477E-12</v>
      </c>
      <c r="M10">
        <v>3.0359439321969231E-2</v>
      </c>
      <c r="N10">
        <v>-0.54204360544492824</v>
      </c>
    </row>
    <row r="11" spans="1:14" hidden="1" x14ac:dyDescent="0.35">
      <c r="A11" s="1">
        <v>9</v>
      </c>
      <c r="B11" t="s">
        <v>81</v>
      </c>
      <c r="C11" t="s">
        <v>16</v>
      </c>
      <c r="D11" t="s">
        <v>19</v>
      </c>
      <c r="E11" t="s">
        <v>21</v>
      </c>
      <c r="F11">
        <v>2050</v>
      </c>
      <c r="G11" t="s">
        <v>82</v>
      </c>
      <c r="H11">
        <v>8.568132795929671E-12</v>
      </c>
      <c r="I11" t="s">
        <v>52</v>
      </c>
      <c r="J11">
        <v>2.9827094594441832E-12</v>
      </c>
      <c r="K11" t="s">
        <v>25</v>
      </c>
      <c r="L11">
        <v>-5.3253901438880352E-11</v>
      </c>
      <c r="M11">
        <v>0.34811662359634898</v>
      </c>
      <c r="N11">
        <v>-6.2153450124137724</v>
      </c>
    </row>
    <row r="12" spans="1:14" hidden="1" x14ac:dyDescent="0.35">
      <c r="A12" s="1">
        <v>10</v>
      </c>
      <c r="B12" t="s">
        <v>81</v>
      </c>
      <c r="C12" t="s">
        <v>16</v>
      </c>
      <c r="D12" t="s">
        <v>19</v>
      </c>
      <c r="E12" t="s">
        <v>21</v>
      </c>
      <c r="F12">
        <v>2050</v>
      </c>
      <c r="G12" t="s">
        <v>82</v>
      </c>
      <c r="H12">
        <v>4.2831595044047903E-11</v>
      </c>
      <c r="I12" t="s">
        <v>52</v>
      </c>
      <c r="J12">
        <v>1.687407659458609E-11</v>
      </c>
      <c r="K12" t="s">
        <v>25</v>
      </c>
      <c r="L12">
        <v>-3.0127319608516548E-10</v>
      </c>
      <c r="M12">
        <v>0.39396330155888037</v>
      </c>
      <c r="N12">
        <v>-7.0339009269987951</v>
      </c>
    </row>
    <row r="13" spans="1:14" hidden="1" x14ac:dyDescent="0.35">
      <c r="A13" s="1">
        <v>11</v>
      </c>
      <c r="B13" t="s">
        <v>81</v>
      </c>
      <c r="C13" t="s">
        <v>16</v>
      </c>
      <c r="D13" t="s">
        <v>19</v>
      </c>
      <c r="E13" t="s">
        <v>21</v>
      </c>
      <c r="F13">
        <v>2050</v>
      </c>
      <c r="G13" t="s">
        <v>82</v>
      </c>
      <c r="H13">
        <v>4.6597545097302633E-12</v>
      </c>
      <c r="I13" t="s">
        <v>52</v>
      </c>
      <c r="J13">
        <v>1.522634574453294E-12</v>
      </c>
      <c r="K13" t="s">
        <v>25</v>
      </c>
      <c r="L13">
        <v>-2.7185427430292639E-11</v>
      </c>
      <c r="M13">
        <v>0.32676283080445662</v>
      </c>
      <c r="N13">
        <v>-5.8340900520672081</v>
      </c>
    </row>
    <row r="14" spans="1:14" hidden="1" x14ac:dyDescent="0.35">
      <c r="A14" s="1">
        <v>12</v>
      </c>
      <c r="B14" t="s">
        <v>81</v>
      </c>
      <c r="C14" t="s">
        <v>16</v>
      </c>
      <c r="D14" t="s">
        <v>19</v>
      </c>
      <c r="E14" t="s">
        <v>21</v>
      </c>
      <c r="F14">
        <v>2050</v>
      </c>
      <c r="G14" t="s">
        <v>83</v>
      </c>
      <c r="H14">
        <v>4.7029411292895127E-12</v>
      </c>
      <c r="I14" t="s">
        <v>52</v>
      </c>
      <c r="J14">
        <v>2.464403432020295E-12</v>
      </c>
      <c r="K14" t="s">
        <v>25</v>
      </c>
      <c r="L14">
        <v>-4.3999960190190032E-11</v>
      </c>
      <c r="M14">
        <v>0.52401324283482986</v>
      </c>
      <c r="N14">
        <v>-9.3558390336128276</v>
      </c>
    </row>
    <row r="15" spans="1:14" hidden="1" x14ac:dyDescent="0.35">
      <c r="A15" s="1">
        <v>13</v>
      </c>
      <c r="B15" t="s">
        <v>81</v>
      </c>
      <c r="C15" t="s">
        <v>16</v>
      </c>
      <c r="D15" t="s">
        <v>19</v>
      </c>
      <c r="E15" t="s">
        <v>21</v>
      </c>
      <c r="F15">
        <v>2050</v>
      </c>
      <c r="G15" t="s">
        <v>83</v>
      </c>
      <c r="H15">
        <v>3.274295136059143E-12</v>
      </c>
      <c r="I15" t="s">
        <v>52</v>
      </c>
      <c r="J15">
        <v>1.511743749399132E-12</v>
      </c>
      <c r="K15" t="s">
        <v>25</v>
      </c>
      <c r="L15">
        <v>-2.6990980424337688E-11</v>
      </c>
      <c r="M15">
        <v>0.46170051463919881</v>
      </c>
      <c r="N15">
        <v>-8.2432949086023264</v>
      </c>
    </row>
    <row r="16" spans="1:14" hidden="1" x14ac:dyDescent="0.35">
      <c r="A16" s="1">
        <v>14</v>
      </c>
      <c r="B16" t="s">
        <v>81</v>
      </c>
      <c r="C16" t="s">
        <v>16</v>
      </c>
      <c r="D16" t="s">
        <v>19</v>
      </c>
      <c r="E16" t="s">
        <v>21</v>
      </c>
      <c r="F16">
        <v>2050</v>
      </c>
      <c r="G16" t="s">
        <v>82</v>
      </c>
      <c r="H16">
        <v>1.9996102392921629E-11</v>
      </c>
      <c r="I16" t="s">
        <v>52</v>
      </c>
      <c r="J16">
        <v>7.8176918177932356E-12</v>
      </c>
      <c r="K16" t="s">
        <v>25</v>
      </c>
      <c r="L16">
        <v>-1.395786600086361E-10</v>
      </c>
      <c r="M16">
        <v>0.39096078146512198</v>
      </c>
      <c r="N16">
        <v>-6.9802933224649424</v>
      </c>
    </row>
    <row r="17" spans="1:14" hidden="1" x14ac:dyDescent="0.35">
      <c r="A17" s="1">
        <v>15</v>
      </c>
      <c r="B17" t="s">
        <v>81</v>
      </c>
      <c r="C17" t="s">
        <v>16</v>
      </c>
      <c r="D17" t="s">
        <v>19</v>
      </c>
      <c r="E17" t="s">
        <v>21</v>
      </c>
      <c r="F17">
        <v>2050</v>
      </c>
      <c r="G17" t="s">
        <v>83</v>
      </c>
      <c r="H17">
        <v>7.8664887159834145E-11</v>
      </c>
      <c r="I17" t="s">
        <v>52</v>
      </c>
      <c r="J17">
        <v>3.365939155114303E-11</v>
      </c>
      <c r="K17" t="s">
        <v>25</v>
      </c>
      <c r="L17">
        <v>-6.009616238288518E-10</v>
      </c>
      <c r="M17">
        <v>0.42788330049660739</v>
      </c>
      <c r="N17">
        <v>-7.6395154881211029</v>
      </c>
    </row>
    <row r="18" spans="1:14" hidden="1" x14ac:dyDescent="0.35">
      <c r="A18" s="1">
        <v>16</v>
      </c>
      <c r="B18" t="s">
        <v>81</v>
      </c>
      <c r="C18" t="s">
        <v>16</v>
      </c>
      <c r="D18" t="s">
        <v>19</v>
      </c>
      <c r="E18" t="s">
        <v>21</v>
      </c>
      <c r="F18">
        <v>2050</v>
      </c>
      <c r="G18" t="s">
        <v>82</v>
      </c>
      <c r="H18">
        <v>1.390906290123565E-11</v>
      </c>
      <c r="I18" t="s">
        <v>52</v>
      </c>
      <c r="J18">
        <v>4.5430066056937476E-12</v>
      </c>
      <c r="K18" t="s">
        <v>25</v>
      </c>
      <c r="L18">
        <v>-8.111176408743497E-11</v>
      </c>
      <c r="M18">
        <v>0.32662204764996472</v>
      </c>
      <c r="N18">
        <v>-5.8315764809884607</v>
      </c>
    </row>
    <row r="19" spans="1:14" hidden="1" x14ac:dyDescent="0.35">
      <c r="A19" s="1">
        <v>17</v>
      </c>
      <c r="B19" t="s">
        <v>81</v>
      </c>
      <c r="C19" t="s">
        <v>16</v>
      </c>
      <c r="D19" t="s">
        <v>19</v>
      </c>
      <c r="E19" t="s">
        <v>21</v>
      </c>
      <c r="F19">
        <v>2050</v>
      </c>
      <c r="G19" t="s">
        <v>83</v>
      </c>
      <c r="H19">
        <v>2.2895854038437479E-12</v>
      </c>
      <c r="I19" t="s">
        <v>52</v>
      </c>
      <c r="J19">
        <v>9.7981901543081541E-13</v>
      </c>
      <c r="K19" t="s">
        <v>25</v>
      </c>
      <c r="L19">
        <v>-1.749388801865296E-11</v>
      </c>
      <c r="M19">
        <v>0.42794604376228917</v>
      </c>
      <c r="N19">
        <v>-7.6406357191499721</v>
      </c>
    </row>
    <row r="20" spans="1:14" hidden="1" x14ac:dyDescent="0.35">
      <c r="A20" s="1">
        <v>18</v>
      </c>
      <c r="B20" t="s">
        <v>81</v>
      </c>
      <c r="C20" t="s">
        <v>16</v>
      </c>
      <c r="D20" t="s">
        <v>19</v>
      </c>
      <c r="E20" t="s">
        <v>21</v>
      </c>
      <c r="F20">
        <v>2050</v>
      </c>
      <c r="G20" t="s">
        <v>83</v>
      </c>
      <c r="H20">
        <v>2.1893576046690941E-11</v>
      </c>
      <c r="I20" t="s">
        <v>52</v>
      </c>
      <c r="J20">
        <v>1.0420632554173599E-11</v>
      </c>
      <c r="K20" t="s">
        <v>25</v>
      </c>
      <c r="L20">
        <v>-1.86052093412464E-10</v>
      </c>
      <c r="M20">
        <v>0.47596758665419608</v>
      </c>
      <c r="N20">
        <v>-8.4980221146003423</v>
      </c>
    </row>
    <row r="21" spans="1:14" hidden="1" x14ac:dyDescent="0.35">
      <c r="A21" s="1">
        <v>19</v>
      </c>
      <c r="B21" t="s">
        <v>81</v>
      </c>
      <c r="C21" t="s">
        <v>16</v>
      </c>
      <c r="D21" t="s">
        <v>19</v>
      </c>
      <c r="E21" t="s">
        <v>21</v>
      </c>
      <c r="F21">
        <v>2050</v>
      </c>
      <c r="G21" t="s">
        <v>83</v>
      </c>
      <c r="H21">
        <v>2.7724399659354081E-12</v>
      </c>
      <c r="I21" t="s">
        <v>52</v>
      </c>
      <c r="J21">
        <v>1.1925073921412501E-12</v>
      </c>
      <c r="K21" t="s">
        <v>25</v>
      </c>
      <c r="L21">
        <v>-2.1291269562024469E-11</v>
      </c>
      <c r="M21">
        <v>0.43012920272158323</v>
      </c>
      <c r="N21">
        <v>-7.6796142833126764</v>
      </c>
    </row>
    <row r="22" spans="1:14" hidden="1" x14ac:dyDescent="0.35">
      <c r="A22" s="1">
        <v>20</v>
      </c>
      <c r="B22" t="s">
        <v>81</v>
      </c>
      <c r="C22" t="s">
        <v>16</v>
      </c>
      <c r="D22" t="s">
        <v>19</v>
      </c>
      <c r="E22" t="s">
        <v>21</v>
      </c>
      <c r="F22">
        <v>2050</v>
      </c>
      <c r="G22" t="s">
        <v>83</v>
      </c>
      <c r="H22">
        <v>6.0991179882395104E-12</v>
      </c>
      <c r="I22" t="s">
        <v>52</v>
      </c>
      <c r="J22">
        <v>3.4203211399760718E-12</v>
      </c>
      <c r="K22" t="s">
        <v>25</v>
      </c>
      <c r="L22">
        <v>-6.1067109403121942E-11</v>
      </c>
      <c r="M22">
        <v>0.56078946932511076</v>
      </c>
      <c r="N22">
        <v>-10.012449262479141</v>
      </c>
    </row>
    <row r="23" spans="1:14" hidden="1" x14ac:dyDescent="0.35">
      <c r="A23" s="1">
        <v>21</v>
      </c>
      <c r="B23" t="s">
        <v>81</v>
      </c>
      <c r="C23" t="s">
        <v>16</v>
      </c>
      <c r="D23" t="s">
        <v>19</v>
      </c>
      <c r="E23" t="s">
        <v>21</v>
      </c>
      <c r="F23">
        <v>2050</v>
      </c>
      <c r="G23" t="s">
        <v>83</v>
      </c>
      <c r="H23">
        <v>3.3703159745854171E-11</v>
      </c>
      <c r="I23" t="s">
        <v>52</v>
      </c>
      <c r="J23">
        <v>1.5192109686571919E-11</v>
      </c>
      <c r="K23" t="s">
        <v>25</v>
      </c>
      <c r="L23">
        <v>-2.712430167597088E-10</v>
      </c>
      <c r="M23">
        <v>0.45076217782342198</v>
      </c>
      <c r="N23">
        <v>-8.0479996179905466</v>
      </c>
    </row>
    <row r="24" spans="1:14" hidden="1" x14ac:dyDescent="0.35">
      <c r="A24" s="1">
        <v>22</v>
      </c>
      <c r="B24" t="s">
        <v>81</v>
      </c>
      <c r="C24" t="s">
        <v>16</v>
      </c>
      <c r="D24" t="s">
        <v>19</v>
      </c>
      <c r="E24" t="s">
        <v>21</v>
      </c>
      <c r="F24">
        <v>2050</v>
      </c>
      <c r="G24" t="s">
        <v>83</v>
      </c>
      <c r="H24">
        <v>2.1754520558087029E-12</v>
      </c>
      <c r="I24" t="s">
        <v>52</v>
      </c>
      <c r="J24">
        <v>9.5605216493272565E-13</v>
      </c>
      <c r="K24" t="s">
        <v>25</v>
      </c>
      <c r="L24">
        <v>-1.706954983514992E-11</v>
      </c>
      <c r="M24">
        <v>0.43947287295068549</v>
      </c>
      <c r="N24">
        <v>-7.8464380722950402</v>
      </c>
    </row>
    <row r="25" spans="1:14" hidden="1" x14ac:dyDescent="0.35">
      <c r="A25" s="1">
        <v>23</v>
      </c>
      <c r="B25" t="s">
        <v>81</v>
      </c>
      <c r="C25" t="s">
        <v>16</v>
      </c>
      <c r="D25" t="s">
        <v>19</v>
      </c>
      <c r="E25" t="s">
        <v>21</v>
      </c>
      <c r="F25">
        <v>2050</v>
      </c>
      <c r="G25" t="s">
        <v>37</v>
      </c>
      <c r="H25">
        <v>4.9610972391542359E-11</v>
      </c>
      <c r="I25" t="s">
        <v>52</v>
      </c>
      <c r="J25">
        <v>5.6524147813760155E-13</v>
      </c>
      <c r="K25" t="s">
        <v>25</v>
      </c>
      <c r="L25">
        <v>-1.0091936333455741E-11</v>
      </c>
      <c r="M25">
        <v>1.1393477105761459E-2</v>
      </c>
      <c r="N25">
        <v>-0.20342145793490241</v>
      </c>
    </row>
    <row r="26" spans="1:14" hidden="1" x14ac:dyDescent="0.35">
      <c r="A26" s="1">
        <v>24</v>
      </c>
      <c r="B26" t="s">
        <v>81</v>
      </c>
      <c r="C26" t="s">
        <v>16</v>
      </c>
      <c r="D26" t="s">
        <v>19</v>
      </c>
      <c r="E26" t="s">
        <v>21</v>
      </c>
      <c r="F26">
        <v>2050</v>
      </c>
      <c r="G26" t="s">
        <v>37</v>
      </c>
      <c r="H26">
        <v>8.1470506868046394E-10</v>
      </c>
      <c r="I26" t="s">
        <v>52</v>
      </c>
      <c r="J26">
        <v>9.2823235479586762E-12</v>
      </c>
      <c r="K26" t="s">
        <v>25</v>
      </c>
      <c r="L26">
        <v>-1.6572849285793471E-10</v>
      </c>
      <c r="M26">
        <v>1.1393477105761451E-2</v>
      </c>
      <c r="N26">
        <v>-0.20342145793490229</v>
      </c>
    </row>
    <row r="27" spans="1:14" hidden="1" x14ac:dyDescent="0.35">
      <c r="A27" s="1">
        <v>25</v>
      </c>
      <c r="B27" t="s">
        <v>81</v>
      </c>
      <c r="C27" t="s">
        <v>16</v>
      </c>
      <c r="D27" t="s">
        <v>19</v>
      </c>
      <c r="E27" t="s">
        <v>21</v>
      </c>
      <c r="F27">
        <v>2050</v>
      </c>
      <c r="G27" t="s">
        <v>37</v>
      </c>
      <c r="H27">
        <v>4.1331618636800503E-12</v>
      </c>
      <c r="I27" t="s">
        <v>52</v>
      </c>
      <c r="J27">
        <v>4.7091085068244961E-14</v>
      </c>
      <c r="K27" t="s">
        <v>25</v>
      </c>
      <c r="L27">
        <v>-8.4077381219073345E-13</v>
      </c>
      <c r="M27">
        <v>1.1393477105761451E-2</v>
      </c>
      <c r="N27">
        <v>-0.20342145793490221</v>
      </c>
    </row>
    <row r="28" spans="1:14" hidden="1" x14ac:dyDescent="0.35">
      <c r="A28" s="1">
        <v>26</v>
      </c>
      <c r="B28" t="s">
        <v>81</v>
      </c>
      <c r="C28" t="s">
        <v>16</v>
      </c>
      <c r="D28" t="s">
        <v>19</v>
      </c>
      <c r="E28" t="s">
        <v>21</v>
      </c>
      <c r="F28">
        <v>2050</v>
      </c>
      <c r="G28" t="s">
        <v>37</v>
      </c>
      <c r="H28">
        <v>2.669837916192066E-11</v>
      </c>
      <c r="I28" t="s">
        <v>52</v>
      </c>
      <c r="J28">
        <v>3.0418737174228173E-13</v>
      </c>
      <c r="K28" t="s">
        <v>25</v>
      </c>
      <c r="L28">
        <v>-5.4310232136167171E-12</v>
      </c>
      <c r="M28">
        <v>1.1393477105761451E-2</v>
      </c>
      <c r="N28">
        <v>-0.20342145793490229</v>
      </c>
    </row>
    <row r="29" spans="1:14" hidden="1" x14ac:dyDescent="0.35">
      <c r="A29" s="1">
        <v>27</v>
      </c>
      <c r="B29" t="s">
        <v>81</v>
      </c>
      <c r="C29" t="s">
        <v>16</v>
      </c>
      <c r="D29" t="s">
        <v>19</v>
      </c>
      <c r="E29" t="s">
        <v>21</v>
      </c>
      <c r="F29">
        <v>2050</v>
      </c>
      <c r="G29" t="s">
        <v>37</v>
      </c>
      <c r="H29">
        <v>2.922292385509075E-12</v>
      </c>
      <c r="I29" t="s">
        <v>52</v>
      </c>
      <c r="J29">
        <v>3.3295071390638687E-14</v>
      </c>
      <c r="K29" t="s">
        <v>25</v>
      </c>
      <c r="L29">
        <v>-5.9445697757232021E-13</v>
      </c>
      <c r="M29">
        <v>1.1393477105761459E-2</v>
      </c>
      <c r="N29">
        <v>-0.20342145793490249</v>
      </c>
    </row>
    <row r="30" spans="1:14" hidden="1" x14ac:dyDescent="0.35">
      <c r="A30" s="1">
        <v>28</v>
      </c>
      <c r="B30" t="s">
        <v>81</v>
      </c>
      <c r="C30" t="s">
        <v>16</v>
      </c>
      <c r="D30" t="s">
        <v>19</v>
      </c>
      <c r="E30" t="s">
        <v>21</v>
      </c>
      <c r="F30">
        <v>2050</v>
      </c>
      <c r="G30" t="s">
        <v>37</v>
      </c>
      <c r="H30">
        <v>6.8698810347983462E-10</v>
      </c>
      <c r="I30" t="s">
        <v>52</v>
      </c>
      <c r="J30">
        <v>7.8271832289279758E-12</v>
      </c>
      <c r="K30" t="s">
        <v>25</v>
      </c>
      <c r="L30">
        <v>-1.3974812159380151E-10</v>
      </c>
      <c r="M30">
        <v>1.1393477105761451E-2</v>
      </c>
      <c r="N30">
        <v>-0.20342145793490229</v>
      </c>
    </row>
    <row r="31" spans="1:14" hidden="1" x14ac:dyDescent="0.35">
      <c r="A31" s="1">
        <v>29</v>
      </c>
      <c r="B31" t="s">
        <v>81</v>
      </c>
      <c r="C31" t="s">
        <v>16</v>
      </c>
      <c r="D31" t="s">
        <v>19</v>
      </c>
      <c r="E31" t="s">
        <v>21</v>
      </c>
      <c r="F31">
        <v>2050</v>
      </c>
      <c r="G31" t="s">
        <v>37</v>
      </c>
      <c r="H31">
        <v>1.690235227369614E-10</v>
      </c>
      <c r="I31" t="s">
        <v>52</v>
      </c>
      <c r="J31">
        <v>1.9257656366387221E-12</v>
      </c>
      <c r="K31" t="s">
        <v>25</v>
      </c>
      <c r="L31">
        <v>-3.4383011420445832E-11</v>
      </c>
      <c r="M31">
        <v>1.1393477105761459E-2</v>
      </c>
      <c r="N31">
        <v>-0.20342145793490249</v>
      </c>
    </row>
    <row r="32" spans="1:14" hidden="1" x14ac:dyDescent="0.35">
      <c r="A32" s="1">
        <v>30</v>
      </c>
      <c r="B32" t="s">
        <v>81</v>
      </c>
      <c r="C32" t="s">
        <v>16</v>
      </c>
      <c r="D32" t="s">
        <v>19</v>
      </c>
      <c r="E32" t="s">
        <v>21</v>
      </c>
      <c r="F32">
        <v>2050</v>
      </c>
      <c r="G32" t="s">
        <v>37</v>
      </c>
      <c r="H32">
        <v>7.8486167836610979E-10</v>
      </c>
      <c r="I32" t="s">
        <v>52</v>
      </c>
      <c r="J32">
        <v>8.9423035636537829E-12</v>
      </c>
      <c r="K32" t="s">
        <v>25</v>
      </c>
      <c r="L32">
        <v>-1.5965770689046849E-10</v>
      </c>
      <c r="M32">
        <v>1.1393477105761459E-2</v>
      </c>
      <c r="N32">
        <v>-0.20342145793490241</v>
      </c>
    </row>
    <row r="33" spans="1:14" hidden="1" x14ac:dyDescent="0.35">
      <c r="A33" s="1">
        <v>31</v>
      </c>
      <c r="B33" t="s">
        <v>81</v>
      </c>
      <c r="C33" t="s">
        <v>16</v>
      </c>
      <c r="D33" t="s">
        <v>19</v>
      </c>
      <c r="E33" t="s">
        <v>21</v>
      </c>
      <c r="F33">
        <v>2050</v>
      </c>
      <c r="G33" t="s">
        <v>37</v>
      </c>
      <c r="H33">
        <v>1.5721364185995891E-10</v>
      </c>
      <c r="I33" t="s">
        <v>52</v>
      </c>
      <c r="J33">
        <v>1.7912100292448229E-12</v>
      </c>
      <c r="K33" t="s">
        <v>25</v>
      </c>
      <c r="L33">
        <v>-3.1980628234408448E-11</v>
      </c>
      <c r="M33">
        <v>1.1393477105761459E-2</v>
      </c>
      <c r="N33">
        <v>-0.20342145793490249</v>
      </c>
    </row>
    <row r="34" spans="1:14" hidden="1" x14ac:dyDescent="0.35">
      <c r="A34" s="1">
        <v>32</v>
      </c>
      <c r="B34" t="s">
        <v>81</v>
      </c>
      <c r="C34" t="s">
        <v>16</v>
      </c>
      <c r="D34" t="s">
        <v>19</v>
      </c>
      <c r="E34" t="s">
        <v>21</v>
      </c>
      <c r="F34">
        <v>2050</v>
      </c>
      <c r="G34" t="s">
        <v>84</v>
      </c>
      <c r="H34">
        <v>2.566466142587035E-13</v>
      </c>
      <c r="I34" t="s">
        <v>52</v>
      </c>
      <c r="J34">
        <v>2.7528975904364499E-13</v>
      </c>
      <c r="K34" t="s">
        <v>25</v>
      </c>
      <c r="L34">
        <v>-4.9150793580730717E-12</v>
      </c>
      <c r="M34">
        <v>1.072641304226009</v>
      </c>
      <c r="N34">
        <v>-19.15115604493656</v>
      </c>
    </row>
    <row r="35" spans="1:14" hidden="1" x14ac:dyDescent="0.35">
      <c r="A35" s="1">
        <v>33</v>
      </c>
      <c r="B35" t="s">
        <v>81</v>
      </c>
      <c r="C35" t="s">
        <v>16</v>
      </c>
      <c r="D35" t="s">
        <v>19</v>
      </c>
      <c r="E35" t="s">
        <v>21</v>
      </c>
      <c r="F35">
        <v>2050</v>
      </c>
      <c r="G35" t="s">
        <v>85</v>
      </c>
      <c r="H35">
        <v>9.3375053842962377E-14</v>
      </c>
      <c r="I35" t="s">
        <v>52</v>
      </c>
      <c r="J35">
        <v>9.8034383188548169E-14</v>
      </c>
      <c r="K35" t="s">
        <v>25</v>
      </c>
      <c r="L35">
        <v>-1.7503258198394E-12</v>
      </c>
      <c r="M35">
        <v>1.049899080684032</v>
      </c>
      <c r="N35">
        <v>-18.745111759540059</v>
      </c>
    </row>
    <row r="36" spans="1:14" hidden="1" x14ac:dyDescent="0.35">
      <c r="A36" s="1">
        <v>34</v>
      </c>
      <c r="B36" t="s">
        <v>81</v>
      </c>
      <c r="C36" t="s">
        <v>16</v>
      </c>
      <c r="D36" t="s">
        <v>19</v>
      </c>
      <c r="E36" t="s">
        <v>21</v>
      </c>
      <c r="F36">
        <v>2050</v>
      </c>
      <c r="G36" t="s">
        <v>84</v>
      </c>
      <c r="H36">
        <v>5.1515919407450388E-14</v>
      </c>
      <c r="I36" t="s">
        <v>52</v>
      </c>
      <c r="J36">
        <v>5.656021762096666E-14</v>
      </c>
      <c r="K36" t="s">
        <v>25</v>
      </c>
      <c r="L36">
        <v>-1.009837631020846E-12</v>
      </c>
      <c r="M36">
        <v>1.097917270458086</v>
      </c>
      <c r="N36">
        <v>-19.602438287742181</v>
      </c>
    </row>
    <row r="37" spans="1:14" hidden="1" x14ac:dyDescent="0.35">
      <c r="A37" s="1">
        <v>35</v>
      </c>
      <c r="B37" t="s">
        <v>81</v>
      </c>
      <c r="C37" t="s">
        <v>16</v>
      </c>
      <c r="D37" t="s">
        <v>19</v>
      </c>
      <c r="E37" t="s">
        <v>21</v>
      </c>
      <c r="F37">
        <v>2050</v>
      </c>
      <c r="G37" t="s">
        <v>85</v>
      </c>
      <c r="H37">
        <v>9.0238908668451471E-14</v>
      </c>
      <c r="I37" t="s">
        <v>52</v>
      </c>
      <c r="J37">
        <v>1.118335479099946E-13</v>
      </c>
      <c r="K37" t="s">
        <v>25</v>
      </c>
      <c r="L37">
        <v>-1.9966989138355291E-12</v>
      </c>
      <c r="M37">
        <v>1.239305190634391</v>
      </c>
      <c r="N37">
        <v>-22.126806976042221</v>
      </c>
    </row>
    <row r="38" spans="1:14" hidden="1" x14ac:dyDescent="0.35">
      <c r="A38" s="1">
        <v>36</v>
      </c>
      <c r="B38" t="s">
        <v>81</v>
      </c>
      <c r="C38" t="s">
        <v>16</v>
      </c>
      <c r="D38" t="s">
        <v>19</v>
      </c>
      <c r="E38" t="s">
        <v>21</v>
      </c>
      <c r="F38">
        <v>2050</v>
      </c>
      <c r="G38" t="s">
        <v>84</v>
      </c>
      <c r="H38">
        <v>5.358492203556708E-13</v>
      </c>
      <c r="I38" t="s">
        <v>52</v>
      </c>
      <c r="J38">
        <v>5.7425520534425902E-13</v>
      </c>
      <c r="K38" t="s">
        <v>25</v>
      </c>
      <c r="L38">
        <v>-1.0252869252597571E-11</v>
      </c>
      <c r="M38">
        <v>1.071673119097003</v>
      </c>
      <c r="N38">
        <v>-19.133869870692742</v>
      </c>
    </row>
    <row r="39" spans="1:14" hidden="1" x14ac:dyDescent="0.35">
      <c r="A39" s="1">
        <v>37</v>
      </c>
      <c r="B39" t="s">
        <v>81</v>
      </c>
      <c r="C39" t="s">
        <v>16</v>
      </c>
      <c r="D39" t="s">
        <v>19</v>
      </c>
      <c r="E39" t="s">
        <v>21</v>
      </c>
      <c r="F39">
        <v>2050</v>
      </c>
      <c r="G39" t="s">
        <v>84</v>
      </c>
      <c r="H39">
        <v>7.6413058994591239E-14</v>
      </c>
      <c r="I39" t="s">
        <v>52</v>
      </c>
      <c r="J39">
        <v>9.6773917485435046E-14</v>
      </c>
      <c r="K39" t="s">
        <v>25</v>
      </c>
      <c r="L39">
        <v>-1.7278212087690399E-12</v>
      </c>
      <c r="M39">
        <v>1.26645783794999</v>
      </c>
      <c r="N39">
        <v>-22.61159586467204</v>
      </c>
    </row>
    <row r="40" spans="1:14" hidden="1" x14ac:dyDescent="0.35">
      <c r="A40" s="1">
        <v>38</v>
      </c>
      <c r="B40" t="s">
        <v>81</v>
      </c>
      <c r="C40" t="s">
        <v>16</v>
      </c>
      <c r="D40" t="s">
        <v>19</v>
      </c>
      <c r="E40" t="s">
        <v>21</v>
      </c>
      <c r="F40">
        <v>2050</v>
      </c>
      <c r="G40" t="s">
        <v>85</v>
      </c>
      <c r="H40">
        <v>6.0685264190352415E-13</v>
      </c>
      <c r="I40" t="s">
        <v>52</v>
      </c>
      <c r="J40">
        <v>6.5399340186833783E-13</v>
      </c>
      <c r="K40" t="s">
        <v>25</v>
      </c>
      <c r="L40">
        <v>-1.1676531233875039E-11</v>
      </c>
      <c r="M40">
        <v>1.0776807361618239</v>
      </c>
      <c r="N40">
        <v>-19.24113108785204</v>
      </c>
    </row>
    <row r="41" spans="1:14" hidden="1" x14ac:dyDescent="0.35">
      <c r="A41" s="1">
        <v>39</v>
      </c>
      <c r="B41" t="s">
        <v>81</v>
      </c>
      <c r="C41" t="s">
        <v>16</v>
      </c>
      <c r="D41" t="s">
        <v>19</v>
      </c>
      <c r="E41" t="s">
        <v>21</v>
      </c>
      <c r="F41">
        <v>2050</v>
      </c>
      <c r="G41" t="s">
        <v>84</v>
      </c>
      <c r="H41">
        <v>1.9529909634379601E-12</v>
      </c>
      <c r="I41" t="s">
        <v>52</v>
      </c>
      <c r="J41">
        <v>2.0825026781945941E-12</v>
      </c>
      <c r="K41" t="s">
        <v>25</v>
      </c>
      <c r="L41">
        <v>-3.7181426444212013E-11</v>
      </c>
      <c r="M41">
        <v>1.0663145489053609</v>
      </c>
      <c r="N41">
        <v>-19.038196868437861</v>
      </c>
    </row>
    <row r="42" spans="1:14" hidden="1" x14ac:dyDescent="0.35">
      <c r="A42" s="1">
        <v>40</v>
      </c>
      <c r="B42" t="s">
        <v>81</v>
      </c>
      <c r="C42" t="s">
        <v>16</v>
      </c>
      <c r="D42" t="s">
        <v>19</v>
      </c>
      <c r="E42" t="s">
        <v>21</v>
      </c>
      <c r="F42">
        <v>2050</v>
      </c>
      <c r="G42" t="s">
        <v>84</v>
      </c>
      <c r="H42">
        <v>1.38197286996847E-12</v>
      </c>
      <c r="I42" t="s">
        <v>52</v>
      </c>
      <c r="J42">
        <v>1.4688491173211211E-12</v>
      </c>
      <c r="K42" t="s">
        <v>25</v>
      </c>
      <c r="L42">
        <v>-2.6225130937487202E-11</v>
      </c>
      <c r="M42">
        <v>1.062863931152739</v>
      </c>
      <c r="N42">
        <v>-18.97658883714956</v>
      </c>
    </row>
    <row r="43" spans="1:14" hidden="1" x14ac:dyDescent="0.35">
      <c r="A43" s="1">
        <v>41</v>
      </c>
      <c r="B43" t="s">
        <v>81</v>
      </c>
      <c r="C43" t="s">
        <v>16</v>
      </c>
      <c r="D43" t="s">
        <v>19</v>
      </c>
      <c r="E43" t="s">
        <v>21</v>
      </c>
      <c r="F43">
        <v>2050</v>
      </c>
      <c r="G43" t="s">
        <v>84</v>
      </c>
      <c r="H43">
        <v>3.7474889731680312E-13</v>
      </c>
      <c r="I43" t="s">
        <v>52</v>
      </c>
      <c r="J43">
        <v>4.0742059018684518E-13</v>
      </c>
      <c r="K43" t="s">
        <v>25</v>
      </c>
      <c r="L43">
        <v>-7.2741700956766423E-12</v>
      </c>
      <c r="M43">
        <v>1.087182892608813</v>
      </c>
      <c r="N43">
        <v>-19.4107845220082</v>
      </c>
    </row>
    <row r="44" spans="1:14" hidden="1" x14ac:dyDescent="0.35">
      <c r="A44" s="1">
        <v>42</v>
      </c>
      <c r="B44" t="s">
        <v>81</v>
      </c>
      <c r="C44" t="s">
        <v>16</v>
      </c>
      <c r="D44" t="s">
        <v>19</v>
      </c>
      <c r="E44" t="s">
        <v>21</v>
      </c>
      <c r="F44">
        <v>2050</v>
      </c>
      <c r="G44" t="s">
        <v>84</v>
      </c>
      <c r="H44">
        <v>6.4278400471080813E-14</v>
      </c>
      <c r="I44" t="s">
        <v>52</v>
      </c>
      <c r="J44">
        <v>6.967989379152516E-14</v>
      </c>
      <c r="K44" t="s">
        <v>25</v>
      </c>
      <c r="L44">
        <v>-1.244078998206219E-12</v>
      </c>
      <c r="M44">
        <v>1.0840327898774409</v>
      </c>
      <c r="N44">
        <v>-19.354541947040769</v>
      </c>
    </row>
    <row r="45" spans="1:14" hidden="1" x14ac:dyDescent="0.35">
      <c r="A45" s="1">
        <v>43</v>
      </c>
      <c r="B45" t="s">
        <v>81</v>
      </c>
      <c r="C45" t="s">
        <v>16</v>
      </c>
      <c r="D45" t="s">
        <v>19</v>
      </c>
      <c r="E45" t="s">
        <v>21</v>
      </c>
      <c r="F45">
        <v>2050</v>
      </c>
      <c r="G45" t="s">
        <v>84</v>
      </c>
      <c r="H45">
        <v>1.163272444972646E-12</v>
      </c>
      <c r="I45" t="s">
        <v>52</v>
      </c>
      <c r="J45">
        <v>1.2600064655877091E-12</v>
      </c>
      <c r="K45" t="s">
        <v>25</v>
      </c>
      <c r="L45">
        <v>-2.2496411750162119E-11</v>
      </c>
      <c r="M45">
        <v>1.0831568056418091</v>
      </c>
      <c r="N45">
        <v>-19.338901946302968</v>
      </c>
    </row>
    <row r="46" spans="1:14" hidden="1" x14ac:dyDescent="0.35">
      <c r="A46" s="1">
        <v>44</v>
      </c>
      <c r="B46" t="s">
        <v>81</v>
      </c>
      <c r="C46" t="s">
        <v>16</v>
      </c>
      <c r="D46" t="s">
        <v>19</v>
      </c>
      <c r="E46" t="s">
        <v>21</v>
      </c>
      <c r="F46">
        <v>2050</v>
      </c>
      <c r="G46" t="s">
        <v>84</v>
      </c>
      <c r="H46">
        <v>3.9999967240072448E-12</v>
      </c>
      <c r="I46" t="s">
        <v>52</v>
      </c>
      <c r="J46">
        <v>4.466200465217901E-12</v>
      </c>
      <c r="K46" t="s">
        <v>25</v>
      </c>
      <c r="L46">
        <v>-7.9740451631288549E-11</v>
      </c>
      <c r="M46">
        <v>1.1165510307577471</v>
      </c>
      <c r="N46">
        <v>-19.93512923465687</v>
      </c>
    </row>
    <row r="47" spans="1:14" hidden="1" x14ac:dyDescent="0.35">
      <c r="A47" s="1">
        <v>45</v>
      </c>
      <c r="B47" t="s">
        <v>81</v>
      </c>
      <c r="C47" t="s">
        <v>16</v>
      </c>
      <c r="D47" t="s">
        <v>19</v>
      </c>
      <c r="E47" t="s">
        <v>21</v>
      </c>
      <c r="F47">
        <v>2050</v>
      </c>
      <c r="G47" t="s">
        <v>85</v>
      </c>
      <c r="H47">
        <v>9.5614323757045149E-12</v>
      </c>
      <c r="I47" t="s">
        <v>52</v>
      </c>
      <c r="J47">
        <v>1.1392548692658291E-11</v>
      </c>
      <c r="K47" t="s">
        <v>25</v>
      </c>
      <c r="L47">
        <v>-2.0340488185849851E-10</v>
      </c>
      <c r="M47">
        <v>1.191510669636342</v>
      </c>
      <c r="N47">
        <v>-21.273473875666149</v>
      </c>
    </row>
    <row r="48" spans="1:14" hidden="1" x14ac:dyDescent="0.35">
      <c r="A48" s="1">
        <v>46</v>
      </c>
      <c r="B48" t="s">
        <v>81</v>
      </c>
      <c r="C48" t="s">
        <v>16</v>
      </c>
      <c r="D48" t="s">
        <v>19</v>
      </c>
      <c r="E48" t="s">
        <v>21</v>
      </c>
      <c r="F48">
        <v>2050</v>
      </c>
      <c r="G48" t="s">
        <v>86</v>
      </c>
      <c r="H48">
        <v>1.419667036693738E-10</v>
      </c>
      <c r="I48" t="s">
        <v>52</v>
      </c>
      <c r="J48">
        <v>5.7009727360125371E-12</v>
      </c>
      <c r="K48" t="s">
        <v>25</v>
      </c>
      <c r="L48">
        <v>-1.0178632693441429E-10</v>
      </c>
      <c r="M48">
        <v>4.0157111411768281E-2</v>
      </c>
      <c r="N48">
        <v>-0.71697323600232643</v>
      </c>
    </row>
    <row r="49" spans="1:14" hidden="1" x14ac:dyDescent="0.35">
      <c r="A49" s="1">
        <v>47</v>
      </c>
      <c r="B49" t="s">
        <v>81</v>
      </c>
      <c r="C49" t="s">
        <v>16</v>
      </c>
      <c r="D49" t="s">
        <v>19</v>
      </c>
      <c r="E49" t="s">
        <v>21</v>
      </c>
      <c r="F49">
        <v>2050</v>
      </c>
      <c r="G49" t="s">
        <v>87</v>
      </c>
      <c r="H49">
        <v>3.199333899393131E-12</v>
      </c>
      <c r="I49" t="s">
        <v>52</v>
      </c>
      <c r="J49">
        <v>1.1411034312277379E-13</v>
      </c>
      <c r="K49" t="s">
        <v>25</v>
      </c>
      <c r="L49">
        <v>-2.0373492787156711E-12</v>
      </c>
      <c r="M49">
        <v>3.5666906522141668E-2</v>
      </c>
      <c r="N49">
        <v>-0.63680420449460673</v>
      </c>
    </row>
    <row r="50" spans="1:14" hidden="1" x14ac:dyDescent="0.35">
      <c r="A50" s="1">
        <v>48</v>
      </c>
      <c r="B50" t="s">
        <v>81</v>
      </c>
      <c r="C50" t="s">
        <v>16</v>
      </c>
      <c r="D50" t="s">
        <v>19</v>
      </c>
      <c r="E50" t="s">
        <v>21</v>
      </c>
      <c r="F50">
        <v>2050</v>
      </c>
      <c r="G50" t="s">
        <v>88</v>
      </c>
      <c r="H50">
        <v>2.2517477867171379E-5</v>
      </c>
      <c r="I50" t="s">
        <v>52</v>
      </c>
      <c r="J50">
        <v>7.4715976838474638E-7</v>
      </c>
      <c r="K50" t="s">
        <v>25</v>
      </c>
      <c r="L50">
        <v>-1.333994249378635E-5</v>
      </c>
      <c r="M50">
        <v>3.3181325759135898E-2</v>
      </c>
      <c r="N50">
        <v>-0.59242613992905824</v>
      </c>
    </row>
    <row r="51" spans="1:14" hidden="1" x14ac:dyDescent="0.35">
      <c r="A51" s="1">
        <v>49</v>
      </c>
      <c r="B51" t="s">
        <v>81</v>
      </c>
      <c r="C51" t="s">
        <v>16</v>
      </c>
      <c r="D51" t="s">
        <v>19</v>
      </c>
      <c r="E51" t="s">
        <v>21</v>
      </c>
      <c r="F51">
        <v>2050</v>
      </c>
      <c r="G51" t="s">
        <v>88</v>
      </c>
      <c r="H51">
        <v>1.5777510950620489E-5</v>
      </c>
      <c r="I51" t="s">
        <v>52</v>
      </c>
      <c r="J51">
        <v>5.233139931649589E-7</v>
      </c>
      <c r="K51" t="s">
        <v>25</v>
      </c>
      <c r="L51">
        <v>-9.3433544877638941E-6</v>
      </c>
      <c r="M51">
        <v>3.3168349228391958E-2</v>
      </c>
      <c r="N51">
        <v>-0.59219445430943862</v>
      </c>
    </row>
    <row r="52" spans="1:14" hidden="1" x14ac:dyDescent="0.35">
      <c r="A52" s="1">
        <v>50</v>
      </c>
      <c r="B52" t="s">
        <v>81</v>
      </c>
      <c r="C52" t="s">
        <v>16</v>
      </c>
      <c r="D52" t="s">
        <v>19</v>
      </c>
      <c r="E52" t="s">
        <v>21</v>
      </c>
      <c r="F52">
        <v>2050</v>
      </c>
      <c r="G52" t="s">
        <v>88</v>
      </c>
      <c r="H52">
        <v>1.5252001290762491E-5</v>
      </c>
      <c r="I52" t="s">
        <v>52</v>
      </c>
      <c r="J52">
        <v>5.0583258670492976E-7</v>
      </c>
      <c r="K52" t="s">
        <v>25</v>
      </c>
      <c r="L52">
        <v>-9.0312379007165999E-6</v>
      </c>
      <c r="M52">
        <v>3.3164997632887147E-2</v>
      </c>
      <c r="N52">
        <v>-0.59213461424150615</v>
      </c>
    </row>
    <row r="53" spans="1:14" hidden="1" x14ac:dyDescent="0.35">
      <c r="A53" s="1">
        <v>51</v>
      </c>
      <c r="B53" t="s">
        <v>81</v>
      </c>
      <c r="C53" t="s">
        <v>16</v>
      </c>
      <c r="D53" t="s">
        <v>19</v>
      </c>
      <c r="E53" t="s">
        <v>21</v>
      </c>
      <c r="F53">
        <v>2050</v>
      </c>
      <c r="G53" t="s">
        <v>88</v>
      </c>
      <c r="H53">
        <v>2.2987992330067502E-5</v>
      </c>
      <c r="I53" t="s">
        <v>52</v>
      </c>
      <c r="J53">
        <v>7.6274320674048112E-7</v>
      </c>
      <c r="K53" t="s">
        <v>25</v>
      </c>
      <c r="L53">
        <v>-1.361817237221031E-5</v>
      </c>
      <c r="M53">
        <v>3.3180070525029692E-2</v>
      </c>
      <c r="N53">
        <v>-0.59240372872398306</v>
      </c>
    </row>
    <row r="54" spans="1:14" hidden="1" x14ac:dyDescent="0.35">
      <c r="A54" s="1">
        <v>52</v>
      </c>
      <c r="B54" t="s">
        <v>81</v>
      </c>
      <c r="C54" t="s">
        <v>16</v>
      </c>
      <c r="D54" t="s">
        <v>19</v>
      </c>
      <c r="E54" t="s">
        <v>21</v>
      </c>
      <c r="F54">
        <v>2050</v>
      </c>
      <c r="G54" t="s">
        <v>88</v>
      </c>
      <c r="H54">
        <v>2.4197886663228948E-5</v>
      </c>
      <c r="I54" t="s">
        <v>52</v>
      </c>
      <c r="J54">
        <v>8.0292502039356887E-7</v>
      </c>
      <c r="K54" t="s">
        <v>25</v>
      </c>
      <c r="L54">
        <v>-1.4335586647054141E-5</v>
      </c>
      <c r="M54">
        <v>3.3181617534133338E-2</v>
      </c>
      <c r="N54">
        <v>-0.59243134933921604</v>
      </c>
    </row>
    <row r="55" spans="1:14" hidden="1" x14ac:dyDescent="0.35">
      <c r="A55" s="1">
        <v>53</v>
      </c>
      <c r="B55" t="s">
        <v>81</v>
      </c>
      <c r="C55" t="s">
        <v>16</v>
      </c>
      <c r="D55" t="s">
        <v>19</v>
      </c>
      <c r="E55" t="s">
        <v>21</v>
      </c>
      <c r="F55">
        <v>2050</v>
      </c>
      <c r="G55" t="s">
        <v>88</v>
      </c>
      <c r="H55">
        <v>1.099903939237679E-6</v>
      </c>
      <c r="I55" t="s">
        <v>52</v>
      </c>
      <c r="J55">
        <v>3.6485485607922731E-8</v>
      </c>
      <c r="K55" t="s">
        <v>25</v>
      </c>
      <c r="L55">
        <v>-6.514192820094769E-7</v>
      </c>
      <c r="M55">
        <v>3.3171520081299158E-2</v>
      </c>
      <c r="N55">
        <v>-0.59225106736226629</v>
      </c>
    </row>
    <row r="56" spans="1:14" hidden="1" x14ac:dyDescent="0.35">
      <c r="A56" s="1">
        <v>54</v>
      </c>
      <c r="B56" t="s">
        <v>81</v>
      </c>
      <c r="C56" t="s">
        <v>16</v>
      </c>
      <c r="D56" t="s">
        <v>19</v>
      </c>
      <c r="E56" t="s">
        <v>21</v>
      </c>
      <c r="F56">
        <v>2050</v>
      </c>
      <c r="G56" t="s">
        <v>88</v>
      </c>
      <c r="H56">
        <v>6.5425952652321305E-5</v>
      </c>
      <c r="I56" t="s">
        <v>52</v>
      </c>
      <c r="J56">
        <v>2.1708540320389198E-6</v>
      </c>
      <c r="K56" t="s">
        <v>25</v>
      </c>
      <c r="L56">
        <v>-3.8758869488394462E-5</v>
      </c>
      <c r="M56">
        <v>3.3180319797176061E-2</v>
      </c>
      <c r="N56">
        <v>-0.592408179279592</v>
      </c>
    </row>
    <row r="57" spans="1:14" hidden="1" x14ac:dyDescent="0.35">
      <c r="A57" s="1">
        <v>55</v>
      </c>
      <c r="B57" t="s">
        <v>81</v>
      </c>
      <c r="C57" t="s">
        <v>16</v>
      </c>
      <c r="D57" t="s">
        <v>19</v>
      </c>
      <c r="E57" t="s">
        <v>21</v>
      </c>
      <c r="F57">
        <v>2050</v>
      </c>
      <c r="G57" t="s">
        <v>88</v>
      </c>
      <c r="H57">
        <v>6.4203837164279436E-5</v>
      </c>
      <c r="I57" t="s">
        <v>52</v>
      </c>
      <c r="J57">
        <v>2.1303641285275172E-6</v>
      </c>
      <c r="K57" t="s">
        <v>25</v>
      </c>
      <c r="L57">
        <v>-3.8035954514547878E-5</v>
      </c>
      <c r="M57">
        <v>3.3181258669579487E-2</v>
      </c>
      <c r="N57">
        <v>-0.59242494209847063</v>
      </c>
    </row>
    <row r="58" spans="1:14" hidden="1" x14ac:dyDescent="0.35">
      <c r="A58" s="1">
        <v>56</v>
      </c>
      <c r="B58" t="s">
        <v>81</v>
      </c>
      <c r="C58" t="s">
        <v>16</v>
      </c>
      <c r="D58" t="s">
        <v>19</v>
      </c>
      <c r="E58" t="s">
        <v>21</v>
      </c>
      <c r="F58">
        <v>2050</v>
      </c>
      <c r="G58" t="s">
        <v>88</v>
      </c>
      <c r="H58">
        <v>2.9957183658463642E-6</v>
      </c>
      <c r="I58" t="s">
        <v>52</v>
      </c>
      <c r="J58">
        <v>9.9401527562977706E-8</v>
      </c>
      <c r="K58" t="s">
        <v>25</v>
      </c>
      <c r="L58">
        <v>-1.774735093608276E-6</v>
      </c>
      <c r="M58">
        <v>3.3181199106109671E-2</v>
      </c>
      <c r="N58">
        <v>-0.59242387864016388</v>
      </c>
    </row>
    <row r="59" spans="1:14" hidden="1" x14ac:dyDescent="0.35">
      <c r="A59" s="1">
        <v>57</v>
      </c>
      <c r="B59" t="s">
        <v>81</v>
      </c>
      <c r="C59" t="s">
        <v>16</v>
      </c>
      <c r="D59" t="s">
        <v>19</v>
      </c>
      <c r="E59" t="s">
        <v>21</v>
      </c>
      <c r="F59">
        <v>2050</v>
      </c>
      <c r="G59" t="s">
        <v>88</v>
      </c>
      <c r="H59">
        <v>1.062018359108382E-5</v>
      </c>
      <c r="I59" t="s">
        <v>52</v>
      </c>
      <c r="J59">
        <v>3.5229544593433948E-7</v>
      </c>
      <c r="K59" t="s">
        <v>25</v>
      </c>
      <c r="L59">
        <v>-6.2899545565023903E-6</v>
      </c>
      <c r="M59">
        <v>3.3172255725419798E-2</v>
      </c>
      <c r="N59">
        <v>-0.59226420170204275</v>
      </c>
    </row>
    <row r="60" spans="1:14" hidden="1" x14ac:dyDescent="0.35">
      <c r="A60" s="1">
        <v>58</v>
      </c>
      <c r="B60" t="s">
        <v>81</v>
      </c>
      <c r="C60" t="s">
        <v>16</v>
      </c>
      <c r="D60" t="s">
        <v>19</v>
      </c>
      <c r="E60" t="s">
        <v>21</v>
      </c>
      <c r="F60">
        <v>2050</v>
      </c>
      <c r="G60" t="s">
        <v>88</v>
      </c>
      <c r="H60">
        <v>1.660590754251029E-6</v>
      </c>
      <c r="I60" t="s">
        <v>52</v>
      </c>
      <c r="J60">
        <v>5.510007462781384E-8</v>
      </c>
      <c r="K60" t="s">
        <v>25</v>
      </c>
      <c r="L60">
        <v>-9.8376794099528062E-7</v>
      </c>
      <c r="M60">
        <v>3.318100771473069E-2</v>
      </c>
      <c r="N60">
        <v>-0.59242046149955019</v>
      </c>
    </row>
    <row r="61" spans="1:14" hidden="1" x14ac:dyDescent="0.35">
      <c r="A61" s="1">
        <v>59</v>
      </c>
      <c r="B61" t="s">
        <v>81</v>
      </c>
      <c r="C61" t="s">
        <v>16</v>
      </c>
      <c r="D61" t="s">
        <v>19</v>
      </c>
      <c r="E61" t="s">
        <v>21</v>
      </c>
      <c r="F61">
        <v>2050</v>
      </c>
      <c r="G61" t="s">
        <v>88</v>
      </c>
      <c r="H61">
        <v>2.0751520986950888E-5</v>
      </c>
      <c r="I61" t="s">
        <v>52</v>
      </c>
      <c r="J61">
        <v>6.883436107689931E-7</v>
      </c>
      <c r="K61" t="s">
        <v>25</v>
      </c>
      <c r="L61">
        <v>-1.2289826851189821E-5</v>
      </c>
      <c r="M61">
        <v>3.3170754625737653E-2</v>
      </c>
      <c r="N61">
        <v>-0.59223740076296039</v>
      </c>
    </row>
    <row r="62" spans="1:14" hidden="1" x14ac:dyDescent="0.35">
      <c r="A62" s="1">
        <v>60</v>
      </c>
      <c r="B62" t="s">
        <v>81</v>
      </c>
      <c r="C62" t="s">
        <v>16</v>
      </c>
      <c r="D62" t="s">
        <v>19</v>
      </c>
      <c r="E62" t="s">
        <v>21</v>
      </c>
      <c r="F62">
        <v>2050</v>
      </c>
      <c r="G62" t="s">
        <v>89</v>
      </c>
      <c r="H62">
        <v>5.1824088760177696E-10</v>
      </c>
      <c r="I62" t="s">
        <v>52</v>
      </c>
      <c r="J62">
        <v>4.7256962886107051E-12</v>
      </c>
      <c r="K62" t="s">
        <v>25</v>
      </c>
      <c r="L62">
        <v>-8.4373542849410954E-11</v>
      </c>
      <c r="M62">
        <v>9.1187252910117575E-3</v>
      </c>
      <c r="N62">
        <v>-0.16280757629885181</v>
      </c>
    </row>
    <row r="63" spans="1:14" hidden="1" x14ac:dyDescent="0.35">
      <c r="A63" s="1">
        <v>61</v>
      </c>
      <c r="B63" t="s">
        <v>81</v>
      </c>
      <c r="C63" t="s">
        <v>16</v>
      </c>
      <c r="D63" t="s">
        <v>19</v>
      </c>
      <c r="E63" t="s">
        <v>21</v>
      </c>
      <c r="F63">
        <v>2050</v>
      </c>
      <c r="G63" t="s">
        <v>90</v>
      </c>
      <c r="H63">
        <v>3.3912582163549069E-10</v>
      </c>
      <c r="I63" t="s">
        <v>52</v>
      </c>
      <c r="J63">
        <v>5.1235970850355243E-11</v>
      </c>
      <c r="K63" t="s">
        <v>25</v>
      </c>
      <c r="L63">
        <v>-9.1477744610720928E-10</v>
      </c>
      <c r="M63">
        <v>0.15108248202175009</v>
      </c>
      <c r="N63">
        <v>-2.6974573675798061</v>
      </c>
    </row>
    <row r="64" spans="1:14" hidden="1" x14ac:dyDescent="0.35">
      <c r="A64" s="1">
        <v>62</v>
      </c>
      <c r="B64" t="s">
        <v>81</v>
      </c>
      <c r="C64" t="s">
        <v>16</v>
      </c>
      <c r="D64" t="s">
        <v>19</v>
      </c>
      <c r="E64" t="s">
        <v>21</v>
      </c>
      <c r="F64">
        <v>2050</v>
      </c>
      <c r="G64" t="s">
        <v>91</v>
      </c>
      <c r="H64">
        <v>6.0296806661100373E-10</v>
      </c>
      <c r="I64" t="s">
        <v>52</v>
      </c>
      <c r="J64">
        <v>8.1251729604086389E-13</v>
      </c>
      <c r="K64" t="s">
        <v>25</v>
      </c>
      <c r="L64">
        <v>-1.450684908774483E-11</v>
      </c>
      <c r="M64">
        <v>1.3475295642232539E-3</v>
      </c>
      <c r="N64">
        <v>-2.4059066957361319E-2</v>
      </c>
    </row>
    <row r="65" spans="1:14" hidden="1" x14ac:dyDescent="0.35">
      <c r="A65" s="1">
        <v>63</v>
      </c>
      <c r="B65" t="s">
        <v>81</v>
      </c>
      <c r="C65" t="s">
        <v>16</v>
      </c>
      <c r="D65" t="s">
        <v>19</v>
      </c>
      <c r="E65" t="s">
        <v>21</v>
      </c>
      <c r="F65">
        <v>2050</v>
      </c>
      <c r="G65" t="s">
        <v>92</v>
      </c>
      <c r="H65">
        <v>2.467095678746179E-10</v>
      </c>
      <c r="I65" t="s">
        <v>52</v>
      </c>
      <c r="J65">
        <v>1.32090080599118E-10</v>
      </c>
      <c r="K65" t="s">
        <v>25</v>
      </c>
      <c r="L65">
        <v>-2.358363169099953E-9</v>
      </c>
      <c r="M65">
        <v>0.53540720668866992</v>
      </c>
      <c r="N65">
        <v>-9.5592691820469415</v>
      </c>
    </row>
    <row r="66" spans="1:14" hidden="1" x14ac:dyDescent="0.35">
      <c r="A66" s="1">
        <v>64</v>
      </c>
      <c r="B66" t="s">
        <v>81</v>
      </c>
      <c r="C66" t="s">
        <v>16</v>
      </c>
      <c r="D66" t="s">
        <v>19</v>
      </c>
      <c r="E66" t="s">
        <v>21</v>
      </c>
      <c r="F66">
        <v>2050</v>
      </c>
      <c r="G66" t="s">
        <v>93</v>
      </c>
      <c r="H66">
        <v>3.0922124459258052E-10</v>
      </c>
      <c r="I66" t="s">
        <v>52</v>
      </c>
      <c r="J66">
        <v>1.763770819259412E-10</v>
      </c>
      <c r="K66" t="s">
        <v>25</v>
      </c>
      <c r="L66">
        <v>-3.1490722997578529E-9</v>
      </c>
      <c r="M66">
        <v>0.57039121667830317</v>
      </c>
      <c r="N66">
        <v>-10.18388081293368</v>
      </c>
    </row>
    <row r="67" spans="1:14" hidden="1" x14ac:dyDescent="0.35">
      <c r="A67" s="1">
        <v>65</v>
      </c>
      <c r="B67" t="s">
        <v>81</v>
      </c>
      <c r="C67" t="s">
        <v>16</v>
      </c>
      <c r="D67" t="s">
        <v>19</v>
      </c>
      <c r="E67" t="s">
        <v>21</v>
      </c>
      <c r="F67">
        <v>2050</v>
      </c>
      <c r="G67" t="s">
        <v>39</v>
      </c>
      <c r="H67">
        <v>5.9915083787715486E-11</v>
      </c>
      <c r="I67" t="s">
        <v>52</v>
      </c>
      <c r="J67">
        <v>0</v>
      </c>
      <c r="K67" t="s">
        <v>25</v>
      </c>
      <c r="L67">
        <v>0</v>
      </c>
      <c r="M67">
        <v>0</v>
      </c>
      <c r="N67">
        <v>0</v>
      </c>
    </row>
    <row r="68" spans="1:14" hidden="1" x14ac:dyDescent="0.35">
      <c r="A68" s="1">
        <v>66</v>
      </c>
      <c r="B68" t="s">
        <v>81</v>
      </c>
      <c r="C68" t="s">
        <v>16</v>
      </c>
      <c r="D68" t="s">
        <v>19</v>
      </c>
      <c r="E68" t="s">
        <v>21</v>
      </c>
      <c r="F68">
        <v>2050</v>
      </c>
      <c r="G68" t="s">
        <v>94</v>
      </c>
      <c r="H68">
        <v>8.2523700029553228E-12</v>
      </c>
      <c r="I68" t="s">
        <v>52</v>
      </c>
      <c r="J68">
        <v>0</v>
      </c>
      <c r="K68" t="s">
        <v>25</v>
      </c>
      <c r="L68">
        <v>0</v>
      </c>
      <c r="M68">
        <v>0</v>
      </c>
      <c r="N68">
        <v>0</v>
      </c>
    </row>
    <row r="69" spans="1:14" hidden="1" x14ac:dyDescent="0.35">
      <c r="A69" s="1">
        <v>67</v>
      </c>
      <c r="B69" t="s">
        <v>81</v>
      </c>
      <c r="C69" t="s">
        <v>16</v>
      </c>
      <c r="D69" t="s">
        <v>19</v>
      </c>
      <c r="E69" t="s">
        <v>21</v>
      </c>
      <c r="F69">
        <v>2050</v>
      </c>
      <c r="G69" t="s">
        <v>39</v>
      </c>
      <c r="H69">
        <v>4.6219196353665747E-12</v>
      </c>
      <c r="I69" t="s">
        <v>52</v>
      </c>
      <c r="J69">
        <v>0</v>
      </c>
      <c r="K69" t="s">
        <v>25</v>
      </c>
      <c r="L69">
        <v>0</v>
      </c>
      <c r="M69">
        <v>0</v>
      </c>
      <c r="N69">
        <v>0</v>
      </c>
    </row>
    <row r="70" spans="1:14" hidden="1" x14ac:dyDescent="0.35">
      <c r="A70" s="1">
        <v>68</v>
      </c>
      <c r="B70" t="s">
        <v>81</v>
      </c>
      <c r="C70" t="s">
        <v>16</v>
      </c>
      <c r="D70" t="s">
        <v>19</v>
      </c>
      <c r="E70" t="s">
        <v>21</v>
      </c>
      <c r="F70">
        <v>2050</v>
      </c>
      <c r="G70" t="s">
        <v>39</v>
      </c>
      <c r="H70">
        <v>8.3905724351219131E-12</v>
      </c>
      <c r="I70" t="s">
        <v>52</v>
      </c>
      <c r="J70">
        <v>0</v>
      </c>
      <c r="K70" t="s">
        <v>25</v>
      </c>
      <c r="L70">
        <v>0</v>
      </c>
      <c r="M70">
        <v>0</v>
      </c>
      <c r="N70">
        <v>0</v>
      </c>
    </row>
    <row r="71" spans="1:14" hidden="1" x14ac:dyDescent="0.35">
      <c r="A71" s="1">
        <v>69</v>
      </c>
      <c r="B71" t="s">
        <v>81</v>
      </c>
      <c r="C71" t="s">
        <v>16</v>
      </c>
      <c r="D71" t="s">
        <v>19</v>
      </c>
      <c r="E71" t="s">
        <v>21</v>
      </c>
      <c r="F71">
        <v>2050</v>
      </c>
      <c r="G71" t="s">
        <v>39</v>
      </c>
      <c r="H71">
        <v>1.1025197280834919E-12</v>
      </c>
      <c r="I71" t="s">
        <v>52</v>
      </c>
      <c r="J71">
        <v>0</v>
      </c>
      <c r="K71" t="s">
        <v>25</v>
      </c>
      <c r="L71">
        <v>0</v>
      </c>
      <c r="M71">
        <v>0</v>
      </c>
      <c r="N71">
        <v>0</v>
      </c>
    </row>
    <row r="72" spans="1:14" hidden="1" x14ac:dyDescent="0.35">
      <c r="A72" s="1">
        <v>70</v>
      </c>
      <c r="B72" t="s">
        <v>81</v>
      </c>
      <c r="C72" t="s">
        <v>16</v>
      </c>
      <c r="D72" t="s">
        <v>19</v>
      </c>
      <c r="E72" t="s">
        <v>21</v>
      </c>
      <c r="F72">
        <v>2050</v>
      </c>
      <c r="G72" t="s">
        <v>39</v>
      </c>
      <c r="H72">
        <v>7.3377157578529849E-12</v>
      </c>
      <c r="I72" t="s">
        <v>52</v>
      </c>
      <c r="J72">
        <v>0</v>
      </c>
      <c r="K72" t="s">
        <v>25</v>
      </c>
      <c r="L72">
        <v>0</v>
      </c>
      <c r="M72">
        <v>0</v>
      </c>
      <c r="N72">
        <v>0</v>
      </c>
    </row>
    <row r="73" spans="1:14" hidden="1" x14ac:dyDescent="0.35">
      <c r="A73" s="1">
        <v>71</v>
      </c>
      <c r="B73" t="s">
        <v>81</v>
      </c>
      <c r="C73" t="s">
        <v>16</v>
      </c>
      <c r="D73" t="s">
        <v>19</v>
      </c>
      <c r="E73" t="s">
        <v>21</v>
      </c>
      <c r="F73">
        <v>2050</v>
      </c>
      <c r="G73" t="s">
        <v>39</v>
      </c>
      <c r="H73">
        <v>8.2812342624485499E-13</v>
      </c>
      <c r="I73" t="s">
        <v>52</v>
      </c>
      <c r="J73">
        <v>0</v>
      </c>
      <c r="K73" t="s">
        <v>25</v>
      </c>
      <c r="L73">
        <v>0</v>
      </c>
      <c r="M73">
        <v>0</v>
      </c>
      <c r="N73">
        <v>0</v>
      </c>
    </row>
    <row r="74" spans="1:14" hidden="1" x14ac:dyDescent="0.35">
      <c r="A74" s="1">
        <v>72</v>
      </c>
      <c r="B74" t="s">
        <v>81</v>
      </c>
      <c r="C74" t="s">
        <v>16</v>
      </c>
      <c r="D74" t="s">
        <v>19</v>
      </c>
      <c r="E74" t="s">
        <v>21</v>
      </c>
      <c r="F74">
        <v>2050</v>
      </c>
      <c r="G74" t="s">
        <v>39</v>
      </c>
      <c r="H74">
        <v>5.1262312792665374E-13</v>
      </c>
      <c r="I74" t="s">
        <v>52</v>
      </c>
      <c r="J74">
        <v>0</v>
      </c>
      <c r="K74" t="s">
        <v>25</v>
      </c>
      <c r="L74">
        <v>0</v>
      </c>
      <c r="M74">
        <v>0</v>
      </c>
      <c r="N74">
        <v>0</v>
      </c>
    </row>
    <row r="75" spans="1:14" hidden="1" x14ac:dyDescent="0.35">
      <c r="A75" s="1">
        <v>73</v>
      </c>
      <c r="B75" t="s">
        <v>81</v>
      </c>
      <c r="C75" t="s">
        <v>16</v>
      </c>
      <c r="D75" t="s">
        <v>19</v>
      </c>
      <c r="E75" t="s">
        <v>21</v>
      </c>
      <c r="F75">
        <v>2050</v>
      </c>
      <c r="G75" t="s">
        <v>39</v>
      </c>
      <c r="H75">
        <v>4.3678653191415916E-12</v>
      </c>
      <c r="I75" t="s">
        <v>52</v>
      </c>
      <c r="J75">
        <v>0</v>
      </c>
      <c r="K75" t="s">
        <v>25</v>
      </c>
      <c r="L75">
        <v>0</v>
      </c>
      <c r="M75">
        <v>0</v>
      </c>
      <c r="N75">
        <v>0</v>
      </c>
    </row>
    <row r="76" spans="1:14" hidden="1" x14ac:dyDescent="0.35">
      <c r="A76" s="1">
        <v>74</v>
      </c>
      <c r="B76" t="s">
        <v>81</v>
      </c>
      <c r="C76" t="s">
        <v>16</v>
      </c>
      <c r="D76" t="s">
        <v>19</v>
      </c>
      <c r="E76" t="s">
        <v>21</v>
      </c>
      <c r="F76">
        <v>2050</v>
      </c>
      <c r="G76" t="s">
        <v>39</v>
      </c>
      <c r="H76">
        <v>3.2082330826213381E-12</v>
      </c>
      <c r="I76" t="s">
        <v>52</v>
      </c>
      <c r="J76">
        <v>0</v>
      </c>
      <c r="K76" t="s">
        <v>25</v>
      </c>
      <c r="L76">
        <v>0</v>
      </c>
      <c r="M76">
        <v>0</v>
      </c>
      <c r="N76">
        <v>0</v>
      </c>
    </row>
    <row r="77" spans="1:14" hidden="1" x14ac:dyDescent="0.35">
      <c r="A77" s="1">
        <v>75</v>
      </c>
      <c r="B77" t="s">
        <v>81</v>
      </c>
      <c r="C77" t="s">
        <v>16</v>
      </c>
      <c r="D77" t="s">
        <v>19</v>
      </c>
      <c r="E77" t="s">
        <v>21</v>
      </c>
      <c r="F77">
        <v>2050</v>
      </c>
      <c r="G77" t="s">
        <v>39</v>
      </c>
      <c r="H77">
        <v>1.8820343507564719E-11</v>
      </c>
      <c r="I77" t="s">
        <v>52</v>
      </c>
      <c r="J77">
        <v>0</v>
      </c>
      <c r="K77" t="s">
        <v>25</v>
      </c>
      <c r="L77">
        <v>0</v>
      </c>
      <c r="M77">
        <v>0</v>
      </c>
      <c r="N77">
        <v>0</v>
      </c>
    </row>
    <row r="78" spans="1:14" hidden="1" x14ac:dyDescent="0.35">
      <c r="A78" s="1">
        <v>76</v>
      </c>
      <c r="B78" t="s">
        <v>81</v>
      </c>
      <c r="C78" t="s">
        <v>16</v>
      </c>
      <c r="D78" t="s">
        <v>19</v>
      </c>
      <c r="E78" t="s">
        <v>21</v>
      </c>
      <c r="F78">
        <v>2050</v>
      </c>
      <c r="G78" t="s">
        <v>39</v>
      </c>
      <c r="H78">
        <v>1.3903105768627559E-12</v>
      </c>
      <c r="I78" t="s">
        <v>52</v>
      </c>
      <c r="J78">
        <v>0</v>
      </c>
      <c r="K78" t="s">
        <v>25</v>
      </c>
      <c r="L78">
        <v>0</v>
      </c>
      <c r="M78">
        <v>0</v>
      </c>
      <c r="N78">
        <v>0</v>
      </c>
    </row>
    <row r="79" spans="1:14" hidden="1" x14ac:dyDescent="0.35">
      <c r="A79" s="1">
        <v>77</v>
      </c>
      <c r="B79" t="s">
        <v>81</v>
      </c>
      <c r="C79" t="s">
        <v>16</v>
      </c>
      <c r="D79" t="s">
        <v>19</v>
      </c>
      <c r="E79" t="s">
        <v>21</v>
      </c>
      <c r="F79">
        <v>2050</v>
      </c>
      <c r="G79" t="s">
        <v>39</v>
      </c>
      <c r="H79">
        <v>1.9738385860353402E-12</v>
      </c>
      <c r="I79" t="s">
        <v>52</v>
      </c>
      <c r="J79">
        <v>0</v>
      </c>
      <c r="K79" t="s">
        <v>25</v>
      </c>
      <c r="L79">
        <v>0</v>
      </c>
      <c r="M79">
        <v>0</v>
      </c>
      <c r="N79">
        <v>0</v>
      </c>
    </row>
    <row r="80" spans="1:14" hidden="1" x14ac:dyDescent="0.35">
      <c r="A80" s="1">
        <v>78</v>
      </c>
      <c r="B80" t="s">
        <v>81</v>
      </c>
      <c r="C80" t="s">
        <v>16</v>
      </c>
      <c r="D80" t="s">
        <v>19</v>
      </c>
      <c r="E80" t="s">
        <v>21</v>
      </c>
      <c r="F80">
        <v>2050</v>
      </c>
      <c r="G80" t="s">
        <v>95</v>
      </c>
      <c r="H80">
        <v>5.4266665735854444E-13</v>
      </c>
      <c r="I80" t="s">
        <v>52</v>
      </c>
      <c r="J80">
        <v>6.8885783111069137E-13</v>
      </c>
      <c r="K80" t="s">
        <v>25</v>
      </c>
      <c r="L80">
        <v>-1.229900784577444E-11</v>
      </c>
      <c r="M80">
        <v>1.2693940594466211</v>
      </c>
      <c r="N80">
        <v>-22.66401976056617</v>
      </c>
    </row>
    <row r="81" spans="1:14" hidden="1" x14ac:dyDescent="0.35">
      <c r="A81" s="1">
        <v>79</v>
      </c>
      <c r="B81" t="s">
        <v>81</v>
      </c>
      <c r="C81" t="s">
        <v>16</v>
      </c>
      <c r="D81" t="s">
        <v>19</v>
      </c>
      <c r="E81" t="s">
        <v>21</v>
      </c>
      <c r="F81">
        <v>2050</v>
      </c>
      <c r="G81" t="s">
        <v>96</v>
      </c>
      <c r="H81">
        <v>9.4054802525587279E-13</v>
      </c>
      <c r="I81" t="s">
        <v>52</v>
      </c>
      <c r="J81">
        <v>1.261094198105714E-12</v>
      </c>
      <c r="K81" t="s">
        <v>25</v>
      </c>
      <c r="L81">
        <v>-2.2515832347807771E-11</v>
      </c>
      <c r="M81">
        <v>1.3408078739654341</v>
      </c>
      <c r="N81">
        <v>-23.939056532155728</v>
      </c>
    </row>
    <row r="82" spans="1:14" hidden="1" x14ac:dyDescent="0.35">
      <c r="A82" s="1">
        <v>80</v>
      </c>
      <c r="B82" t="s">
        <v>81</v>
      </c>
      <c r="C82" t="s">
        <v>16</v>
      </c>
      <c r="D82" t="s">
        <v>19</v>
      </c>
      <c r="E82" t="s">
        <v>21</v>
      </c>
      <c r="F82">
        <v>2050</v>
      </c>
      <c r="G82" t="s">
        <v>95</v>
      </c>
      <c r="H82">
        <v>1.101018169481369E-11</v>
      </c>
      <c r="I82" t="s">
        <v>52</v>
      </c>
      <c r="J82">
        <v>1.5389617540897021E-11</v>
      </c>
      <c r="K82" t="s">
        <v>25</v>
      </c>
      <c r="L82">
        <v>-2.7476936216835401E-10</v>
      </c>
      <c r="M82">
        <v>1.3977623591939681</v>
      </c>
      <c r="N82">
        <v>-24.955933497244938</v>
      </c>
    </row>
    <row r="83" spans="1:14" hidden="1" x14ac:dyDescent="0.35">
      <c r="A83" s="1">
        <v>81</v>
      </c>
      <c r="B83" t="s">
        <v>81</v>
      </c>
      <c r="C83" t="s">
        <v>16</v>
      </c>
      <c r="D83" t="s">
        <v>19</v>
      </c>
      <c r="E83" t="s">
        <v>21</v>
      </c>
      <c r="F83">
        <v>2050</v>
      </c>
      <c r="G83" t="s">
        <v>96</v>
      </c>
      <c r="H83">
        <v>3.0559667403070007E-11</v>
      </c>
      <c r="I83" t="s">
        <v>52</v>
      </c>
      <c r="J83">
        <v>3.9767249094477252E-11</v>
      </c>
      <c r="K83" t="s">
        <v>25</v>
      </c>
      <c r="L83">
        <v>-7.1001255488267779E-10</v>
      </c>
      <c r="M83">
        <v>1.301298491569389</v>
      </c>
      <c r="N83">
        <v>-23.233647981762729</v>
      </c>
    </row>
    <row r="84" spans="1:14" hidden="1" x14ac:dyDescent="0.35">
      <c r="A84" s="1">
        <v>82</v>
      </c>
      <c r="B84" t="s">
        <v>81</v>
      </c>
      <c r="C84" t="s">
        <v>16</v>
      </c>
      <c r="D84" t="s">
        <v>19</v>
      </c>
      <c r="E84" t="s">
        <v>21</v>
      </c>
      <c r="F84">
        <v>2050</v>
      </c>
      <c r="G84" t="s">
        <v>96</v>
      </c>
      <c r="H84">
        <v>7.4935493042055075E-13</v>
      </c>
      <c r="I84" t="s">
        <v>52</v>
      </c>
      <c r="J84">
        <v>9.5974358448388033E-13</v>
      </c>
      <c r="K84" t="s">
        <v>25</v>
      </c>
      <c r="L84">
        <v>-1.7135457190733719E-11</v>
      </c>
      <c r="M84">
        <v>1.280759684793501</v>
      </c>
      <c r="N84">
        <v>-22.86694394753232</v>
      </c>
    </row>
    <row r="85" spans="1:14" hidden="1" x14ac:dyDescent="0.35">
      <c r="A85" s="1">
        <v>83</v>
      </c>
      <c r="B85" t="s">
        <v>81</v>
      </c>
      <c r="C85" t="s">
        <v>16</v>
      </c>
      <c r="D85" t="s">
        <v>19</v>
      </c>
      <c r="E85" t="s">
        <v>21</v>
      </c>
      <c r="F85">
        <v>2050</v>
      </c>
      <c r="G85" t="s">
        <v>96</v>
      </c>
      <c r="H85">
        <v>9.4285033498923764E-12</v>
      </c>
      <c r="I85" t="s">
        <v>52</v>
      </c>
      <c r="J85">
        <v>1.1311104103840399E-11</v>
      </c>
      <c r="K85" t="s">
        <v>25</v>
      </c>
      <c r="L85">
        <v>-2.0195075360208879E-10</v>
      </c>
      <c r="M85">
        <v>1.1996712186531191</v>
      </c>
      <c r="N85">
        <v>-21.41917397785026</v>
      </c>
    </row>
    <row r="86" spans="1:14" hidden="1" x14ac:dyDescent="0.35">
      <c r="A86" s="1">
        <v>84</v>
      </c>
      <c r="B86" t="s">
        <v>81</v>
      </c>
      <c r="C86" t="s">
        <v>16</v>
      </c>
      <c r="D86" t="s">
        <v>19</v>
      </c>
      <c r="E86" t="s">
        <v>21</v>
      </c>
      <c r="F86">
        <v>2050</v>
      </c>
      <c r="G86" t="s">
        <v>96</v>
      </c>
      <c r="H86">
        <v>1.603959633932251E-12</v>
      </c>
      <c r="I86" t="s">
        <v>52</v>
      </c>
      <c r="J86">
        <v>1.4696206875881429E-12</v>
      </c>
      <c r="K86" t="s">
        <v>25</v>
      </c>
      <c r="L86">
        <v>-2.6238906709989302E-11</v>
      </c>
      <c r="M86">
        <v>0.91624543192850549</v>
      </c>
      <c r="N86">
        <v>-16.358832326510779</v>
      </c>
    </row>
    <row r="87" spans="1:14" x14ac:dyDescent="0.35">
      <c r="A87" s="1">
        <v>85</v>
      </c>
      <c r="B87" t="s">
        <v>81</v>
      </c>
      <c r="C87" t="s">
        <v>16</v>
      </c>
      <c r="D87" t="s">
        <v>19</v>
      </c>
      <c r="E87" t="s">
        <v>21</v>
      </c>
      <c r="F87">
        <v>2050</v>
      </c>
      <c r="G87" t="s">
        <v>97</v>
      </c>
      <c r="H87">
        <v>9.8636672992688713E-9</v>
      </c>
      <c r="I87" t="s">
        <v>52</v>
      </c>
      <c r="J87">
        <v>-7.6129788886381631E-9</v>
      </c>
      <c r="K87" t="s">
        <v>25</v>
      </c>
      <c r="L87">
        <v>1.359236737283028E-7</v>
      </c>
      <c r="M87">
        <v>-0.77182032378590704</v>
      </c>
      <c r="N87">
        <v>13.78023706642842</v>
      </c>
    </row>
    <row r="88" spans="1:14" hidden="1" x14ac:dyDescent="0.35">
      <c r="A88" s="1">
        <v>86</v>
      </c>
      <c r="B88" t="s">
        <v>81</v>
      </c>
      <c r="C88" t="s">
        <v>16</v>
      </c>
      <c r="D88" t="s">
        <v>19</v>
      </c>
      <c r="E88" t="s">
        <v>21</v>
      </c>
      <c r="F88">
        <v>2050</v>
      </c>
      <c r="G88" t="s">
        <v>98</v>
      </c>
      <c r="H88">
        <v>1.498850927505207E-2</v>
      </c>
      <c r="I88" t="s">
        <v>52</v>
      </c>
      <c r="J88">
        <v>1.8510872116435121E-4</v>
      </c>
      <c r="K88" t="s">
        <v>25</v>
      </c>
      <c r="L88">
        <v>-3.3049687629315731E-3</v>
      </c>
      <c r="M88">
        <v>1.23500421401119E-2</v>
      </c>
      <c r="N88">
        <v>-0.22050016464496541</v>
      </c>
    </row>
    <row r="89" spans="1:14" hidden="1" x14ac:dyDescent="0.35">
      <c r="A89" s="1">
        <v>87</v>
      </c>
      <c r="B89" t="s">
        <v>81</v>
      </c>
      <c r="C89" t="s">
        <v>16</v>
      </c>
      <c r="D89" t="s">
        <v>19</v>
      </c>
      <c r="E89" t="s">
        <v>21</v>
      </c>
      <c r="F89">
        <v>2050</v>
      </c>
      <c r="G89" t="s">
        <v>98</v>
      </c>
      <c r="H89">
        <v>1.498850927505207E-2</v>
      </c>
      <c r="I89" t="s">
        <v>52</v>
      </c>
      <c r="J89">
        <v>2.1771502769983171E-4</v>
      </c>
      <c r="K89" t="s">
        <v>25</v>
      </c>
      <c r="L89">
        <v>-3.887128392669689E-3</v>
      </c>
      <c r="M89">
        <v>1.452546238619019E-2</v>
      </c>
      <c r="N89">
        <v>-0.25934056024768909</v>
      </c>
    </row>
    <row r="90" spans="1:14" hidden="1" x14ac:dyDescent="0.35">
      <c r="A90" s="1">
        <v>88</v>
      </c>
      <c r="B90" t="s">
        <v>81</v>
      </c>
      <c r="C90" t="s">
        <v>16</v>
      </c>
      <c r="D90" t="s">
        <v>19</v>
      </c>
      <c r="E90" t="s">
        <v>21</v>
      </c>
      <c r="F90">
        <v>2050</v>
      </c>
      <c r="G90" t="s">
        <v>98</v>
      </c>
      <c r="H90">
        <v>1.498850927505207E-2</v>
      </c>
      <c r="I90" t="s">
        <v>52</v>
      </c>
      <c r="J90">
        <v>2.0677038420058701E-4</v>
      </c>
      <c r="K90" t="s">
        <v>25</v>
      </c>
      <c r="L90">
        <v>-3.6917205012483531E-3</v>
      </c>
      <c r="M90">
        <v>1.379526011601101E-2</v>
      </c>
      <c r="N90">
        <v>-0.2463033803764002</v>
      </c>
    </row>
    <row r="91" spans="1:14" hidden="1" x14ac:dyDescent="0.35">
      <c r="A91" s="1">
        <v>89</v>
      </c>
      <c r="B91" t="s">
        <v>81</v>
      </c>
      <c r="C91" t="s">
        <v>16</v>
      </c>
      <c r="D91" t="s">
        <v>19</v>
      </c>
      <c r="E91" t="s">
        <v>21</v>
      </c>
      <c r="F91">
        <v>2050</v>
      </c>
      <c r="G91" t="s">
        <v>98</v>
      </c>
      <c r="H91">
        <v>1.498850927505207E-2</v>
      </c>
      <c r="I91" t="s">
        <v>52</v>
      </c>
      <c r="J91">
        <v>2.1362788568007879E-4</v>
      </c>
      <c r="K91" t="s">
        <v>25</v>
      </c>
      <c r="L91">
        <v>-3.814155727632718E-3</v>
      </c>
      <c r="M91">
        <v>1.4252777361632361E-2</v>
      </c>
      <c r="N91">
        <v>-0.25447198634898699</v>
      </c>
    </row>
    <row r="92" spans="1:14" hidden="1" x14ac:dyDescent="0.35">
      <c r="A92" s="1">
        <v>90</v>
      </c>
      <c r="B92" t="s">
        <v>81</v>
      </c>
      <c r="C92" t="s">
        <v>16</v>
      </c>
      <c r="D92" t="s">
        <v>19</v>
      </c>
      <c r="E92" t="s">
        <v>21</v>
      </c>
      <c r="F92">
        <v>2050</v>
      </c>
      <c r="G92" t="s">
        <v>98</v>
      </c>
      <c r="H92">
        <v>1.498850927505207E-2</v>
      </c>
      <c r="I92" t="s">
        <v>52</v>
      </c>
      <c r="J92">
        <v>2.1206174653975429E-4</v>
      </c>
      <c r="K92" t="s">
        <v>25</v>
      </c>
      <c r="L92">
        <v>-3.786193560833556E-3</v>
      </c>
      <c r="M92">
        <v>1.414828804174173E-2</v>
      </c>
      <c r="N92">
        <v>-0.25260641277618989</v>
      </c>
    </row>
    <row r="93" spans="1:14" hidden="1" x14ac:dyDescent="0.35">
      <c r="A93" s="1">
        <v>91</v>
      </c>
      <c r="B93" t="s">
        <v>81</v>
      </c>
      <c r="C93" t="s">
        <v>16</v>
      </c>
      <c r="D93" t="s">
        <v>19</v>
      </c>
      <c r="E93" t="s">
        <v>21</v>
      </c>
      <c r="F93">
        <v>2050</v>
      </c>
      <c r="G93" t="s">
        <v>98</v>
      </c>
      <c r="H93">
        <v>1.498850927505207E-2</v>
      </c>
      <c r="I93" t="s">
        <v>52</v>
      </c>
      <c r="J93">
        <v>2.1735171995332299E-4</v>
      </c>
      <c r="K93" t="s">
        <v>25</v>
      </c>
      <c r="L93">
        <v>-3.880641822258583E-3</v>
      </c>
      <c r="M93">
        <v>1.450122330144589E-2</v>
      </c>
      <c r="N93">
        <v>-0.25890779069789122</v>
      </c>
    </row>
    <row r="94" spans="1:14" hidden="1" x14ac:dyDescent="0.35">
      <c r="A94" s="1">
        <v>92</v>
      </c>
      <c r="B94" t="s">
        <v>81</v>
      </c>
      <c r="C94" t="s">
        <v>16</v>
      </c>
      <c r="D94" t="s">
        <v>19</v>
      </c>
      <c r="E94" t="s">
        <v>21</v>
      </c>
      <c r="F94">
        <v>2050</v>
      </c>
      <c r="G94" t="s">
        <v>98</v>
      </c>
      <c r="H94">
        <v>1.498850927505207E-2</v>
      </c>
      <c r="I94" t="s">
        <v>52</v>
      </c>
      <c r="J94">
        <v>1.5456698248231219E-4</v>
      </c>
      <c r="K94" t="s">
        <v>25</v>
      </c>
      <c r="L94">
        <v>-2.759670347628185E-3</v>
      </c>
      <c r="M94">
        <v>1.031236526901207E-2</v>
      </c>
      <c r="N94">
        <v>-0.18411906727919719</v>
      </c>
    </row>
    <row r="95" spans="1:14" hidden="1" x14ac:dyDescent="0.35">
      <c r="A95" s="1">
        <v>93</v>
      </c>
      <c r="B95" t="s">
        <v>81</v>
      </c>
      <c r="C95" t="s">
        <v>16</v>
      </c>
      <c r="D95" t="s">
        <v>19</v>
      </c>
      <c r="E95" t="s">
        <v>21</v>
      </c>
      <c r="F95">
        <v>2050</v>
      </c>
      <c r="G95" t="s">
        <v>98</v>
      </c>
      <c r="H95">
        <v>1.498850927505207E-2</v>
      </c>
      <c r="I95" t="s">
        <v>52</v>
      </c>
      <c r="J95">
        <v>2.5680725751607358E-4</v>
      </c>
      <c r="K95" t="s">
        <v>25</v>
      </c>
      <c r="L95">
        <v>-4.5850890160447008E-3</v>
      </c>
      <c r="M95">
        <v>1.7133609006969201E-2</v>
      </c>
      <c r="N95">
        <v>-0.30590694057056389</v>
      </c>
    </row>
    <row r="96" spans="1:14" hidden="1" x14ac:dyDescent="0.35">
      <c r="A96" s="1">
        <v>94</v>
      </c>
      <c r="B96" t="s">
        <v>81</v>
      </c>
      <c r="C96" t="s">
        <v>16</v>
      </c>
      <c r="D96" t="s">
        <v>19</v>
      </c>
      <c r="E96" t="s">
        <v>21</v>
      </c>
      <c r="F96">
        <v>2050</v>
      </c>
      <c r="G96" t="s">
        <v>98</v>
      </c>
      <c r="H96">
        <v>1.498850927505207E-2</v>
      </c>
      <c r="I96" t="s">
        <v>52</v>
      </c>
      <c r="J96">
        <v>1.6201086079192559E-4</v>
      </c>
      <c r="K96" t="s">
        <v>25</v>
      </c>
      <c r="L96">
        <v>-2.8925748652197311E-3</v>
      </c>
      <c r="M96">
        <v>1.0809004272465429E-2</v>
      </c>
      <c r="N96">
        <v>-0.19298616107435951</v>
      </c>
    </row>
    <row r="97" spans="1:14" hidden="1" x14ac:dyDescent="0.35">
      <c r="A97" s="1">
        <v>95</v>
      </c>
      <c r="B97" t="s">
        <v>81</v>
      </c>
      <c r="C97" t="s">
        <v>16</v>
      </c>
      <c r="D97" t="s">
        <v>19</v>
      </c>
      <c r="E97" t="s">
        <v>21</v>
      </c>
      <c r="F97">
        <v>2050</v>
      </c>
      <c r="G97" t="s">
        <v>98</v>
      </c>
      <c r="H97">
        <v>1.498850927505207E-2</v>
      </c>
      <c r="I97" t="s">
        <v>52</v>
      </c>
      <c r="J97">
        <v>2.2522677783749681E-4</v>
      </c>
      <c r="K97" t="s">
        <v>25</v>
      </c>
      <c r="L97">
        <v>-4.0212447076859196E-3</v>
      </c>
      <c r="M97">
        <v>1.502662964704435E-2</v>
      </c>
      <c r="N97">
        <v>-0.26828850247163422</v>
      </c>
    </row>
    <row r="98" spans="1:14" hidden="1" x14ac:dyDescent="0.35">
      <c r="A98" s="1">
        <v>96</v>
      </c>
      <c r="B98" t="s">
        <v>81</v>
      </c>
      <c r="C98" t="s">
        <v>16</v>
      </c>
      <c r="D98" t="s">
        <v>19</v>
      </c>
      <c r="E98" t="s">
        <v>21</v>
      </c>
      <c r="F98">
        <v>2050</v>
      </c>
      <c r="G98" t="s">
        <v>98</v>
      </c>
      <c r="H98">
        <v>1.498850927505207E-2</v>
      </c>
      <c r="I98" t="s">
        <v>52</v>
      </c>
      <c r="J98">
        <v>2.2132427532800709E-4</v>
      </c>
      <c r="K98" t="s">
        <v>25</v>
      </c>
      <c r="L98">
        <v>-3.9515686340250043E-3</v>
      </c>
      <c r="M98">
        <v>1.476626335991897E-2</v>
      </c>
      <c r="N98">
        <v>-0.26363986981695853</v>
      </c>
    </row>
    <row r="99" spans="1:14" hidden="1" x14ac:dyDescent="0.35">
      <c r="A99" s="1">
        <v>97</v>
      </c>
      <c r="B99" t="s">
        <v>81</v>
      </c>
      <c r="C99" t="s">
        <v>16</v>
      </c>
      <c r="D99" t="s">
        <v>19</v>
      </c>
      <c r="E99" t="s">
        <v>21</v>
      </c>
      <c r="F99">
        <v>2050</v>
      </c>
      <c r="G99" t="s">
        <v>98</v>
      </c>
      <c r="H99">
        <v>1.498850927505207E-2</v>
      </c>
      <c r="I99" t="s">
        <v>52</v>
      </c>
      <c r="J99">
        <v>2.2877189579096781E-4</v>
      </c>
      <c r="K99" t="s">
        <v>25</v>
      </c>
      <c r="L99">
        <v>-4.0845399647836522E-3</v>
      </c>
      <c r="M99">
        <v>1.526315203152003E-2</v>
      </c>
      <c r="N99">
        <v>-0.27251142123801769</v>
      </c>
    </row>
    <row r="100" spans="1:14" hidden="1" x14ac:dyDescent="0.35">
      <c r="A100" s="1">
        <v>98</v>
      </c>
      <c r="B100" t="s">
        <v>81</v>
      </c>
      <c r="C100" t="s">
        <v>16</v>
      </c>
      <c r="D100" t="s">
        <v>19</v>
      </c>
      <c r="E100" t="s">
        <v>21</v>
      </c>
      <c r="F100">
        <v>2050</v>
      </c>
      <c r="G100" t="s">
        <v>98</v>
      </c>
      <c r="H100">
        <v>1.498850927505207E-2</v>
      </c>
      <c r="I100" t="s">
        <v>52</v>
      </c>
      <c r="J100">
        <v>1.486786437456531E-4</v>
      </c>
      <c r="K100" t="s">
        <v>25</v>
      </c>
      <c r="L100">
        <v>-2.654538750003781E-3</v>
      </c>
      <c r="M100">
        <v>9.9195084058909221E-3</v>
      </c>
      <c r="N100">
        <v>-0.1771049209291401</v>
      </c>
    </row>
    <row r="101" spans="1:14" hidden="1" x14ac:dyDescent="0.35">
      <c r="A101" s="1">
        <v>99</v>
      </c>
      <c r="B101" t="s">
        <v>81</v>
      </c>
      <c r="C101" t="s">
        <v>16</v>
      </c>
      <c r="D101" t="s">
        <v>19</v>
      </c>
      <c r="E101" t="s">
        <v>21</v>
      </c>
      <c r="F101">
        <v>2050</v>
      </c>
      <c r="G101" t="s">
        <v>98</v>
      </c>
      <c r="H101">
        <v>1.498850927505207E-2</v>
      </c>
      <c r="I101" t="s">
        <v>52</v>
      </c>
      <c r="J101">
        <v>1.5354167906158581E-4</v>
      </c>
      <c r="K101" t="s">
        <v>25</v>
      </c>
      <c r="L101">
        <v>-2.7413643717848352E-3</v>
      </c>
      <c r="M101">
        <v>1.024395930535609E-2</v>
      </c>
      <c r="N101">
        <v>-0.18289773328877701</v>
      </c>
    </row>
    <row r="102" spans="1:14" hidden="1" x14ac:dyDescent="0.35">
      <c r="A102" s="1">
        <v>100</v>
      </c>
      <c r="B102" t="s">
        <v>81</v>
      </c>
      <c r="C102" t="s">
        <v>16</v>
      </c>
      <c r="D102" t="s">
        <v>19</v>
      </c>
      <c r="E102" t="s">
        <v>21</v>
      </c>
      <c r="F102">
        <v>2050</v>
      </c>
      <c r="G102" t="s">
        <v>98</v>
      </c>
      <c r="H102">
        <v>1.498850927505207E-2</v>
      </c>
      <c r="I102" t="s">
        <v>52</v>
      </c>
      <c r="J102">
        <v>2.0944215507800161E-4</v>
      </c>
      <c r="K102" t="s">
        <v>25</v>
      </c>
      <c r="L102">
        <v>-3.7394228419917988E-3</v>
      </c>
      <c r="M102">
        <v>1.3973514726151701E-2</v>
      </c>
      <c r="N102">
        <v>-0.24948597444683551</v>
      </c>
    </row>
    <row r="103" spans="1:14" hidden="1" x14ac:dyDescent="0.35">
      <c r="A103" s="1">
        <v>101</v>
      </c>
      <c r="B103" t="s">
        <v>81</v>
      </c>
      <c r="C103" t="s">
        <v>16</v>
      </c>
      <c r="D103" t="s">
        <v>19</v>
      </c>
      <c r="E103" t="s">
        <v>21</v>
      </c>
      <c r="F103">
        <v>2050</v>
      </c>
      <c r="G103" t="s">
        <v>98</v>
      </c>
      <c r="H103">
        <v>1.498850927505207E-2</v>
      </c>
      <c r="I103" t="s">
        <v>52</v>
      </c>
      <c r="J103">
        <v>2.0126663823453881E-4</v>
      </c>
      <c r="K103" t="s">
        <v>25</v>
      </c>
      <c r="L103">
        <v>-3.5934555011852289E-3</v>
      </c>
      <c r="M103">
        <v>1.342806242709815E-2</v>
      </c>
      <c r="N103">
        <v>-0.23974735814230891</v>
      </c>
    </row>
    <row r="104" spans="1:14" hidden="1" x14ac:dyDescent="0.35">
      <c r="A104" s="1">
        <v>102</v>
      </c>
      <c r="B104" t="s">
        <v>81</v>
      </c>
      <c r="C104" t="s">
        <v>16</v>
      </c>
      <c r="D104" t="s">
        <v>19</v>
      </c>
      <c r="E104" t="s">
        <v>21</v>
      </c>
      <c r="F104">
        <v>2050</v>
      </c>
      <c r="G104" t="s">
        <v>99</v>
      </c>
      <c r="H104">
        <v>1.7677995280867011E-9</v>
      </c>
      <c r="I104" t="s">
        <v>52</v>
      </c>
      <c r="J104">
        <v>7.5298426113152541E-11</v>
      </c>
      <c r="K104" t="s">
        <v>25</v>
      </c>
      <c r="L104">
        <v>-1.3443934172119719E-9</v>
      </c>
      <c r="M104">
        <v>4.2594437274597788E-2</v>
      </c>
      <c r="N104">
        <v>-0.76048974776399958</v>
      </c>
    </row>
    <row r="105" spans="1:14" hidden="1" x14ac:dyDescent="0.35">
      <c r="A105" s="1">
        <v>103</v>
      </c>
      <c r="B105" t="s">
        <v>81</v>
      </c>
      <c r="C105" t="s">
        <v>16</v>
      </c>
      <c r="D105" t="s">
        <v>19</v>
      </c>
      <c r="E105" t="s">
        <v>21</v>
      </c>
      <c r="F105">
        <v>2050</v>
      </c>
      <c r="G105" t="s">
        <v>33</v>
      </c>
      <c r="H105">
        <v>1.9632855225072281E-4</v>
      </c>
      <c r="I105" t="s">
        <v>52</v>
      </c>
      <c r="J105">
        <v>4.0114600793502112E-7</v>
      </c>
      <c r="K105" t="s">
        <v>25</v>
      </c>
      <c r="L105">
        <v>-7.1621424277618954E-6</v>
      </c>
      <c r="M105">
        <v>2.043238252084367E-3</v>
      </c>
      <c r="N105">
        <v>-3.6480391393175597E-2</v>
      </c>
    </row>
    <row r="106" spans="1:14" hidden="1" x14ac:dyDescent="0.35">
      <c r="A106" s="1">
        <v>104</v>
      </c>
      <c r="B106" t="s">
        <v>81</v>
      </c>
      <c r="C106" t="s">
        <v>16</v>
      </c>
      <c r="D106" t="s">
        <v>19</v>
      </c>
      <c r="E106" t="s">
        <v>21</v>
      </c>
      <c r="F106">
        <v>2050</v>
      </c>
      <c r="G106" t="s">
        <v>33</v>
      </c>
      <c r="H106">
        <v>7.5087182516228785E-4</v>
      </c>
      <c r="I106" t="s">
        <v>52</v>
      </c>
      <c r="J106">
        <v>1.4261073740662931E-6</v>
      </c>
      <c r="K106" t="s">
        <v>25</v>
      </c>
      <c r="L106">
        <v>-2.5462011158786841E-5</v>
      </c>
      <c r="M106">
        <v>1.8992687250691091E-3</v>
      </c>
      <c r="N106">
        <v>-3.3909930171216213E-2</v>
      </c>
    </row>
    <row r="107" spans="1:14" hidden="1" x14ac:dyDescent="0.35">
      <c r="A107" s="1">
        <v>105</v>
      </c>
      <c r="B107" t="s">
        <v>81</v>
      </c>
      <c r="C107" t="s">
        <v>16</v>
      </c>
      <c r="D107" t="s">
        <v>19</v>
      </c>
      <c r="E107" t="s">
        <v>21</v>
      </c>
      <c r="F107">
        <v>2050</v>
      </c>
      <c r="G107" t="s">
        <v>33</v>
      </c>
      <c r="H107">
        <v>2.0482135444192672E-3</v>
      </c>
      <c r="I107" t="s">
        <v>52</v>
      </c>
      <c r="J107">
        <v>4.1849882623947577E-6</v>
      </c>
      <c r="K107" t="s">
        <v>25</v>
      </c>
      <c r="L107">
        <v>-7.4719631757218493E-5</v>
      </c>
      <c r="M107">
        <v>2.0432382520843709E-3</v>
      </c>
      <c r="N107">
        <v>-3.6480391393175687E-2</v>
      </c>
    </row>
    <row r="108" spans="1:14" hidden="1" x14ac:dyDescent="0.35">
      <c r="A108" s="1">
        <v>106</v>
      </c>
      <c r="B108" t="s">
        <v>81</v>
      </c>
      <c r="C108" t="s">
        <v>16</v>
      </c>
      <c r="D108" t="s">
        <v>19</v>
      </c>
      <c r="E108" t="s">
        <v>21</v>
      </c>
      <c r="F108">
        <v>2050</v>
      </c>
      <c r="G108" t="s">
        <v>33</v>
      </c>
      <c r="H108">
        <v>4.222083260899624E-5</v>
      </c>
      <c r="I108" t="s">
        <v>52</v>
      </c>
      <c r="J108">
        <v>8.6267220221552166E-8</v>
      </c>
      <c r="K108" t="s">
        <v>25</v>
      </c>
      <c r="L108">
        <v>-1.540232498521935E-6</v>
      </c>
      <c r="M108">
        <v>2.0432382520843679E-3</v>
      </c>
      <c r="N108">
        <v>-3.6480391393175618E-2</v>
      </c>
    </row>
    <row r="109" spans="1:14" hidden="1" x14ac:dyDescent="0.35">
      <c r="A109" s="1">
        <v>107</v>
      </c>
      <c r="B109" t="s">
        <v>81</v>
      </c>
      <c r="C109" t="s">
        <v>16</v>
      </c>
      <c r="D109" t="s">
        <v>19</v>
      </c>
      <c r="E109" t="s">
        <v>21</v>
      </c>
      <c r="F109">
        <v>2050</v>
      </c>
      <c r="G109" t="s">
        <v>33</v>
      </c>
      <c r="H109">
        <v>4.2485227427329779E-4</v>
      </c>
      <c r="I109" t="s">
        <v>52</v>
      </c>
      <c r="J109">
        <v>8.6807441828024387E-7</v>
      </c>
      <c r="K109" t="s">
        <v>25</v>
      </c>
      <c r="L109">
        <v>-1.549877724977075E-5</v>
      </c>
      <c r="M109">
        <v>2.0432382520843739E-3</v>
      </c>
      <c r="N109">
        <v>-3.6480391393175729E-2</v>
      </c>
    </row>
    <row r="110" spans="1:14" hidden="1" x14ac:dyDescent="0.35">
      <c r="A110" s="1">
        <v>108</v>
      </c>
      <c r="B110" t="s">
        <v>81</v>
      </c>
      <c r="C110" t="s">
        <v>16</v>
      </c>
      <c r="D110" t="s">
        <v>19</v>
      </c>
      <c r="E110" t="s">
        <v>21</v>
      </c>
      <c r="F110">
        <v>2050</v>
      </c>
      <c r="G110" t="s">
        <v>33</v>
      </c>
      <c r="H110">
        <v>7.421627097237021E-4</v>
      </c>
      <c r="I110" t="s">
        <v>52</v>
      </c>
      <c r="J110">
        <v>1.5164152377780581E-6</v>
      </c>
      <c r="K110" t="s">
        <v>25</v>
      </c>
      <c r="L110">
        <v>-2.7074386128140491E-5</v>
      </c>
      <c r="M110">
        <v>2.0432382520843709E-3</v>
      </c>
      <c r="N110">
        <v>-3.6480391393175687E-2</v>
      </c>
    </row>
    <row r="111" spans="1:14" hidden="1" x14ac:dyDescent="0.35">
      <c r="A111" s="1">
        <v>109</v>
      </c>
      <c r="B111" t="s">
        <v>81</v>
      </c>
      <c r="C111" t="s">
        <v>16</v>
      </c>
      <c r="D111" t="s">
        <v>19</v>
      </c>
      <c r="E111" t="s">
        <v>21</v>
      </c>
      <c r="F111">
        <v>2050</v>
      </c>
      <c r="G111" t="s">
        <v>33</v>
      </c>
      <c r="H111">
        <v>2.0417444778694331E-3</v>
      </c>
      <c r="I111" t="s">
        <v>52</v>
      </c>
      <c r="J111">
        <v>4.17177041816485E-6</v>
      </c>
      <c r="K111" t="s">
        <v>25</v>
      </c>
      <c r="L111">
        <v>-7.4483637677531911E-5</v>
      </c>
      <c r="M111">
        <v>2.043238252084367E-3</v>
      </c>
      <c r="N111">
        <v>-3.6480391393175618E-2</v>
      </c>
    </row>
    <row r="112" spans="1:14" hidden="1" x14ac:dyDescent="0.35">
      <c r="A112" s="1">
        <v>110</v>
      </c>
      <c r="B112" t="s">
        <v>81</v>
      </c>
      <c r="C112" t="s">
        <v>16</v>
      </c>
      <c r="D112" t="s">
        <v>19</v>
      </c>
      <c r="E112" t="s">
        <v>21</v>
      </c>
      <c r="F112">
        <v>2050</v>
      </c>
      <c r="G112" t="s">
        <v>33</v>
      </c>
      <c r="H112">
        <v>2.6300905312285358E-4</v>
      </c>
      <c r="I112" t="s">
        <v>52</v>
      </c>
      <c r="J112">
        <v>5.3739015798510526E-7</v>
      </c>
      <c r="K112" t="s">
        <v>25</v>
      </c>
      <c r="L112">
        <v>-9.5946731978702415E-6</v>
      </c>
      <c r="M112">
        <v>2.0432382520843722E-3</v>
      </c>
      <c r="N112">
        <v>-3.6480391393175701E-2</v>
      </c>
    </row>
    <row r="113" spans="1:14" hidden="1" x14ac:dyDescent="0.35">
      <c r="A113" s="1">
        <v>111</v>
      </c>
      <c r="B113" t="s">
        <v>81</v>
      </c>
      <c r="C113" t="s">
        <v>16</v>
      </c>
      <c r="D113" t="s">
        <v>19</v>
      </c>
      <c r="E113" t="s">
        <v>21</v>
      </c>
      <c r="F113">
        <v>2050</v>
      </c>
      <c r="G113" t="s">
        <v>33</v>
      </c>
      <c r="H113">
        <v>1.129427859747939E-3</v>
      </c>
      <c r="I113" t="s">
        <v>52</v>
      </c>
      <c r="J113">
        <v>2.307690206006771E-6</v>
      </c>
      <c r="K113" t="s">
        <v>25</v>
      </c>
      <c r="L113">
        <v>-4.1201970373961537E-5</v>
      </c>
      <c r="M113">
        <v>2.0432382520843709E-3</v>
      </c>
      <c r="N113">
        <v>-3.648039139317568E-2</v>
      </c>
    </row>
    <row r="114" spans="1:14" hidden="1" x14ac:dyDescent="0.35">
      <c r="A114" s="1">
        <v>112</v>
      </c>
      <c r="B114" t="s">
        <v>81</v>
      </c>
      <c r="C114" t="s">
        <v>16</v>
      </c>
      <c r="D114" t="s">
        <v>19</v>
      </c>
      <c r="E114" t="s">
        <v>21</v>
      </c>
      <c r="F114">
        <v>2050</v>
      </c>
      <c r="G114" t="s">
        <v>33</v>
      </c>
      <c r="H114">
        <v>7.1601167274008457E-4</v>
      </c>
      <c r="I114" t="s">
        <v>52</v>
      </c>
      <c r="J114">
        <v>1.462982438681455E-6</v>
      </c>
      <c r="K114" t="s">
        <v>25</v>
      </c>
      <c r="L114">
        <v>-2.6120386063640679E-5</v>
      </c>
      <c r="M114">
        <v>2.0432382520843692E-3</v>
      </c>
      <c r="N114">
        <v>-3.6480391393175639E-2</v>
      </c>
    </row>
    <row r="115" spans="1:14" hidden="1" x14ac:dyDescent="0.35">
      <c r="A115" s="1">
        <v>113</v>
      </c>
      <c r="B115" t="s">
        <v>81</v>
      </c>
      <c r="C115" t="s">
        <v>16</v>
      </c>
      <c r="D115" t="s">
        <v>19</v>
      </c>
      <c r="E115" t="s">
        <v>21</v>
      </c>
      <c r="F115">
        <v>2050</v>
      </c>
      <c r="G115" t="s">
        <v>33</v>
      </c>
      <c r="H115">
        <v>1.277804973830898E-5</v>
      </c>
      <c r="I115" t="s">
        <v>52</v>
      </c>
      <c r="J115">
        <v>2.6108600012349619E-8</v>
      </c>
      <c r="K115" t="s">
        <v>25</v>
      </c>
      <c r="L115">
        <v>-4.6614825569497809E-7</v>
      </c>
      <c r="M115">
        <v>2.0432382520843739E-3</v>
      </c>
      <c r="N115">
        <v>-3.6480391393175729E-2</v>
      </c>
    </row>
    <row r="116" spans="1:14" hidden="1" x14ac:dyDescent="0.35">
      <c r="A116" s="1">
        <v>114</v>
      </c>
      <c r="B116" t="s">
        <v>81</v>
      </c>
      <c r="C116" t="s">
        <v>16</v>
      </c>
      <c r="D116" t="s">
        <v>19</v>
      </c>
      <c r="E116" t="s">
        <v>21</v>
      </c>
      <c r="F116">
        <v>2050</v>
      </c>
      <c r="G116" t="s">
        <v>33</v>
      </c>
      <c r="H116">
        <v>8.1617862311098455E-4</v>
      </c>
      <c r="I116" t="s">
        <v>52</v>
      </c>
      <c r="J116">
        <v>1.6676473832739179E-6</v>
      </c>
      <c r="K116" t="s">
        <v>25</v>
      </c>
      <c r="L116">
        <v>-2.9774515617831949E-5</v>
      </c>
      <c r="M116">
        <v>2.0432382520843722E-3</v>
      </c>
      <c r="N116">
        <v>-3.6480391393175701E-2</v>
      </c>
    </row>
    <row r="117" spans="1:14" hidden="1" x14ac:dyDescent="0.35">
      <c r="A117" s="1">
        <v>115</v>
      </c>
      <c r="B117" t="s">
        <v>81</v>
      </c>
      <c r="C117" t="s">
        <v>16</v>
      </c>
      <c r="D117" t="s">
        <v>19</v>
      </c>
      <c r="E117" t="s">
        <v>21</v>
      </c>
      <c r="F117">
        <v>2050</v>
      </c>
      <c r="G117" t="s">
        <v>100</v>
      </c>
      <c r="H117">
        <v>8.2115701400967361E-4</v>
      </c>
      <c r="I117" t="s">
        <v>52</v>
      </c>
      <c r="J117">
        <v>7.2445403060191363E-6</v>
      </c>
      <c r="K117" t="s">
        <v>25</v>
      </c>
      <c r="L117">
        <v>-1.293454963255562E-4</v>
      </c>
      <c r="M117">
        <v>8.8223569700079212E-3</v>
      </c>
      <c r="N117">
        <v>-0.1575161560076894</v>
      </c>
    </row>
    <row r="118" spans="1:14" hidden="1" x14ac:dyDescent="0.35">
      <c r="A118" s="1">
        <v>116</v>
      </c>
      <c r="B118" t="s">
        <v>81</v>
      </c>
      <c r="C118" t="s">
        <v>16</v>
      </c>
      <c r="D118" t="s">
        <v>19</v>
      </c>
      <c r="E118" t="s">
        <v>21</v>
      </c>
      <c r="F118">
        <v>2050</v>
      </c>
      <c r="G118" t="s">
        <v>101</v>
      </c>
      <c r="H118">
        <v>2.3841323710851439E-4</v>
      </c>
      <c r="I118" t="s">
        <v>52</v>
      </c>
      <c r="J118">
        <v>4.062259985927369E-6</v>
      </c>
      <c r="K118" t="s">
        <v>25</v>
      </c>
      <c r="L118">
        <v>-7.2528416143487245E-5</v>
      </c>
      <c r="M118">
        <v>1.7038735076938791E-2</v>
      </c>
      <c r="N118">
        <v>-0.30421304212431688</v>
      </c>
    </row>
    <row r="119" spans="1:14" hidden="1" x14ac:dyDescent="0.35">
      <c r="A119" s="1">
        <v>117</v>
      </c>
      <c r="B119" t="s">
        <v>81</v>
      </c>
      <c r="C119" t="s">
        <v>16</v>
      </c>
      <c r="D119" t="s">
        <v>19</v>
      </c>
      <c r="E119" t="s">
        <v>21</v>
      </c>
      <c r="F119">
        <v>2050</v>
      </c>
      <c r="G119" t="s">
        <v>36</v>
      </c>
      <c r="H119">
        <v>3.8611044111831833E-2</v>
      </c>
      <c r="I119" t="s">
        <v>52</v>
      </c>
      <c r="J119">
        <v>5.1348848031864617E-4</v>
      </c>
      <c r="K119" t="s">
        <v>25</v>
      </c>
      <c r="L119">
        <v>-9.1679277826762669E-3</v>
      </c>
      <c r="M119">
        <v>1.329900530095467E-2</v>
      </c>
      <c r="N119">
        <v>-0.23744314595903099</v>
      </c>
    </row>
    <row r="120" spans="1:14" hidden="1" x14ac:dyDescent="0.35">
      <c r="A120" s="1">
        <v>118</v>
      </c>
      <c r="B120" t="s">
        <v>81</v>
      </c>
      <c r="C120" t="s">
        <v>16</v>
      </c>
      <c r="D120" t="s">
        <v>19</v>
      </c>
      <c r="E120" t="s">
        <v>21</v>
      </c>
      <c r="F120">
        <v>2050</v>
      </c>
      <c r="G120" t="s">
        <v>101</v>
      </c>
      <c r="H120">
        <v>4.2282257987259157E-3</v>
      </c>
      <c r="I120" t="s">
        <v>52</v>
      </c>
      <c r="J120">
        <v>8.9028680256978624E-5</v>
      </c>
      <c r="K120" t="s">
        <v>25</v>
      </c>
      <c r="L120">
        <v>-1.5895361677373109E-3</v>
      </c>
      <c r="M120">
        <v>2.105580082402541E-2</v>
      </c>
      <c r="N120">
        <v>-0.37593455113402008</v>
      </c>
    </row>
    <row r="121" spans="1:14" hidden="1" x14ac:dyDescent="0.35">
      <c r="A121" s="1">
        <v>119</v>
      </c>
      <c r="B121" t="s">
        <v>81</v>
      </c>
      <c r="C121" t="s">
        <v>16</v>
      </c>
      <c r="D121" t="s">
        <v>19</v>
      </c>
      <c r="E121" t="s">
        <v>21</v>
      </c>
      <c r="F121">
        <v>2050</v>
      </c>
      <c r="G121" t="s">
        <v>36</v>
      </c>
      <c r="H121">
        <v>2.266884799589058E-3</v>
      </c>
      <c r="I121" t="s">
        <v>52</v>
      </c>
      <c r="J121">
        <v>2.2043975718986661E-5</v>
      </c>
      <c r="K121" t="s">
        <v>25</v>
      </c>
      <c r="L121">
        <v>-3.9357762672558282E-4</v>
      </c>
      <c r="M121">
        <v>9.7243475817486678E-3</v>
      </c>
      <c r="N121">
        <v>-0.17362047987481799</v>
      </c>
    </row>
    <row r="122" spans="1:14" hidden="1" x14ac:dyDescent="0.35">
      <c r="A122" s="1">
        <v>120</v>
      </c>
      <c r="B122" t="s">
        <v>81</v>
      </c>
      <c r="C122" t="s">
        <v>16</v>
      </c>
      <c r="D122" t="s">
        <v>19</v>
      </c>
      <c r="E122" t="s">
        <v>21</v>
      </c>
      <c r="F122">
        <v>2050</v>
      </c>
      <c r="G122" t="s">
        <v>100</v>
      </c>
      <c r="H122">
        <v>1.026237215675459E-3</v>
      </c>
      <c r="I122" t="s">
        <v>52</v>
      </c>
      <c r="J122">
        <v>1.091849097442791E-5</v>
      </c>
      <c r="K122" t="s">
        <v>25</v>
      </c>
      <c r="L122">
        <v>-1.9494095892324691E-4</v>
      </c>
      <c r="M122">
        <v>1.063934420585348E-2</v>
      </c>
      <c r="N122">
        <v>-0.18995701573240911</v>
      </c>
    </row>
    <row r="123" spans="1:14" hidden="1" x14ac:dyDescent="0.35">
      <c r="A123" s="1">
        <v>121</v>
      </c>
      <c r="B123" t="s">
        <v>81</v>
      </c>
      <c r="C123" t="s">
        <v>16</v>
      </c>
      <c r="D123" t="s">
        <v>19</v>
      </c>
      <c r="E123" t="s">
        <v>21</v>
      </c>
      <c r="F123">
        <v>2050</v>
      </c>
      <c r="G123" t="s">
        <v>36</v>
      </c>
      <c r="H123">
        <v>2.0205944705822499E-3</v>
      </c>
      <c r="I123" t="s">
        <v>52</v>
      </c>
      <c r="J123">
        <v>2.1745224751623629E-5</v>
      </c>
      <c r="K123" t="s">
        <v>25</v>
      </c>
      <c r="L123">
        <v>-3.8824366618163961E-4</v>
      </c>
      <c r="M123">
        <v>1.0761795634013379E-2</v>
      </c>
      <c r="N123">
        <v>-0.1921432884401412</v>
      </c>
    </row>
    <row r="124" spans="1:14" hidden="1" x14ac:dyDescent="0.35">
      <c r="A124" s="1">
        <v>122</v>
      </c>
      <c r="B124" t="s">
        <v>81</v>
      </c>
      <c r="C124" t="s">
        <v>16</v>
      </c>
      <c r="D124" t="s">
        <v>19</v>
      </c>
      <c r="E124" t="s">
        <v>21</v>
      </c>
      <c r="F124">
        <v>2050</v>
      </c>
      <c r="G124" t="s">
        <v>100</v>
      </c>
      <c r="H124">
        <v>2.3458210251889999E-3</v>
      </c>
      <c r="I124" t="s">
        <v>52</v>
      </c>
      <c r="J124">
        <v>1.935110334382303E-5</v>
      </c>
      <c r="K124" t="s">
        <v>25</v>
      </c>
      <c r="L124">
        <v>-3.454985355488072E-4</v>
      </c>
      <c r="M124">
        <v>8.2491814746455065E-3</v>
      </c>
      <c r="N124">
        <v>-0.1472825641167449</v>
      </c>
    </row>
    <row r="125" spans="1:14" hidden="1" x14ac:dyDescent="0.35">
      <c r="A125" s="1">
        <v>123</v>
      </c>
      <c r="B125" t="s">
        <v>81</v>
      </c>
      <c r="C125" t="s">
        <v>16</v>
      </c>
      <c r="D125" t="s">
        <v>19</v>
      </c>
      <c r="E125" t="s">
        <v>21</v>
      </c>
      <c r="F125">
        <v>2050</v>
      </c>
      <c r="G125" t="s">
        <v>36</v>
      </c>
      <c r="H125">
        <v>1.603455587486205E-3</v>
      </c>
      <c r="I125" t="s">
        <v>52</v>
      </c>
      <c r="J125">
        <v>1.3986315167699291E-5</v>
      </c>
      <c r="K125" t="s">
        <v>25</v>
      </c>
      <c r="L125">
        <v>-2.497145161341228E-4</v>
      </c>
      <c r="M125">
        <v>8.7226083945525015E-3</v>
      </c>
      <c r="N125">
        <v>-0.1557352246504122</v>
      </c>
    </row>
    <row r="126" spans="1:14" hidden="1" x14ac:dyDescent="0.35">
      <c r="A126" s="1">
        <v>124</v>
      </c>
      <c r="B126" t="s">
        <v>81</v>
      </c>
      <c r="C126" t="s">
        <v>16</v>
      </c>
      <c r="D126" t="s">
        <v>19</v>
      </c>
      <c r="E126" t="s">
        <v>21</v>
      </c>
      <c r="F126">
        <v>2050</v>
      </c>
      <c r="G126" t="s">
        <v>100</v>
      </c>
      <c r="H126">
        <v>1.07506125395063E-3</v>
      </c>
      <c r="I126" t="s">
        <v>52</v>
      </c>
      <c r="J126">
        <v>1.050239405586349E-5</v>
      </c>
      <c r="K126" t="s">
        <v>25</v>
      </c>
      <c r="L126">
        <v>-1.8751187989575751E-4</v>
      </c>
      <c r="M126">
        <v>9.7691122410647254E-3</v>
      </c>
      <c r="N126">
        <v>-0.17441971720838201</v>
      </c>
    </row>
    <row r="127" spans="1:14" hidden="1" x14ac:dyDescent="0.35">
      <c r="A127" s="1">
        <v>125</v>
      </c>
      <c r="B127" t="s">
        <v>81</v>
      </c>
      <c r="C127" t="s">
        <v>16</v>
      </c>
      <c r="D127" t="s">
        <v>19</v>
      </c>
      <c r="E127" t="s">
        <v>21</v>
      </c>
      <c r="F127">
        <v>2050</v>
      </c>
      <c r="G127" t="s">
        <v>100</v>
      </c>
      <c r="H127">
        <v>8.7493830966903011E-3</v>
      </c>
      <c r="I127" t="s">
        <v>52</v>
      </c>
      <c r="J127">
        <v>8.2064598701301811E-5</v>
      </c>
      <c r="K127" t="s">
        <v>25</v>
      </c>
      <c r="L127">
        <v>-1.4651980389919631E-3</v>
      </c>
      <c r="M127">
        <v>9.3794725633107832E-3</v>
      </c>
      <c r="N127">
        <v>-0.16746301114031861</v>
      </c>
    </row>
    <row r="128" spans="1:14" hidden="1" x14ac:dyDescent="0.35">
      <c r="A128" s="1">
        <v>126</v>
      </c>
      <c r="B128" t="s">
        <v>81</v>
      </c>
      <c r="C128" t="s">
        <v>16</v>
      </c>
      <c r="D128" t="s">
        <v>19</v>
      </c>
      <c r="E128" t="s">
        <v>21</v>
      </c>
      <c r="F128">
        <v>2050</v>
      </c>
      <c r="G128" t="s">
        <v>36</v>
      </c>
      <c r="H128">
        <v>5.9479737401651449E-3</v>
      </c>
      <c r="I128" t="s">
        <v>52</v>
      </c>
      <c r="J128">
        <v>6.6914372572824104E-5</v>
      </c>
      <c r="K128" t="s">
        <v>25</v>
      </c>
      <c r="L128">
        <v>-1.1947028197985231E-3</v>
      </c>
      <c r="M128">
        <v>1.124994418199402E-2</v>
      </c>
      <c r="N128">
        <v>-0.20085879191614461</v>
      </c>
    </row>
    <row r="129" spans="1:14" hidden="1" x14ac:dyDescent="0.35">
      <c r="A129" s="1">
        <v>127</v>
      </c>
      <c r="B129" t="s">
        <v>81</v>
      </c>
      <c r="C129" t="s">
        <v>16</v>
      </c>
      <c r="D129" t="s">
        <v>19</v>
      </c>
      <c r="E129" t="s">
        <v>21</v>
      </c>
      <c r="F129">
        <v>2050</v>
      </c>
      <c r="G129" t="s">
        <v>36</v>
      </c>
      <c r="H129">
        <v>5.5990434248032088E-3</v>
      </c>
      <c r="I129" t="s">
        <v>52</v>
      </c>
      <c r="J129">
        <v>5.3154754293093683E-5</v>
      </c>
      <c r="K129" t="s">
        <v>25</v>
      </c>
      <c r="L129">
        <v>-9.4903579601742481E-4</v>
      </c>
      <c r="M129">
        <v>9.4935420678509772E-3</v>
      </c>
      <c r="N129">
        <v>-0.1694996312786734</v>
      </c>
    </row>
    <row r="130" spans="1:14" hidden="1" x14ac:dyDescent="0.35">
      <c r="A130" s="1">
        <v>128</v>
      </c>
      <c r="B130" t="s">
        <v>81</v>
      </c>
      <c r="C130" t="s">
        <v>16</v>
      </c>
      <c r="D130" t="s">
        <v>19</v>
      </c>
      <c r="E130" t="s">
        <v>21</v>
      </c>
      <c r="F130">
        <v>2050</v>
      </c>
      <c r="G130" t="s">
        <v>101</v>
      </c>
      <c r="H130">
        <v>1.254361134171179E-3</v>
      </c>
      <c r="I130" t="s">
        <v>52</v>
      </c>
      <c r="J130">
        <v>2.4920425106421251E-5</v>
      </c>
      <c r="K130" t="s">
        <v>25</v>
      </c>
      <c r="L130">
        <v>-4.449343392231233E-4</v>
      </c>
      <c r="M130">
        <v>1.9867025872806119E-2</v>
      </c>
      <c r="N130">
        <v>-0.35470992133147861</v>
      </c>
    </row>
    <row r="131" spans="1:14" hidden="1" x14ac:dyDescent="0.35">
      <c r="A131" s="1">
        <v>129</v>
      </c>
      <c r="B131" t="s">
        <v>81</v>
      </c>
      <c r="C131" t="s">
        <v>16</v>
      </c>
      <c r="D131" t="s">
        <v>19</v>
      </c>
      <c r="E131" t="s">
        <v>21</v>
      </c>
      <c r="F131">
        <v>2050</v>
      </c>
      <c r="G131" t="s">
        <v>101</v>
      </c>
      <c r="H131">
        <v>1.4460075363101999E-4</v>
      </c>
      <c r="I131" t="s">
        <v>52</v>
      </c>
      <c r="J131">
        <v>2.135714941731723E-6</v>
      </c>
      <c r="K131" t="s">
        <v>25</v>
      </c>
      <c r="L131">
        <v>-3.8131489021971122E-5</v>
      </c>
      <c r="M131">
        <v>1.476973589765279E-2</v>
      </c>
      <c r="N131">
        <v>-0.26370186921205008</v>
      </c>
    </row>
    <row r="132" spans="1:14" hidden="1" x14ac:dyDescent="0.35">
      <c r="A132" s="1">
        <v>130</v>
      </c>
      <c r="B132" t="s">
        <v>81</v>
      </c>
      <c r="C132" t="s">
        <v>16</v>
      </c>
      <c r="D132" t="s">
        <v>19</v>
      </c>
      <c r="E132" t="s">
        <v>21</v>
      </c>
      <c r="F132">
        <v>2050</v>
      </c>
      <c r="G132" t="s">
        <v>36</v>
      </c>
      <c r="H132">
        <v>1.268758574141278E-2</v>
      </c>
      <c r="I132" t="s">
        <v>52</v>
      </c>
      <c r="J132">
        <v>1.3685067212925819E-4</v>
      </c>
      <c r="K132" t="s">
        <v>25</v>
      </c>
      <c r="L132">
        <v>-2.443359738690106E-3</v>
      </c>
      <c r="M132">
        <v>1.078618697981068E-2</v>
      </c>
      <c r="N132">
        <v>-0.1925787764897528</v>
      </c>
    </row>
    <row r="133" spans="1:14" hidden="1" x14ac:dyDescent="0.35">
      <c r="A133" s="1">
        <v>131</v>
      </c>
      <c r="B133" t="s">
        <v>81</v>
      </c>
      <c r="C133" t="s">
        <v>16</v>
      </c>
      <c r="D133" t="s">
        <v>19</v>
      </c>
      <c r="E133" t="s">
        <v>21</v>
      </c>
      <c r="F133">
        <v>2050</v>
      </c>
      <c r="G133" t="s">
        <v>101</v>
      </c>
      <c r="H133">
        <v>5.6629445520228164E-4</v>
      </c>
      <c r="I133" t="s">
        <v>52</v>
      </c>
      <c r="J133">
        <v>7.820621690995006E-6</v>
      </c>
      <c r="K133" t="s">
        <v>25</v>
      </c>
      <c r="L133">
        <v>-1.3963097056078239E-4</v>
      </c>
      <c r="M133">
        <v>1.381016822458815E-2</v>
      </c>
      <c r="N133">
        <v>-0.24656955277957979</v>
      </c>
    </row>
    <row r="134" spans="1:14" hidden="1" x14ac:dyDescent="0.35">
      <c r="A134" s="1">
        <v>132</v>
      </c>
      <c r="B134" t="s">
        <v>81</v>
      </c>
      <c r="C134" t="s">
        <v>16</v>
      </c>
      <c r="D134" t="s">
        <v>19</v>
      </c>
      <c r="E134" t="s">
        <v>21</v>
      </c>
      <c r="F134">
        <v>2050</v>
      </c>
      <c r="G134" t="s">
        <v>36</v>
      </c>
      <c r="H134">
        <v>1.2468349653864689E-3</v>
      </c>
      <c r="I134" t="s">
        <v>52</v>
      </c>
      <c r="J134">
        <v>1.5645493179392792E-5</v>
      </c>
      <c r="K134" t="s">
        <v>25</v>
      </c>
      <c r="L134">
        <v>-2.7933781786889809E-4</v>
      </c>
      <c r="M134">
        <v>1.2548166849446121E-2</v>
      </c>
      <c r="N134">
        <v>-0.22403752350842551</v>
      </c>
    </row>
    <row r="135" spans="1:14" hidden="1" x14ac:dyDescent="0.35">
      <c r="A135" s="1">
        <v>133</v>
      </c>
      <c r="B135" t="s">
        <v>81</v>
      </c>
      <c r="C135" t="s">
        <v>16</v>
      </c>
      <c r="D135" t="s">
        <v>19</v>
      </c>
      <c r="E135" t="s">
        <v>21</v>
      </c>
      <c r="F135">
        <v>2050</v>
      </c>
      <c r="G135" t="s">
        <v>100</v>
      </c>
      <c r="H135">
        <v>1.066944181733963E-3</v>
      </c>
      <c r="I135" t="s">
        <v>52</v>
      </c>
      <c r="J135">
        <v>9.8662023556922883E-6</v>
      </c>
      <c r="K135" t="s">
        <v>25</v>
      </c>
      <c r="L135">
        <v>-1.7615318386524819E-4</v>
      </c>
      <c r="M135">
        <v>9.2471588716647405E-3</v>
      </c>
      <c r="N135">
        <v>-0.16510065557409939</v>
      </c>
    </row>
    <row r="136" spans="1:14" hidden="1" x14ac:dyDescent="0.35">
      <c r="A136" s="1">
        <v>134</v>
      </c>
      <c r="B136" t="s">
        <v>81</v>
      </c>
      <c r="C136" t="s">
        <v>16</v>
      </c>
      <c r="D136" t="s">
        <v>19</v>
      </c>
      <c r="E136" t="s">
        <v>21</v>
      </c>
      <c r="F136">
        <v>2050</v>
      </c>
      <c r="G136" t="s">
        <v>100</v>
      </c>
      <c r="H136">
        <v>1.555407803072788E-4</v>
      </c>
      <c r="I136" t="s">
        <v>52</v>
      </c>
      <c r="J136">
        <v>1.845818716401837E-6</v>
      </c>
      <c r="K136" t="s">
        <v>25</v>
      </c>
      <c r="L136">
        <v>-3.2955622843540847E-5</v>
      </c>
      <c r="M136">
        <v>1.186710464455256E-2</v>
      </c>
      <c r="N136">
        <v>-0.21187770035893691</v>
      </c>
    </row>
    <row r="137" spans="1:14" hidden="1" x14ac:dyDescent="0.35">
      <c r="A137" s="1">
        <v>135</v>
      </c>
      <c r="B137" t="s">
        <v>81</v>
      </c>
      <c r="C137" t="s">
        <v>16</v>
      </c>
      <c r="D137" t="s">
        <v>19</v>
      </c>
      <c r="E137" t="s">
        <v>21</v>
      </c>
      <c r="F137">
        <v>2050</v>
      </c>
      <c r="G137" t="s">
        <v>36</v>
      </c>
      <c r="H137">
        <v>2.4729328045998578E-3</v>
      </c>
      <c r="I137" t="s">
        <v>52</v>
      </c>
      <c r="J137">
        <v>2.9779119502020628E-5</v>
      </c>
      <c r="K137" t="s">
        <v>25</v>
      </c>
      <c r="L137">
        <v>-5.316824573295062E-4</v>
      </c>
      <c r="M137">
        <v>1.204202534198625E-2</v>
      </c>
      <c r="N137">
        <v>-0.21500077007370891</v>
      </c>
    </row>
    <row r="138" spans="1:14" hidden="1" x14ac:dyDescent="0.35">
      <c r="A138" s="1">
        <v>136</v>
      </c>
      <c r="B138" t="s">
        <v>81</v>
      </c>
      <c r="C138" t="s">
        <v>16</v>
      </c>
      <c r="D138" t="s">
        <v>19</v>
      </c>
      <c r="E138" t="s">
        <v>21</v>
      </c>
      <c r="F138">
        <v>2050</v>
      </c>
      <c r="G138" t="s">
        <v>36</v>
      </c>
      <c r="H138">
        <v>3.4432507006606598E-3</v>
      </c>
      <c r="I138" t="s">
        <v>52</v>
      </c>
      <c r="J138">
        <v>3.2120979489423303E-5</v>
      </c>
      <c r="K138" t="s">
        <v>25</v>
      </c>
      <c r="L138">
        <v>-5.7349450193140954E-4</v>
      </c>
      <c r="M138">
        <v>9.3286787056371494E-3</v>
      </c>
      <c r="N138">
        <v>-0.16655612727280431</v>
      </c>
    </row>
    <row r="139" spans="1:14" hidden="1" x14ac:dyDescent="0.35">
      <c r="A139" s="1">
        <v>137</v>
      </c>
      <c r="B139" t="s">
        <v>81</v>
      </c>
      <c r="C139" t="s">
        <v>16</v>
      </c>
      <c r="D139" t="s">
        <v>19</v>
      </c>
      <c r="E139" t="s">
        <v>21</v>
      </c>
      <c r="F139">
        <v>2050</v>
      </c>
      <c r="G139" t="s">
        <v>101</v>
      </c>
      <c r="H139">
        <v>6.797549593855985E-4</v>
      </c>
      <c r="I139" t="s">
        <v>52</v>
      </c>
      <c r="J139">
        <v>1.111720397875483E-5</v>
      </c>
      <c r="K139" t="s">
        <v>25</v>
      </c>
      <c r="L139">
        <v>-1.9848882132517931E-4</v>
      </c>
      <c r="M139">
        <v>1.6354722867786359E-2</v>
      </c>
      <c r="N139">
        <v>-0.29200054899869338</v>
      </c>
    </row>
    <row r="140" spans="1:14" hidden="1" x14ac:dyDescent="0.35">
      <c r="A140" s="1">
        <v>138</v>
      </c>
      <c r="B140" t="s">
        <v>81</v>
      </c>
      <c r="C140" t="s">
        <v>16</v>
      </c>
      <c r="D140" t="s">
        <v>19</v>
      </c>
      <c r="E140" t="s">
        <v>21</v>
      </c>
      <c r="F140">
        <v>2050</v>
      </c>
      <c r="G140" t="s">
        <v>36</v>
      </c>
      <c r="H140">
        <v>1.813713366774939E-3</v>
      </c>
      <c r="I140" t="s">
        <v>52</v>
      </c>
      <c r="J140">
        <v>1.773423565819489E-5</v>
      </c>
      <c r="K140" t="s">
        <v>25</v>
      </c>
      <c r="L140">
        <v>-3.1663065098247169E-4</v>
      </c>
      <c r="M140">
        <v>9.7778601531338331E-3</v>
      </c>
      <c r="N140">
        <v>-0.17457590420998531</v>
      </c>
    </row>
    <row r="141" spans="1:14" hidden="1" x14ac:dyDescent="0.35">
      <c r="A141" s="1">
        <v>139</v>
      </c>
      <c r="B141" t="s">
        <v>81</v>
      </c>
      <c r="C141" t="s">
        <v>16</v>
      </c>
      <c r="D141" t="s">
        <v>19</v>
      </c>
      <c r="E141" t="s">
        <v>21</v>
      </c>
      <c r="F141">
        <v>2050</v>
      </c>
      <c r="G141" t="s">
        <v>101</v>
      </c>
      <c r="H141">
        <v>4.6971231268618679E-4</v>
      </c>
      <c r="I141" t="s">
        <v>52</v>
      </c>
      <c r="J141">
        <v>7.2715727975158578E-6</v>
      </c>
      <c r="K141" t="s">
        <v>25</v>
      </c>
      <c r="L141">
        <v>-1.2982813992775329E-4</v>
      </c>
      <c r="M141">
        <v>1.548090735780642E-2</v>
      </c>
      <c r="N141">
        <v>-0.27639926912984952</v>
      </c>
    </row>
    <row r="142" spans="1:14" hidden="1" x14ac:dyDescent="0.35">
      <c r="A142" s="1">
        <v>140</v>
      </c>
      <c r="B142" t="s">
        <v>81</v>
      </c>
      <c r="C142" t="s">
        <v>16</v>
      </c>
      <c r="D142" t="s">
        <v>19</v>
      </c>
      <c r="E142" t="s">
        <v>21</v>
      </c>
      <c r="F142">
        <v>2050</v>
      </c>
      <c r="G142" t="s">
        <v>36</v>
      </c>
      <c r="H142">
        <v>1.9928593548539761E-3</v>
      </c>
      <c r="I142" t="s">
        <v>52</v>
      </c>
      <c r="J142">
        <v>2.058577551692599E-5</v>
      </c>
      <c r="K142" t="s">
        <v>25</v>
      </c>
      <c r="L142">
        <v>-3.6754262368738358E-4</v>
      </c>
      <c r="M142">
        <v>1.0329768363625629E-2</v>
      </c>
      <c r="N142">
        <v>-0.18442978567060739</v>
      </c>
    </row>
    <row r="143" spans="1:14" hidden="1" x14ac:dyDescent="0.35">
      <c r="A143" s="1">
        <v>141</v>
      </c>
      <c r="B143" t="s">
        <v>81</v>
      </c>
      <c r="C143" t="s">
        <v>16</v>
      </c>
      <c r="D143" t="s">
        <v>19</v>
      </c>
      <c r="E143" t="s">
        <v>21</v>
      </c>
      <c r="F143">
        <v>2050</v>
      </c>
      <c r="G143" t="s">
        <v>36</v>
      </c>
      <c r="H143">
        <v>5.9509781363078782E-3</v>
      </c>
      <c r="I143" t="s">
        <v>52</v>
      </c>
      <c r="J143">
        <v>7.7805309763311835E-5</v>
      </c>
      <c r="K143" t="s">
        <v>25</v>
      </c>
      <c r="L143">
        <v>-1.389151827858245E-3</v>
      </c>
      <c r="M143">
        <v>1.3074373318330491E-2</v>
      </c>
      <c r="N143">
        <v>-0.23343252084607821</v>
      </c>
    </row>
    <row r="144" spans="1:14" hidden="1" x14ac:dyDescent="0.35">
      <c r="A144" s="1">
        <v>142</v>
      </c>
      <c r="B144" t="s">
        <v>81</v>
      </c>
      <c r="C144" t="s">
        <v>16</v>
      </c>
      <c r="D144" t="s">
        <v>19</v>
      </c>
      <c r="E144" t="s">
        <v>21</v>
      </c>
      <c r="F144">
        <v>2050</v>
      </c>
      <c r="G144" t="s">
        <v>100</v>
      </c>
      <c r="H144">
        <v>8.1542183244826254E-4</v>
      </c>
      <c r="I144" t="s">
        <v>52</v>
      </c>
      <c r="J144">
        <v>8.317920734465213E-6</v>
      </c>
      <c r="K144" t="s">
        <v>25</v>
      </c>
      <c r="L144">
        <v>-1.485098488446723E-4</v>
      </c>
      <c r="M144">
        <v>1.0200757943273461E-2</v>
      </c>
      <c r="N144">
        <v>-0.18212640738202829</v>
      </c>
    </row>
    <row r="145" spans="1:14" hidden="1" x14ac:dyDescent="0.35">
      <c r="A145" s="1">
        <v>143</v>
      </c>
      <c r="B145" t="s">
        <v>81</v>
      </c>
      <c r="C145" t="s">
        <v>16</v>
      </c>
      <c r="D145" t="s">
        <v>19</v>
      </c>
      <c r="E145" t="s">
        <v>21</v>
      </c>
      <c r="F145">
        <v>2050</v>
      </c>
      <c r="G145" t="s">
        <v>36</v>
      </c>
      <c r="H145">
        <v>1.589488851148383E-2</v>
      </c>
      <c r="I145" t="s">
        <v>52</v>
      </c>
      <c r="J145">
        <v>1.5764180751226859E-4</v>
      </c>
      <c r="K145" t="s">
        <v>25</v>
      </c>
      <c r="L145">
        <v>-2.81456889920136E-3</v>
      </c>
      <c r="M145">
        <v>9.9177674255704652E-3</v>
      </c>
      <c r="N145">
        <v>-0.17707383711234431</v>
      </c>
    </row>
    <row r="146" spans="1:14" hidden="1" x14ac:dyDescent="0.35">
      <c r="A146" s="1">
        <v>144</v>
      </c>
      <c r="B146" t="s">
        <v>81</v>
      </c>
      <c r="C146" t="s">
        <v>16</v>
      </c>
      <c r="D146" t="s">
        <v>19</v>
      </c>
      <c r="E146" t="s">
        <v>21</v>
      </c>
      <c r="F146">
        <v>2050</v>
      </c>
      <c r="G146" t="s">
        <v>101</v>
      </c>
      <c r="H146">
        <v>8.041693433356779E-4</v>
      </c>
      <c r="I146" t="s">
        <v>52</v>
      </c>
      <c r="J146">
        <v>1.664642578847745E-5</v>
      </c>
      <c r="K146" t="s">
        <v>25</v>
      </c>
      <c r="L146">
        <v>-2.9720867228362501E-4</v>
      </c>
      <c r="M146">
        <v>2.0700149696615419E-2</v>
      </c>
      <c r="N146">
        <v>-0.3695846835578307</v>
      </c>
    </row>
    <row r="147" spans="1:14" hidden="1" x14ac:dyDescent="0.35">
      <c r="A147" s="1">
        <v>145</v>
      </c>
      <c r="B147" t="s">
        <v>81</v>
      </c>
      <c r="C147" t="s">
        <v>16</v>
      </c>
      <c r="D147" t="s">
        <v>19</v>
      </c>
      <c r="E147" t="s">
        <v>21</v>
      </c>
      <c r="F147">
        <v>2050</v>
      </c>
      <c r="G147" t="s">
        <v>100</v>
      </c>
      <c r="H147">
        <v>7.0376992033728556E-3</v>
      </c>
      <c r="I147" t="s">
        <v>52</v>
      </c>
      <c r="J147">
        <v>8.8514489170058504E-5</v>
      </c>
      <c r="K147" t="s">
        <v>25</v>
      </c>
      <c r="L147">
        <v>-1.5803556954734461E-3</v>
      </c>
      <c r="M147">
        <v>1.257719129678595E-2</v>
      </c>
      <c r="N147">
        <v>-0.22455573189545411</v>
      </c>
    </row>
    <row r="148" spans="1:14" hidden="1" x14ac:dyDescent="0.35">
      <c r="A148" s="1">
        <v>146</v>
      </c>
      <c r="B148" t="s">
        <v>81</v>
      </c>
      <c r="C148" t="s">
        <v>16</v>
      </c>
      <c r="D148" t="s">
        <v>19</v>
      </c>
      <c r="E148" t="s">
        <v>21</v>
      </c>
      <c r="F148">
        <v>2050</v>
      </c>
      <c r="G148" t="s">
        <v>100</v>
      </c>
      <c r="H148">
        <v>2.1087306685906951E-4</v>
      </c>
      <c r="I148" t="s">
        <v>52</v>
      </c>
      <c r="J148">
        <v>1.8932758619534939E-6</v>
      </c>
      <c r="K148" t="s">
        <v>25</v>
      </c>
      <c r="L148">
        <v>-3.3802932374067322E-5</v>
      </c>
      <c r="M148">
        <v>8.978272522677383E-3</v>
      </c>
      <c r="N148">
        <v>-0.16029990400176841</v>
      </c>
    </row>
    <row r="149" spans="1:14" hidden="1" x14ac:dyDescent="0.35">
      <c r="A149" s="1">
        <v>147</v>
      </c>
      <c r="B149" t="s">
        <v>81</v>
      </c>
      <c r="C149" t="s">
        <v>16</v>
      </c>
      <c r="D149" t="s">
        <v>19</v>
      </c>
      <c r="E149" t="s">
        <v>21</v>
      </c>
      <c r="F149">
        <v>2050</v>
      </c>
      <c r="G149" t="s">
        <v>100</v>
      </c>
      <c r="H149">
        <v>2.633701471609684E-3</v>
      </c>
      <c r="I149" t="s">
        <v>52</v>
      </c>
      <c r="J149">
        <v>3.2565064695310033E-5</v>
      </c>
      <c r="K149" t="s">
        <v>25</v>
      </c>
      <c r="L149">
        <v>-5.8142328953419682E-4</v>
      </c>
      <c r="M149">
        <v>1.2364751679850291E-2</v>
      </c>
      <c r="N149">
        <v>-0.22076279175970481</v>
      </c>
    </row>
    <row r="150" spans="1:14" hidden="1" x14ac:dyDescent="0.35">
      <c r="A150" s="1">
        <v>148</v>
      </c>
      <c r="B150" t="s">
        <v>81</v>
      </c>
      <c r="C150" t="s">
        <v>16</v>
      </c>
      <c r="D150" t="s">
        <v>19</v>
      </c>
      <c r="E150" t="s">
        <v>21</v>
      </c>
      <c r="F150">
        <v>2050</v>
      </c>
      <c r="G150" t="s">
        <v>102</v>
      </c>
      <c r="H150">
        <v>1.1256666599088739E-11</v>
      </c>
      <c r="I150" t="s">
        <v>52</v>
      </c>
      <c r="J150">
        <v>9.5521750578820835E-12</v>
      </c>
      <c r="K150" t="s">
        <v>25</v>
      </c>
      <c r="L150">
        <v>-1.7054647660995329E-10</v>
      </c>
      <c r="M150">
        <v>0.84857937061539712</v>
      </c>
      <c r="N150">
        <v>-15.15070870303288</v>
      </c>
    </row>
    <row r="151" spans="1:14" hidden="1" x14ac:dyDescent="0.35">
      <c r="A151" s="1">
        <v>149</v>
      </c>
      <c r="B151" t="s">
        <v>81</v>
      </c>
      <c r="C151" t="s">
        <v>16</v>
      </c>
      <c r="D151" t="s">
        <v>19</v>
      </c>
      <c r="E151" t="s">
        <v>21</v>
      </c>
      <c r="F151">
        <v>2050</v>
      </c>
      <c r="G151" t="s">
        <v>102</v>
      </c>
      <c r="H151">
        <v>1.429606883478374E-11</v>
      </c>
      <c r="I151" t="s">
        <v>52</v>
      </c>
      <c r="J151">
        <v>1.154651242904987E-11</v>
      </c>
      <c r="K151" t="s">
        <v>25</v>
      </c>
      <c r="L151">
        <v>-2.061537817277088E-10</v>
      </c>
      <c r="M151">
        <v>0.8076704555979799</v>
      </c>
      <c r="N151">
        <v>-14.42031261252159</v>
      </c>
    </row>
    <row r="152" spans="1:14" hidden="1" x14ac:dyDescent="0.35">
      <c r="A152" s="1">
        <v>150</v>
      </c>
      <c r="B152" t="s">
        <v>81</v>
      </c>
      <c r="C152" t="s">
        <v>16</v>
      </c>
      <c r="D152" t="s">
        <v>19</v>
      </c>
      <c r="E152" t="s">
        <v>21</v>
      </c>
      <c r="F152">
        <v>2050</v>
      </c>
      <c r="G152" t="s">
        <v>102</v>
      </c>
      <c r="H152">
        <v>2.309055569720292E-11</v>
      </c>
      <c r="I152" t="s">
        <v>52</v>
      </c>
      <c r="J152">
        <v>2.362929462790307E-11</v>
      </c>
      <c r="K152" t="s">
        <v>25</v>
      </c>
      <c r="L152">
        <v>-4.218822330147786E-10</v>
      </c>
      <c r="M152">
        <v>1.023331570611157</v>
      </c>
      <c r="N152">
        <v>-18.270770030271869</v>
      </c>
    </row>
    <row r="153" spans="1:14" hidden="1" x14ac:dyDescent="0.35">
      <c r="A153" s="1">
        <v>151</v>
      </c>
      <c r="B153" t="s">
        <v>81</v>
      </c>
      <c r="C153" t="s">
        <v>16</v>
      </c>
      <c r="D153" t="s">
        <v>19</v>
      </c>
      <c r="E153" t="s">
        <v>21</v>
      </c>
      <c r="F153">
        <v>2050</v>
      </c>
      <c r="G153" t="s">
        <v>102</v>
      </c>
      <c r="H153">
        <v>1.53683566321801E-12</v>
      </c>
      <c r="I153" t="s">
        <v>52</v>
      </c>
      <c r="J153">
        <v>1.111155871190644E-12</v>
      </c>
      <c r="K153" t="s">
        <v>25</v>
      </c>
      <c r="L153">
        <v>-1.9838802958249429E-11</v>
      </c>
      <c r="M153">
        <v>0.72301541263297697</v>
      </c>
      <c r="N153">
        <v>-12.90886425469108</v>
      </c>
    </row>
    <row r="154" spans="1:14" hidden="1" x14ac:dyDescent="0.35">
      <c r="A154" s="1">
        <v>152</v>
      </c>
      <c r="B154" t="s">
        <v>81</v>
      </c>
      <c r="C154" t="s">
        <v>16</v>
      </c>
      <c r="D154" t="s">
        <v>19</v>
      </c>
      <c r="E154" t="s">
        <v>21</v>
      </c>
      <c r="F154">
        <v>2050</v>
      </c>
      <c r="G154" t="s">
        <v>102</v>
      </c>
      <c r="H154">
        <v>1.9962334317974911E-11</v>
      </c>
      <c r="I154" t="s">
        <v>52</v>
      </c>
      <c r="J154">
        <v>1.5409528490312129E-11</v>
      </c>
      <c r="K154" t="s">
        <v>25</v>
      </c>
      <c r="L154">
        <v>-2.7512485630954478E-10</v>
      </c>
      <c r="M154">
        <v>0.77193018836663585</v>
      </c>
      <c r="N154">
        <v>-13.78219861100167</v>
      </c>
    </row>
    <row r="155" spans="1:14" hidden="1" x14ac:dyDescent="0.35">
      <c r="A155" s="1">
        <v>153</v>
      </c>
      <c r="B155" t="s">
        <v>81</v>
      </c>
      <c r="C155" t="s">
        <v>16</v>
      </c>
      <c r="D155" t="s">
        <v>19</v>
      </c>
      <c r="E155" t="s">
        <v>21</v>
      </c>
      <c r="F155">
        <v>2050</v>
      </c>
      <c r="G155" t="s">
        <v>102</v>
      </c>
      <c r="H155">
        <v>1.561534979688935E-10</v>
      </c>
      <c r="I155" t="s">
        <v>52</v>
      </c>
      <c r="J155">
        <v>1.3098142027418319E-10</v>
      </c>
      <c r="K155" t="s">
        <v>25</v>
      </c>
      <c r="L155">
        <v>-2.338568922132206E-9</v>
      </c>
      <c r="M155">
        <v>0.8387991430091134</v>
      </c>
      <c r="N155">
        <v>-14.97609052983276</v>
      </c>
    </row>
    <row r="156" spans="1:14" hidden="1" x14ac:dyDescent="0.35">
      <c r="A156" s="1">
        <v>154</v>
      </c>
      <c r="B156" t="s">
        <v>81</v>
      </c>
      <c r="C156" t="s">
        <v>16</v>
      </c>
      <c r="D156" t="s">
        <v>19</v>
      </c>
      <c r="E156" t="s">
        <v>21</v>
      </c>
      <c r="F156">
        <v>2050</v>
      </c>
      <c r="G156" t="s">
        <v>102</v>
      </c>
      <c r="H156">
        <v>5.3749043400477348E-13</v>
      </c>
      <c r="I156" t="s">
        <v>52</v>
      </c>
      <c r="J156">
        <v>6.3519444537946259E-13</v>
      </c>
      <c r="K156" t="s">
        <v>25</v>
      </c>
      <c r="L156">
        <v>-1.134089084059352E-11</v>
      </c>
      <c r="M156">
        <v>1.181778140025133</v>
      </c>
      <c r="N156">
        <v>-21.099707312172921</v>
      </c>
    </row>
    <row r="157" spans="1:14" hidden="1" x14ac:dyDescent="0.35">
      <c r="A157" s="1">
        <v>155</v>
      </c>
      <c r="B157" t="s">
        <v>81</v>
      </c>
      <c r="C157" t="s">
        <v>16</v>
      </c>
      <c r="D157" t="s">
        <v>19</v>
      </c>
      <c r="E157" t="s">
        <v>21</v>
      </c>
      <c r="F157">
        <v>2050</v>
      </c>
      <c r="G157" t="s">
        <v>102</v>
      </c>
      <c r="H157">
        <v>4.6833986369078522E-12</v>
      </c>
      <c r="I157" t="s">
        <v>52</v>
      </c>
      <c r="J157">
        <v>4.1734010524749936E-12</v>
      </c>
      <c r="K157" t="s">
        <v>25</v>
      </c>
      <c r="L157">
        <v>-7.4512751354212802E-11</v>
      </c>
      <c r="M157">
        <v>0.89110523703581712</v>
      </c>
      <c r="N157">
        <v>-15.90997417281754</v>
      </c>
    </row>
    <row r="158" spans="1:14" hidden="1" x14ac:dyDescent="0.35">
      <c r="A158" s="1">
        <v>156</v>
      </c>
      <c r="B158" t="s">
        <v>81</v>
      </c>
      <c r="C158" t="s">
        <v>16</v>
      </c>
      <c r="D158" t="s">
        <v>19</v>
      </c>
      <c r="E158" t="s">
        <v>21</v>
      </c>
      <c r="F158">
        <v>2050</v>
      </c>
      <c r="G158" t="s">
        <v>102</v>
      </c>
      <c r="H158">
        <v>8.0048359385730747E-11</v>
      </c>
      <c r="I158" t="s">
        <v>52</v>
      </c>
      <c r="J158">
        <v>7.3904359337559755E-11</v>
      </c>
      <c r="K158" t="s">
        <v>25</v>
      </c>
      <c r="L158">
        <v>-1.3195034654161071E-9</v>
      </c>
      <c r="M158">
        <v>0.92324639636191963</v>
      </c>
      <c r="N158">
        <v>-16.483828969658049</v>
      </c>
    </row>
    <row r="159" spans="1:14" hidden="1" x14ac:dyDescent="0.35">
      <c r="A159" s="1">
        <v>157</v>
      </c>
      <c r="B159" t="s">
        <v>81</v>
      </c>
      <c r="C159" t="s">
        <v>16</v>
      </c>
      <c r="D159" t="s">
        <v>19</v>
      </c>
      <c r="E159" t="s">
        <v>21</v>
      </c>
      <c r="F159">
        <v>2050</v>
      </c>
      <c r="G159" t="s">
        <v>102</v>
      </c>
      <c r="H159">
        <v>7.8638390083003646E-11</v>
      </c>
      <c r="I159" t="s">
        <v>52</v>
      </c>
      <c r="J159">
        <v>7.5530177878291394E-11</v>
      </c>
      <c r="K159" t="s">
        <v>25</v>
      </c>
      <c r="L159">
        <v>-1.348531160370265E-9</v>
      </c>
      <c r="M159">
        <v>0.96047462058376953</v>
      </c>
      <c r="N159">
        <v>-17.148509257970272</v>
      </c>
    </row>
    <row r="160" spans="1:14" hidden="1" x14ac:dyDescent="0.35">
      <c r="A160" s="1">
        <v>158</v>
      </c>
      <c r="B160" t="s">
        <v>81</v>
      </c>
      <c r="C160" t="s">
        <v>16</v>
      </c>
      <c r="D160" t="s">
        <v>19</v>
      </c>
      <c r="E160" t="s">
        <v>21</v>
      </c>
      <c r="F160">
        <v>2050</v>
      </c>
      <c r="G160" t="s">
        <v>103</v>
      </c>
      <c r="H160">
        <v>9.0288578379034946E-7</v>
      </c>
      <c r="I160" t="s">
        <v>52</v>
      </c>
      <c r="J160">
        <v>7.0784012276534052E-7</v>
      </c>
      <c r="K160" t="s">
        <v>25</v>
      </c>
      <c r="L160">
        <v>-1.2637921542400171E-5</v>
      </c>
      <c r="M160">
        <v>0.78397526627764624</v>
      </c>
      <c r="N160">
        <v>-13.997253882263699</v>
      </c>
    </row>
    <row r="161" spans="1:14" hidden="1" x14ac:dyDescent="0.35">
      <c r="A161" s="1">
        <v>159</v>
      </c>
      <c r="B161" t="s">
        <v>81</v>
      </c>
      <c r="C161" t="s">
        <v>16</v>
      </c>
      <c r="D161" t="s">
        <v>19</v>
      </c>
      <c r="E161" t="s">
        <v>21</v>
      </c>
      <c r="F161">
        <v>2050</v>
      </c>
      <c r="G161" t="s">
        <v>103</v>
      </c>
      <c r="H161">
        <v>7.0727894935841319E-6</v>
      </c>
      <c r="I161" t="s">
        <v>52</v>
      </c>
      <c r="J161">
        <v>6.2996541444174819E-6</v>
      </c>
      <c r="K161" t="s">
        <v>25</v>
      </c>
      <c r="L161">
        <v>-1.124753065852946E-4</v>
      </c>
      <c r="M161">
        <v>0.89068876574539979</v>
      </c>
      <c r="N161">
        <v>-15.902538409678829</v>
      </c>
    </row>
    <row r="162" spans="1:14" hidden="1" x14ac:dyDescent="0.35">
      <c r="A162" s="1">
        <v>160</v>
      </c>
      <c r="B162" t="s">
        <v>81</v>
      </c>
      <c r="C162" t="s">
        <v>16</v>
      </c>
      <c r="D162" t="s">
        <v>19</v>
      </c>
      <c r="E162" t="s">
        <v>21</v>
      </c>
      <c r="F162">
        <v>2050</v>
      </c>
      <c r="G162" t="s">
        <v>103</v>
      </c>
      <c r="H162">
        <v>1.227850215539153E-5</v>
      </c>
      <c r="I162" t="s">
        <v>52</v>
      </c>
      <c r="J162">
        <v>8.8081028461285296E-6</v>
      </c>
      <c r="K162" t="s">
        <v>25</v>
      </c>
      <c r="L162">
        <v>-1.5726165998033851E-4</v>
      </c>
      <c r="M162">
        <v>0.71735971820152855</v>
      </c>
      <c r="N162">
        <v>-12.807886335816971</v>
      </c>
    </row>
    <row r="163" spans="1:14" hidden="1" x14ac:dyDescent="0.35">
      <c r="A163" s="1">
        <v>161</v>
      </c>
      <c r="B163" t="s">
        <v>81</v>
      </c>
      <c r="C163" t="s">
        <v>16</v>
      </c>
      <c r="D163" t="s">
        <v>19</v>
      </c>
      <c r="E163" t="s">
        <v>21</v>
      </c>
      <c r="F163">
        <v>2050</v>
      </c>
      <c r="G163" t="s">
        <v>103</v>
      </c>
      <c r="H163">
        <v>3.3706262430361878E-5</v>
      </c>
      <c r="I163" t="s">
        <v>52</v>
      </c>
      <c r="J163">
        <v>3.7881720791311103E-5</v>
      </c>
      <c r="K163" t="s">
        <v>25</v>
      </c>
      <c r="L163">
        <v>-6.7634794899922696E-4</v>
      </c>
      <c r="M163">
        <v>1.1238778215050049</v>
      </c>
      <c r="N163">
        <v>-20.06594324709188</v>
      </c>
    </row>
    <row r="164" spans="1:14" hidden="1" x14ac:dyDescent="0.35">
      <c r="A164" s="1">
        <v>162</v>
      </c>
      <c r="B164" t="s">
        <v>81</v>
      </c>
      <c r="C164" t="s">
        <v>16</v>
      </c>
      <c r="D164" t="s">
        <v>19</v>
      </c>
      <c r="E164" t="s">
        <v>21</v>
      </c>
      <c r="F164">
        <v>2050</v>
      </c>
      <c r="G164" t="s">
        <v>103</v>
      </c>
      <c r="H164">
        <v>9.3004855265140037E-6</v>
      </c>
      <c r="I164" t="s">
        <v>52</v>
      </c>
      <c r="J164">
        <v>6.78511724457017E-6</v>
      </c>
      <c r="K164" t="s">
        <v>25</v>
      </c>
      <c r="L164">
        <v>-1.211428635294973E-4</v>
      </c>
      <c r="M164">
        <v>0.72954441198010866</v>
      </c>
      <c r="N164">
        <v>-13.02543433717959</v>
      </c>
    </row>
    <row r="165" spans="1:14" hidden="1" x14ac:dyDescent="0.35">
      <c r="A165" s="1">
        <v>163</v>
      </c>
      <c r="B165" t="s">
        <v>81</v>
      </c>
      <c r="C165" t="s">
        <v>16</v>
      </c>
      <c r="D165" t="s">
        <v>19</v>
      </c>
      <c r="E165" t="s">
        <v>21</v>
      </c>
      <c r="F165">
        <v>2050</v>
      </c>
      <c r="G165" t="s">
        <v>103</v>
      </c>
      <c r="H165">
        <v>2.1549905488264149E-5</v>
      </c>
      <c r="I165" t="s">
        <v>52</v>
      </c>
      <c r="J165">
        <v>2.1554296014620341E-5</v>
      </c>
      <c r="K165" t="s">
        <v>25</v>
      </c>
      <c r="L165">
        <v>-3.8483478567199808E-4</v>
      </c>
      <c r="M165">
        <v>1.000203737615396</v>
      </c>
      <c r="N165">
        <v>-17.857840995245901</v>
      </c>
    </row>
    <row r="166" spans="1:14" hidden="1" x14ac:dyDescent="0.35">
      <c r="A166" s="1">
        <v>164</v>
      </c>
      <c r="B166" t="s">
        <v>81</v>
      </c>
      <c r="C166" t="s">
        <v>16</v>
      </c>
      <c r="D166" t="s">
        <v>19</v>
      </c>
      <c r="E166" t="s">
        <v>21</v>
      </c>
      <c r="F166">
        <v>2050</v>
      </c>
      <c r="G166" t="s">
        <v>103</v>
      </c>
      <c r="H166">
        <v>2.0939179421795131E-7</v>
      </c>
      <c r="I166" t="s">
        <v>52</v>
      </c>
      <c r="J166">
        <v>2.34659721391395E-7</v>
      </c>
      <c r="K166" t="s">
        <v>25</v>
      </c>
      <c r="L166">
        <v>-4.1896624007693853E-6</v>
      </c>
      <c r="M166">
        <v>1.1206729579247161</v>
      </c>
      <c r="N166">
        <v>-20.008722960788319</v>
      </c>
    </row>
    <row r="167" spans="1:14" hidden="1" x14ac:dyDescent="0.35">
      <c r="A167" s="1">
        <v>165</v>
      </c>
      <c r="B167" t="s">
        <v>81</v>
      </c>
      <c r="C167" t="s">
        <v>16</v>
      </c>
      <c r="D167" t="s">
        <v>19</v>
      </c>
      <c r="E167" t="s">
        <v>21</v>
      </c>
      <c r="F167">
        <v>2050</v>
      </c>
      <c r="G167" t="s">
        <v>103</v>
      </c>
      <c r="H167">
        <v>2.0914931750585051E-7</v>
      </c>
      <c r="I167" t="s">
        <v>52</v>
      </c>
      <c r="J167">
        <v>2.1031243269778449E-7</v>
      </c>
      <c r="K167" t="s">
        <v>25</v>
      </c>
      <c r="L167">
        <v>-3.7549609556493791E-6</v>
      </c>
      <c r="M167">
        <v>1.005561171347841</v>
      </c>
      <c r="N167">
        <v>-17.95349370692707</v>
      </c>
    </row>
    <row r="168" spans="1:14" hidden="1" x14ac:dyDescent="0.35">
      <c r="A168" s="1">
        <v>166</v>
      </c>
      <c r="B168" t="s">
        <v>81</v>
      </c>
      <c r="C168" t="s">
        <v>16</v>
      </c>
      <c r="D168" t="s">
        <v>19</v>
      </c>
      <c r="E168" t="s">
        <v>21</v>
      </c>
      <c r="F168">
        <v>2050</v>
      </c>
      <c r="G168" t="s">
        <v>103</v>
      </c>
      <c r="H168">
        <v>8.3756717687180504E-6</v>
      </c>
      <c r="I168" t="s">
        <v>52</v>
      </c>
      <c r="J168">
        <v>8.3150389909024384E-6</v>
      </c>
      <c r="K168" t="s">
        <v>25</v>
      </c>
      <c r="L168">
        <v>-1.4845839760889131E-4</v>
      </c>
      <c r="M168">
        <v>0.99276084599660808</v>
      </c>
      <c r="N168">
        <v>-17.724954094233059</v>
      </c>
    </row>
    <row r="169" spans="1:14" hidden="1" x14ac:dyDescent="0.35">
      <c r="A169" s="1">
        <v>167</v>
      </c>
      <c r="B169" t="s">
        <v>81</v>
      </c>
      <c r="C169" t="s">
        <v>16</v>
      </c>
      <c r="D169" t="s">
        <v>19</v>
      </c>
      <c r="E169" t="s">
        <v>21</v>
      </c>
      <c r="F169">
        <v>2050</v>
      </c>
      <c r="G169" t="s">
        <v>103</v>
      </c>
      <c r="H169">
        <v>4.4211485861936878E-7</v>
      </c>
      <c r="I169" t="s">
        <v>52</v>
      </c>
      <c r="J169">
        <v>3.860478019240589E-7</v>
      </c>
      <c r="K169" t="s">
        <v>25</v>
      </c>
      <c r="L169">
        <v>-6.8925759863286333E-6</v>
      </c>
      <c r="M169">
        <v>0.8731844098829985</v>
      </c>
      <c r="N169">
        <v>-15.59001207933316</v>
      </c>
    </row>
    <row r="170" spans="1:14" hidden="1" x14ac:dyDescent="0.35">
      <c r="A170" s="1">
        <v>168</v>
      </c>
      <c r="B170" t="s">
        <v>81</v>
      </c>
      <c r="C170" t="s">
        <v>16</v>
      </c>
      <c r="D170" t="s">
        <v>19</v>
      </c>
      <c r="E170" t="s">
        <v>21</v>
      </c>
      <c r="F170">
        <v>2050</v>
      </c>
      <c r="G170" t="s">
        <v>103</v>
      </c>
      <c r="H170">
        <v>2.8381162375974309E-7</v>
      </c>
      <c r="I170" t="s">
        <v>52</v>
      </c>
      <c r="J170">
        <v>2.2785839492094031E-7</v>
      </c>
      <c r="K170" t="s">
        <v>25</v>
      </c>
      <c r="L170">
        <v>-4.0682301344236263E-6</v>
      </c>
      <c r="M170">
        <v>0.80285082021105203</v>
      </c>
      <c r="N170">
        <v>-14.33426186190151</v>
      </c>
    </row>
    <row r="171" spans="1:14" hidden="1" x14ac:dyDescent="0.35">
      <c r="A171" s="1">
        <v>169</v>
      </c>
      <c r="B171" t="s">
        <v>81</v>
      </c>
      <c r="C171" t="s">
        <v>16</v>
      </c>
      <c r="D171" t="s">
        <v>19</v>
      </c>
      <c r="E171" t="s">
        <v>21</v>
      </c>
      <c r="F171">
        <v>2050</v>
      </c>
      <c r="G171" t="s">
        <v>103</v>
      </c>
      <c r="H171">
        <v>1.3468080204098631E-5</v>
      </c>
      <c r="I171" t="s">
        <v>52</v>
      </c>
      <c r="J171">
        <v>9.9466633271431787E-6</v>
      </c>
      <c r="K171" t="s">
        <v>25</v>
      </c>
      <c r="L171">
        <v>-1.775897504170976E-4</v>
      </c>
      <c r="M171">
        <v>0.73853609248006957</v>
      </c>
      <c r="N171">
        <v>-13.18597362993526</v>
      </c>
    </row>
    <row r="172" spans="1:14" hidden="1" x14ac:dyDescent="0.35">
      <c r="A172" s="1">
        <v>170</v>
      </c>
      <c r="B172" t="s">
        <v>81</v>
      </c>
      <c r="C172" t="s">
        <v>16</v>
      </c>
      <c r="D172" t="s">
        <v>19</v>
      </c>
      <c r="E172" t="s">
        <v>21</v>
      </c>
      <c r="F172">
        <v>2050</v>
      </c>
      <c r="G172" t="s">
        <v>103</v>
      </c>
      <c r="H172">
        <v>4.1691937438353138E-5</v>
      </c>
      <c r="I172" t="s">
        <v>52</v>
      </c>
      <c r="J172">
        <v>3.9252299667393997E-5</v>
      </c>
      <c r="K172" t="s">
        <v>25</v>
      </c>
      <c r="L172">
        <v>-7.008185430592771E-4</v>
      </c>
      <c r="M172">
        <v>0.941484183253262</v>
      </c>
      <c r="N172">
        <v>-16.80945012679075</v>
      </c>
    </row>
    <row r="173" spans="1:14" hidden="1" x14ac:dyDescent="0.35">
      <c r="A173" s="1">
        <v>171</v>
      </c>
      <c r="B173" t="s">
        <v>81</v>
      </c>
      <c r="C173" t="s">
        <v>16</v>
      </c>
      <c r="D173" t="s">
        <v>19</v>
      </c>
      <c r="E173" t="s">
        <v>21</v>
      </c>
      <c r="F173">
        <v>2050</v>
      </c>
      <c r="G173" t="s">
        <v>104</v>
      </c>
      <c r="H173">
        <v>2.5841804333488279E-10</v>
      </c>
      <c r="I173" t="s">
        <v>52</v>
      </c>
      <c r="J173">
        <v>3.9655446920943102E-11</v>
      </c>
      <c r="K173" t="s">
        <v>25</v>
      </c>
      <c r="L173">
        <v>-7.0801641613333097E-10</v>
      </c>
      <c r="M173">
        <v>0.15345463656171171</v>
      </c>
      <c r="N173">
        <v>-2.739810297285687</v>
      </c>
    </row>
    <row r="174" spans="1:14" hidden="1" x14ac:dyDescent="0.35">
      <c r="A174" s="1">
        <v>172</v>
      </c>
      <c r="B174" t="s">
        <v>81</v>
      </c>
      <c r="C174" t="s">
        <v>16</v>
      </c>
      <c r="D174" t="s">
        <v>19</v>
      </c>
      <c r="E174" t="s">
        <v>21</v>
      </c>
      <c r="F174">
        <v>2050</v>
      </c>
      <c r="G174" t="s">
        <v>105</v>
      </c>
      <c r="H174">
        <v>2.5841804333488279E-10</v>
      </c>
      <c r="I174" t="s">
        <v>52</v>
      </c>
      <c r="J174">
        <v>2.7834690285194771E-11</v>
      </c>
      <c r="K174" t="s">
        <v>25</v>
      </c>
      <c r="L174">
        <v>-4.9696622255180877E-10</v>
      </c>
      <c r="M174">
        <v>0.1077118684360748</v>
      </c>
      <c r="N174">
        <v>-1.9231096100661691</v>
      </c>
    </row>
    <row r="175" spans="1:14" hidden="1" x14ac:dyDescent="0.35">
      <c r="A175" s="1">
        <v>173</v>
      </c>
      <c r="B175" t="s">
        <v>81</v>
      </c>
      <c r="C175" t="s">
        <v>16</v>
      </c>
      <c r="D175" t="s">
        <v>19</v>
      </c>
      <c r="E175" t="s">
        <v>21</v>
      </c>
      <c r="F175">
        <v>2050</v>
      </c>
      <c r="G175" t="s">
        <v>41</v>
      </c>
      <c r="H175">
        <v>2.9899989898252283E-11</v>
      </c>
      <c r="I175" t="s">
        <v>52</v>
      </c>
      <c r="J175">
        <v>9.73720601347082E-12</v>
      </c>
      <c r="K175" t="s">
        <v>25</v>
      </c>
      <c r="L175">
        <v>-1.7385005693047849E-10</v>
      </c>
      <c r="M175">
        <v>0.3256591740199879</v>
      </c>
      <c r="N175">
        <v>-5.8143851393287749</v>
      </c>
    </row>
    <row r="176" spans="1:14" hidden="1" x14ac:dyDescent="0.35">
      <c r="A176" s="1">
        <v>174</v>
      </c>
      <c r="B176" t="s">
        <v>81</v>
      </c>
      <c r="C176" t="s">
        <v>16</v>
      </c>
      <c r="D176" t="s">
        <v>19</v>
      </c>
      <c r="E176" t="s">
        <v>21</v>
      </c>
      <c r="F176">
        <v>2050</v>
      </c>
      <c r="G176" t="s">
        <v>41</v>
      </c>
      <c r="H176">
        <v>2.501973848571333E-11</v>
      </c>
      <c r="I176" t="s">
        <v>52</v>
      </c>
      <c r="J176">
        <v>8.8365018340272478E-12</v>
      </c>
      <c r="K176" t="s">
        <v>25</v>
      </c>
      <c r="L176">
        <v>-1.5776870128727291E-10</v>
      </c>
      <c r="M176">
        <v>0.35318122286022419</v>
      </c>
      <c r="N176">
        <v>-6.3057693979240179</v>
      </c>
    </row>
    <row r="177" spans="1:14" hidden="1" x14ac:dyDescent="0.35">
      <c r="A177" s="1">
        <v>175</v>
      </c>
      <c r="B177" t="s">
        <v>81</v>
      </c>
      <c r="C177" t="s">
        <v>16</v>
      </c>
      <c r="D177" t="s">
        <v>19</v>
      </c>
      <c r="E177" t="s">
        <v>21</v>
      </c>
      <c r="F177">
        <v>2050</v>
      </c>
      <c r="G177" t="s">
        <v>41</v>
      </c>
      <c r="H177">
        <v>2.1215970395606549E-11</v>
      </c>
      <c r="I177" t="s">
        <v>52</v>
      </c>
      <c r="J177">
        <v>8.2016710584198019E-12</v>
      </c>
      <c r="K177" t="s">
        <v>25</v>
      </c>
      <c r="L177">
        <v>-1.4643430348076749E-10</v>
      </c>
      <c r="M177">
        <v>0.38658005763989112</v>
      </c>
      <c r="N177">
        <v>-6.9020789881518469</v>
      </c>
    </row>
    <row r="178" spans="1:14" hidden="1" x14ac:dyDescent="0.35">
      <c r="A178" s="1">
        <v>176</v>
      </c>
      <c r="B178" t="s">
        <v>81</v>
      </c>
      <c r="C178" t="s">
        <v>16</v>
      </c>
      <c r="D178" t="s">
        <v>19</v>
      </c>
      <c r="E178" t="s">
        <v>21</v>
      </c>
      <c r="F178">
        <v>2050</v>
      </c>
      <c r="G178" t="s">
        <v>41</v>
      </c>
      <c r="H178">
        <v>2.038837210067447E-11</v>
      </c>
      <c r="I178" t="s">
        <v>52</v>
      </c>
      <c r="J178">
        <v>6.8211078701940388E-12</v>
      </c>
      <c r="K178" t="s">
        <v>25</v>
      </c>
      <c r="L178">
        <v>-1.2178544748068589E-10</v>
      </c>
      <c r="M178">
        <v>0.33455872967751021</v>
      </c>
      <c r="N178">
        <v>-5.9732796164072894</v>
      </c>
    </row>
    <row r="179" spans="1:14" hidden="1" x14ac:dyDescent="0.35">
      <c r="A179" s="1">
        <v>177</v>
      </c>
      <c r="B179" t="s">
        <v>81</v>
      </c>
      <c r="C179" t="s">
        <v>16</v>
      </c>
      <c r="D179" t="s">
        <v>19</v>
      </c>
      <c r="E179" t="s">
        <v>21</v>
      </c>
      <c r="F179">
        <v>2050</v>
      </c>
      <c r="G179" t="s">
        <v>41</v>
      </c>
      <c r="H179">
        <v>2.054062329410941E-11</v>
      </c>
      <c r="I179" t="s">
        <v>52</v>
      </c>
      <c r="J179">
        <v>6.5733106422747094E-12</v>
      </c>
      <c r="K179" t="s">
        <v>25</v>
      </c>
      <c r="L179">
        <v>-1.1736122536590339E-10</v>
      </c>
      <c r="M179">
        <v>0.32001514988884422</v>
      </c>
      <c r="N179">
        <v>-5.713615584370312</v>
      </c>
    </row>
    <row r="180" spans="1:14" hidden="1" x14ac:dyDescent="0.35">
      <c r="A180" s="1">
        <v>178</v>
      </c>
      <c r="B180" t="s">
        <v>81</v>
      </c>
      <c r="C180" t="s">
        <v>16</v>
      </c>
      <c r="D180" t="s">
        <v>19</v>
      </c>
      <c r="E180" t="s">
        <v>21</v>
      </c>
      <c r="F180">
        <v>2050</v>
      </c>
      <c r="G180" t="s">
        <v>41</v>
      </c>
      <c r="H180">
        <v>6.2893801607335353E-12</v>
      </c>
      <c r="I180" t="s">
        <v>52</v>
      </c>
      <c r="J180">
        <v>2.1876959825320289E-12</v>
      </c>
      <c r="K180" t="s">
        <v>25</v>
      </c>
      <c r="L180">
        <v>-3.9059569098528677E-11</v>
      </c>
      <c r="M180">
        <v>0.3478396800038363</v>
      </c>
      <c r="N180">
        <v>-6.2104004051765154</v>
      </c>
    </row>
    <row r="181" spans="1:14" hidden="1" x14ac:dyDescent="0.35">
      <c r="A181" s="1">
        <v>179</v>
      </c>
      <c r="B181" t="s">
        <v>81</v>
      </c>
      <c r="C181" t="s">
        <v>16</v>
      </c>
      <c r="D181" t="s">
        <v>19</v>
      </c>
      <c r="E181" t="s">
        <v>21</v>
      </c>
      <c r="F181">
        <v>2050</v>
      </c>
      <c r="G181" t="s">
        <v>41</v>
      </c>
      <c r="H181">
        <v>3.7692330078719097E-11</v>
      </c>
      <c r="I181" t="s">
        <v>52</v>
      </c>
      <c r="J181">
        <v>7.8503600343338708E-13</v>
      </c>
      <c r="K181" t="s">
        <v>25</v>
      </c>
      <c r="L181">
        <v>-1.401619249922001E-11</v>
      </c>
      <c r="M181">
        <v>2.0827473435414239E-2</v>
      </c>
      <c r="N181">
        <v>-0.37185794749084727</v>
      </c>
    </row>
    <row r="182" spans="1:14" hidden="1" x14ac:dyDescent="0.35">
      <c r="A182" s="1">
        <v>180</v>
      </c>
      <c r="B182" t="s">
        <v>81</v>
      </c>
      <c r="C182" t="s">
        <v>16</v>
      </c>
      <c r="D182" t="s">
        <v>19</v>
      </c>
      <c r="E182" t="s">
        <v>21</v>
      </c>
      <c r="F182">
        <v>2050</v>
      </c>
      <c r="G182" t="s">
        <v>41</v>
      </c>
      <c r="H182">
        <v>4.1617750776789153E-12</v>
      </c>
      <c r="I182" t="s">
        <v>52</v>
      </c>
      <c r="J182">
        <v>1.2892436155431449E-12</v>
      </c>
      <c r="K182" t="s">
        <v>25</v>
      </c>
      <c r="L182">
        <v>-2.301841777295815E-11</v>
      </c>
      <c r="M182">
        <v>0.30978214619473748</v>
      </c>
      <c r="N182">
        <v>-5.5309134547933994</v>
      </c>
    </row>
    <row r="183" spans="1:14" hidden="1" x14ac:dyDescent="0.35">
      <c r="A183" s="1">
        <v>181</v>
      </c>
      <c r="B183" t="s">
        <v>81</v>
      </c>
      <c r="C183" t="s">
        <v>16</v>
      </c>
      <c r="D183" t="s">
        <v>19</v>
      </c>
      <c r="E183" t="s">
        <v>21</v>
      </c>
      <c r="F183">
        <v>2050</v>
      </c>
      <c r="G183" t="s">
        <v>41</v>
      </c>
      <c r="H183">
        <v>1.008755126965539E-10</v>
      </c>
      <c r="I183" t="s">
        <v>52</v>
      </c>
      <c r="J183">
        <v>3.4183820442007043E-11</v>
      </c>
      <c r="K183" t="s">
        <v>25</v>
      </c>
      <c r="L183">
        <v>-6.1032488392692978E-10</v>
      </c>
      <c r="M183">
        <v>0.33887134278897041</v>
      </c>
      <c r="N183">
        <v>-6.0502778881814772</v>
      </c>
    </row>
    <row r="184" spans="1:14" hidden="1" x14ac:dyDescent="0.35">
      <c r="A184" s="1">
        <v>182</v>
      </c>
      <c r="B184" t="s">
        <v>81</v>
      </c>
      <c r="C184" t="s">
        <v>16</v>
      </c>
      <c r="D184" t="s">
        <v>19</v>
      </c>
      <c r="E184" t="s">
        <v>21</v>
      </c>
      <c r="F184">
        <v>2050</v>
      </c>
      <c r="G184" t="s">
        <v>41</v>
      </c>
      <c r="H184">
        <v>4.5790797114600561E-11</v>
      </c>
      <c r="I184" t="s">
        <v>52</v>
      </c>
      <c r="J184">
        <v>1.418517140612876E-11</v>
      </c>
      <c r="K184" t="s">
        <v>25</v>
      </c>
      <c r="L184">
        <v>-2.532649358668591E-10</v>
      </c>
      <c r="M184">
        <v>0.30978214619473771</v>
      </c>
      <c r="N184">
        <v>-5.530913454793402</v>
      </c>
    </row>
    <row r="185" spans="1:14" hidden="1" x14ac:dyDescent="0.35">
      <c r="A185" s="1">
        <v>183</v>
      </c>
      <c r="B185" t="s">
        <v>81</v>
      </c>
      <c r="C185" t="s">
        <v>16</v>
      </c>
      <c r="D185" t="s">
        <v>19</v>
      </c>
      <c r="E185" t="s">
        <v>21</v>
      </c>
      <c r="F185">
        <v>2050</v>
      </c>
      <c r="G185" t="s">
        <v>41</v>
      </c>
      <c r="H185">
        <v>1.121916874275625E-10</v>
      </c>
      <c r="I185" t="s">
        <v>52</v>
      </c>
      <c r="J185">
        <v>4.05559789836335E-11</v>
      </c>
      <c r="K185" t="s">
        <v>25</v>
      </c>
      <c r="L185">
        <v>-7.2409469876901305E-10</v>
      </c>
      <c r="M185">
        <v>0.36148826988469013</v>
      </c>
      <c r="N185">
        <v>-6.4540851053384047</v>
      </c>
    </row>
    <row r="186" spans="1:14" hidden="1" x14ac:dyDescent="0.35">
      <c r="A186" s="1">
        <v>184</v>
      </c>
      <c r="B186" t="s">
        <v>81</v>
      </c>
      <c r="C186" t="s">
        <v>16</v>
      </c>
      <c r="D186" t="s">
        <v>19</v>
      </c>
      <c r="E186" t="s">
        <v>21</v>
      </c>
      <c r="F186">
        <v>2050</v>
      </c>
      <c r="G186" t="s">
        <v>106</v>
      </c>
      <c r="H186">
        <v>5.628560761441098E-3</v>
      </c>
      <c r="I186" t="s">
        <v>52</v>
      </c>
      <c r="J186">
        <v>2.4015960428816551E-5</v>
      </c>
      <c r="K186" t="s">
        <v>25</v>
      </c>
      <c r="L186">
        <v>-4.2878584288077927E-4</v>
      </c>
      <c r="M186">
        <v>4.2668030863839647E-3</v>
      </c>
      <c r="N186">
        <v>-7.6180370267690936E-2</v>
      </c>
    </row>
    <row r="187" spans="1:14" hidden="1" x14ac:dyDescent="0.35">
      <c r="A187" s="1">
        <v>185</v>
      </c>
      <c r="B187" t="s">
        <v>81</v>
      </c>
      <c r="C187" t="s">
        <v>16</v>
      </c>
      <c r="D187" t="s">
        <v>19</v>
      </c>
      <c r="E187" t="s">
        <v>21</v>
      </c>
      <c r="F187">
        <v>2050</v>
      </c>
      <c r="G187" t="s">
        <v>55</v>
      </c>
      <c r="H187">
        <v>2.6184433694418689E-2</v>
      </c>
      <c r="I187" t="s">
        <v>52</v>
      </c>
      <c r="J187">
        <v>9.2900850994814623E-5</v>
      </c>
      <c r="K187" t="s">
        <v>25</v>
      </c>
      <c r="L187">
        <v>-1.6586706917769609E-3</v>
      </c>
      <c r="M187">
        <v>3.547941959677242E-3</v>
      </c>
      <c r="N187">
        <v>-6.3345677479002077E-2</v>
      </c>
    </row>
    <row r="188" spans="1:14" hidden="1" x14ac:dyDescent="0.35">
      <c r="A188" s="1">
        <v>186</v>
      </c>
      <c r="B188" t="s">
        <v>81</v>
      </c>
      <c r="C188" t="s">
        <v>16</v>
      </c>
      <c r="D188" t="s">
        <v>19</v>
      </c>
      <c r="E188" t="s">
        <v>21</v>
      </c>
      <c r="F188">
        <v>2050</v>
      </c>
      <c r="G188" t="s">
        <v>55</v>
      </c>
      <c r="H188">
        <v>7.8384753634563303E-3</v>
      </c>
      <c r="I188" t="s">
        <v>52</v>
      </c>
      <c r="J188">
        <v>3.1703543668063413E-5</v>
      </c>
      <c r="K188" t="s">
        <v>25</v>
      </c>
      <c r="L188">
        <v>-5.66041517861047E-4</v>
      </c>
      <c r="M188">
        <v>4.044605895665394E-3</v>
      </c>
      <c r="N188">
        <v>-7.2213216424712262E-2</v>
      </c>
    </row>
    <row r="189" spans="1:14" hidden="1" x14ac:dyDescent="0.35">
      <c r="A189" s="1">
        <v>187</v>
      </c>
      <c r="B189" t="s">
        <v>81</v>
      </c>
      <c r="C189" t="s">
        <v>16</v>
      </c>
      <c r="D189" t="s">
        <v>19</v>
      </c>
      <c r="E189" t="s">
        <v>21</v>
      </c>
      <c r="F189">
        <v>2050</v>
      </c>
      <c r="G189" t="s">
        <v>55</v>
      </c>
      <c r="H189">
        <v>0.17581688688569941</v>
      </c>
      <c r="I189" t="s">
        <v>52</v>
      </c>
      <c r="J189">
        <v>7.1718586287704321E-4</v>
      </c>
      <c r="K189" t="s">
        <v>25</v>
      </c>
      <c r="L189">
        <v>-1.280478228748754E-2</v>
      </c>
      <c r="M189">
        <v>4.0791637002610239E-3</v>
      </c>
      <c r="N189">
        <v>-7.2830218497794724E-2</v>
      </c>
    </row>
    <row r="190" spans="1:14" hidden="1" x14ac:dyDescent="0.35">
      <c r="A190" s="1">
        <v>188</v>
      </c>
      <c r="B190" t="s">
        <v>81</v>
      </c>
      <c r="C190" t="s">
        <v>16</v>
      </c>
      <c r="D190" t="s">
        <v>19</v>
      </c>
      <c r="E190" t="s">
        <v>21</v>
      </c>
      <c r="F190">
        <v>2050</v>
      </c>
      <c r="G190" t="s">
        <v>106</v>
      </c>
      <c r="H190">
        <v>2.514562787094186E-3</v>
      </c>
      <c r="I190" t="s">
        <v>52</v>
      </c>
      <c r="J190">
        <v>9.7806960437051265E-6</v>
      </c>
      <c r="K190" t="s">
        <v>25</v>
      </c>
      <c r="L190">
        <v>-1.7462653677712889E-4</v>
      </c>
      <c r="M190">
        <v>3.8896209288962081E-3</v>
      </c>
      <c r="N190">
        <v>-6.9446083300598843E-2</v>
      </c>
    </row>
    <row r="191" spans="1:14" hidden="1" x14ac:dyDescent="0.35">
      <c r="A191" s="1">
        <v>189</v>
      </c>
      <c r="B191" t="s">
        <v>81</v>
      </c>
      <c r="C191" t="s">
        <v>16</v>
      </c>
      <c r="D191" t="s">
        <v>19</v>
      </c>
      <c r="E191" t="s">
        <v>21</v>
      </c>
      <c r="F191">
        <v>2050</v>
      </c>
      <c r="G191" t="s">
        <v>106</v>
      </c>
      <c r="H191">
        <v>7.0921717369227723E-3</v>
      </c>
      <c r="I191" t="s">
        <v>52</v>
      </c>
      <c r="J191">
        <v>2.7425789456344829E-5</v>
      </c>
      <c r="K191" t="s">
        <v>25</v>
      </c>
      <c r="L191">
        <v>-4.8966562397392735E-4</v>
      </c>
      <c r="M191">
        <v>3.867050950495542E-3</v>
      </c>
      <c r="N191">
        <v>-6.9043114314993825E-2</v>
      </c>
    </row>
    <row r="192" spans="1:14" hidden="1" x14ac:dyDescent="0.35">
      <c r="A192" s="1">
        <v>190</v>
      </c>
      <c r="B192" t="s">
        <v>81</v>
      </c>
      <c r="C192" t="s">
        <v>16</v>
      </c>
      <c r="D192" t="s">
        <v>19</v>
      </c>
      <c r="E192" t="s">
        <v>21</v>
      </c>
      <c r="F192">
        <v>2050</v>
      </c>
      <c r="G192" t="s">
        <v>106</v>
      </c>
      <c r="H192">
        <v>1.8606622052988721E-2</v>
      </c>
      <c r="I192" t="s">
        <v>52</v>
      </c>
      <c r="J192">
        <v>8.0345327751357498E-5</v>
      </c>
      <c r="K192" t="s">
        <v>25</v>
      </c>
      <c r="L192">
        <v>-1.4345018257134071E-3</v>
      </c>
      <c r="M192">
        <v>4.3181039267926602E-3</v>
      </c>
      <c r="N192">
        <v>-7.7096305908088678E-2</v>
      </c>
    </row>
    <row r="193" spans="1:14" hidden="1" x14ac:dyDescent="0.35">
      <c r="A193" s="1">
        <v>191</v>
      </c>
      <c r="B193" t="s">
        <v>81</v>
      </c>
      <c r="C193" t="s">
        <v>16</v>
      </c>
      <c r="D193" t="s">
        <v>19</v>
      </c>
      <c r="E193" t="s">
        <v>21</v>
      </c>
      <c r="F193">
        <v>2050</v>
      </c>
      <c r="G193" t="s">
        <v>55</v>
      </c>
      <c r="H193">
        <v>2.2578126538395089E-2</v>
      </c>
      <c r="I193" t="s">
        <v>52</v>
      </c>
      <c r="J193">
        <v>9.0318000407664772E-5</v>
      </c>
      <c r="K193" t="s">
        <v>25</v>
      </c>
      <c r="L193">
        <v>-1.612555951984281E-3</v>
      </c>
      <c r="M193">
        <v>4.0002433441089572E-3</v>
      </c>
      <c r="N193">
        <v>-7.142115840488622E-2</v>
      </c>
    </row>
    <row r="194" spans="1:14" hidden="1" x14ac:dyDescent="0.35">
      <c r="A194" s="1">
        <v>192</v>
      </c>
      <c r="B194" t="s">
        <v>81</v>
      </c>
      <c r="C194" t="s">
        <v>16</v>
      </c>
      <c r="D194" t="s">
        <v>19</v>
      </c>
      <c r="E194" t="s">
        <v>21</v>
      </c>
      <c r="F194">
        <v>2050</v>
      </c>
      <c r="G194" t="s">
        <v>55</v>
      </c>
      <c r="H194">
        <v>1.664899950629182E-3</v>
      </c>
      <c r="I194" t="s">
        <v>52</v>
      </c>
      <c r="J194">
        <v>6.7338641560078156E-6</v>
      </c>
      <c r="K194" t="s">
        <v>25</v>
      </c>
      <c r="L194">
        <v>-1.2022778046027791E-4</v>
      </c>
      <c r="M194">
        <v>4.0446058956653949E-3</v>
      </c>
      <c r="N194">
        <v>-7.2213216424712276E-2</v>
      </c>
    </row>
    <row r="195" spans="1:14" hidden="1" x14ac:dyDescent="0.35">
      <c r="A195" s="1">
        <v>193</v>
      </c>
      <c r="B195" t="s">
        <v>81</v>
      </c>
      <c r="C195" t="s">
        <v>16</v>
      </c>
      <c r="D195" t="s">
        <v>19</v>
      </c>
      <c r="E195" t="s">
        <v>21</v>
      </c>
      <c r="F195">
        <v>2050</v>
      </c>
      <c r="G195" t="s">
        <v>55</v>
      </c>
      <c r="H195">
        <v>4.2678327701640133E-3</v>
      </c>
      <c r="I195" t="s">
        <v>52</v>
      </c>
      <c r="J195">
        <v>1.7261701583919361E-5</v>
      </c>
      <c r="K195" t="s">
        <v>25</v>
      </c>
      <c r="L195">
        <v>-3.0819393149633353E-4</v>
      </c>
      <c r="M195">
        <v>4.0446058956653992E-3</v>
      </c>
      <c r="N195">
        <v>-7.2213216424712345E-2</v>
      </c>
    </row>
    <row r="196" spans="1:14" hidden="1" x14ac:dyDescent="0.35">
      <c r="A196" s="1">
        <v>194</v>
      </c>
      <c r="B196" t="s">
        <v>81</v>
      </c>
      <c r="C196" t="s">
        <v>16</v>
      </c>
      <c r="D196" t="s">
        <v>19</v>
      </c>
      <c r="E196" t="s">
        <v>21</v>
      </c>
      <c r="F196">
        <v>2050</v>
      </c>
      <c r="G196" t="s">
        <v>106</v>
      </c>
      <c r="H196">
        <v>7.5715306175352833E-3</v>
      </c>
      <c r="I196" t="s">
        <v>52</v>
      </c>
      <c r="J196">
        <v>3.2694656091409922E-5</v>
      </c>
      <c r="K196" t="s">
        <v>25</v>
      </c>
      <c r="L196">
        <v>-5.8373704068195907E-4</v>
      </c>
      <c r="M196">
        <v>4.318103926792655E-3</v>
      </c>
      <c r="N196">
        <v>-7.709630590808858E-2</v>
      </c>
    </row>
    <row r="197" spans="1:14" hidden="1" x14ac:dyDescent="0.35">
      <c r="A197" s="1">
        <v>195</v>
      </c>
      <c r="B197" t="s">
        <v>81</v>
      </c>
      <c r="C197" t="s">
        <v>16</v>
      </c>
      <c r="D197" t="s">
        <v>19</v>
      </c>
      <c r="E197" t="s">
        <v>21</v>
      </c>
      <c r="F197">
        <v>2050</v>
      </c>
      <c r="G197" t="s">
        <v>55</v>
      </c>
      <c r="H197">
        <v>3.866914028812134E-3</v>
      </c>
      <c r="I197" t="s">
        <v>52</v>
      </c>
      <c r="J197">
        <v>1.424076264391888E-5</v>
      </c>
      <c r="K197" t="s">
        <v>25</v>
      </c>
      <c r="L197">
        <v>-2.5425747313486769E-4</v>
      </c>
      <c r="M197">
        <v>3.6827202616380528E-3</v>
      </c>
      <c r="N197">
        <v>-6.5752036699138178E-2</v>
      </c>
    </row>
    <row r="198" spans="1:14" hidden="1" x14ac:dyDescent="0.35">
      <c r="A198" s="1">
        <v>196</v>
      </c>
      <c r="B198" t="s">
        <v>81</v>
      </c>
      <c r="C198" t="s">
        <v>16</v>
      </c>
      <c r="D198" t="s">
        <v>19</v>
      </c>
      <c r="E198" t="s">
        <v>21</v>
      </c>
      <c r="F198">
        <v>2050</v>
      </c>
      <c r="G198" t="s">
        <v>55</v>
      </c>
      <c r="H198">
        <v>1.8801566392684741E-2</v>
      </c>
      <c r="I198" t="s">
        <v>52</v>
      </c>
      <c r="J198">
        <v>7.6044926279596976E-5</v>
      </c>
      <c r="K198" t="s">
        <v>25</v>
      </c>
      <c r="L198">
        <v>-1.357721583038539E-3</v>
      </c>
      <c r="M198">
        <v>4.0446058956653914E-3</v>
      </c>
      <c r="N198">
        <v>-7.2213216424712207E-2</v>
      </c>
    </row>
    <row r="199" spans="1:14" hidden="1" x14ac:dyDescent="0.35">
      <c r="A199" s="1">
        <v>197</v>
      </c>
      <c r="B199" t="s">
        <v>81</v>
      </c>
      <c r="C199" t="s">
        <v>16</v>
      </c>
      <c r="D199" t="s">
        <v>19</v>
      </c>
      <c r="E199" t="s">
        <v>21</v>
      </c>
      <c r="F199">
        <v>2050</v>
      </c>
      <c r="G199" t="s">
        <v>107</v>
      </c>
      <c r="H199">
        <v>5.0951933328401631E-11</v>
      </c>
      <c r="I199" t="s">
        <v>52</v>
      </c>
      <c r="J199">
        <v>1.8266637708342029E-12</v>
      </c>
      <c r="K199" t="s">
        <v>25</v>
      </c>
      <c r="L199">
        <v>-3.2613626548830999E-11</v>
      </c>
      <c r="M199">
        <v>3.5850725409392541E-2</v>
      </c>
      <c r="N199">
        <v>-0.64008614430046584</v>
      </c>
    </row>
    <row r="200" spans="1:14" hidden="1" x14ac:dyDescent="0.35">
      <c r="A200" s="1">
        <v>198</v>
      </c>
      <c r="B200" t="s">
        <v>81</v>
      </c>
      <c r="C200" t="s">
        <v>16</v>
      </c>
      <c r="D200" t="s">
        <v>19</v>
      </c>
      <c r="E200" t="s">
        <v>21</v>
      </c>
      <c r="F200">
        <v>2050</v>
      </c>
      <c r="G200" t="s">
        <v>108</v>
      </c>
      <c r="H200">
        <v>8.9895200265109533E-4</v>
      </c>
      <c r="I200" t="s">
        <v>52</v>
      </c>
      <c r="J200">
        <v>1.7594221974748611E-5</v>
      </c>
      <c r="K200" t="s">
        <v>25</v>
      </c>
      <c r="L200">
        <v>-3.1413081819630018E-4</v>
      </c>
      <c r="M200">
        <v>1.957192589021613E-2</v>
      </c>
      <c r="N200">
        <v>-0.34944114621236549</v>
      </c>
    </row>
    <row r="201" spans="1:14" hidden="1" x14ac:dyDescent="0.35">
      <c r="A201" s="1">
        <v>199</v>
      </c>
      <c r="B201" t="s">
        <v>81</v>
      </c>
      <c r="C201" t="s">
        <v>16</v>
      </c>
      <c r="D201" t="s">
        <v>19</v>
      </c>
      <c r="E201" t="s">
        <v>21</v>
      </c>
      <c r="F201">
        <v>2050</v>
      </c>
      <c r="G201" t="s">
        <v>108</v>
      </c>
      <c r="H201">
        <v>5.5117179711649991E-4</v>
      </c>
      <c r="I201" t="s">
        <v>52</v>
      </c>
      <c r="J201">
        <v>1.0787493565941369E-5</v>
      </c>
      <c r="K201" t="s">
        <v>25</v>
      </c>
      <c r="L201">
        <v>-1.9260210454431911E-4</v>
      </c>
      <c r="M201">
        <v>1.957192589021613E-2</v>
      </c>
      <c r="N201">
        <v>-0.34944114621236538</v>
      </c>
    </row>
    <row r="202" spans="1:14" hidden="1" x14ac:dyDescent="0.35">
      <c r="A202" s="1">
        <v>200</v>
      </c>
      <c r="B202" t="s">
        <v>81</v>
      </c>
      <c r="C202" t="s">
        <v>16</v>
      </c>
      <c r="D202" t="s">
        <v>19</v>
      </c>
      <c r="E202" t="s">
        <v>21</v>
      </c>
      <c r="F202">
        <v>2050</v>
      </c>
      <c r="G202" t="s">
        <v>108</v>
      </c>
      <c r="H202">
        <v>1.0249378832226279E-3</v>
      </c>
      <c r="I202" t="s">
        <v>52</v>
      </c>
      <c r="J202">
        <v>2.0060008292508269E-5</v>
      </c>
      <c r="K202" t="s">
        <v>25</v>
      </c>
      <c r="L202">
        <v>-3.5815546870979068E-4</v>
      </c>
      <c r="M202">
        <v>1.957192589021612E-2</v>
      </c>
      <c r="N202">
        <v>-0.34944114621236538</v>
      </c>
    </row>
    <row r="203" spans="1:14" hidden="1" x14ac:dyDescent="0.35">
      <c r="A203" s="1">
        <v>201</v>
      </c>
      <c r="B203" t="s">
        <v>81</v>
      </c>
      <c r="C203" t="s">
        <v>16</v>
      </c>
      <c r="D203" t="s">
        <v>19</v>
      </c>
      <c r="E203" t="s">
        <v>21</v>
      </c>
      <c r="F203">
        <v>2050</v>
      </c>
      <c r="G203" t="s">
        <v>108</v>
      </c>
      <c r="H203">
        <v>3.2362592368855921E-2</v>
      </c>
      <c r="I203" t="s">
        <v>52</v>
      </c>
      <c r="J203">
        <v>2.3599046193993359E-4</v>
      </c>
      <c r="K203" t="s">
        <v>25</v>
      </c>
      <c r="L203">
        <v>-4.2134217132254511E-3</v>
      </c>
      <c r="M203">
        <v>7.292075345825464E-3</v>
      </c>
      <c r="N203">
        <v>-0.130194196595951</v>
      </c>
    </row>
    <row r="204" spans="1:14" hidden="1" x14ac:dyDescent="0.35">
      <c r="A204" s="1">
        <v>202</v>
      </c>
      <c r="B204" t="s">
        <v>81</v>
      </c>
      <c r="C204" t="s">
        <v>16</v>
      </c>
      <c r="D204" t="s">
        <v>19</v>
      </c>
      <c r="E204" t="s">
        <v>21</v>
      </c>
      <c r="F204">
        <v>2050</v>
      </c>
      <c r="G204" t="s">
        <v>108</v>
      </c>
      <c r="H204">
        <v>3.1588331277980157E-2</v>
      </c>
      <c r="I204" t="s">
        <v>52</v>
      </c>
      <c r="J204">
        <v>6.1824447876822374E-4</v>
      </c>
      <c r="K204" t="s">
        <v>25</v>
      </c>
      <c r="L204">
        <v>-1.10382626887133E-2</v>
      </c>
      <c r="M204">
        <v>1.957192589021612E-2</v>
      </c>
      <c r="N204">
        <v>-0.34944114621236538</v>
      </c>
    </row>
    <row r="205" spans="1:14" hidden="1" x14ac:dyDescent="0.35">
      <c r="A205" s="1">
        <v>203</v>
      </c>
      <c r="B205" t="s">
        <v>81</v>
      </c>
      <c r="C205" t="s">
        <v>16</v>
      </c>
      <c r="D205" t="s">
        <v>19</v>
      </c>
      <c r="E205" t="s">
        <v>21</v>
      </c>
      <c r="F205">
        <v>2050</v>
      </c>
      <c r="G205" t="s">
        <v>102</v>
      </c>
      <c r="H205">
        <v>7.4230240598200767E-13</v>
      </c>
      <c r="I205" t="s">
        <v>52</v>
      </c>
      <c r="J205">
        <v>6.2990250847450607E-13</v>
      </c>
      <c r="K205" t="s">
        <v>25</v>
      </c>
      <c r="L205">
        <v>-1.124640752259383E-11</v>
      </c>
      <c r="M205">
        <v>0.84857937061539579</v>
      </c>
      <c r="N205">
        <v>-15.15070870303286</v>
      </c>
    </row>
    <row r="206" spans="1:14" hidden="1" x14ac:dyDescent="0.35">
      <c r="A206" s="1">
        <v>204</v>
      </c>
      <c r="B206" t="s">
        <v>81</v>
      </c>
      <c r="C206" t="s">
        <v>16</v>
      </c>
      <c r="D206" t="s">
        <v>19</v>
      </c>
      <c r="E206" t="s">
        <v>21</v>
      </c>
      <c r="F206">
        <v>2050</v>
      </c>
      <c r="G206" t="s">
        <v>102</v>
      </c>
      <c r="H206">
        <v>9.4273079856548668E-13</v>
      </c>
      <c r="I206" t="s">
        <v>52</v>
      </c>
      <c r="J206">
        <v>7.6141581358363387E-13</v>
      </c>
      <c r="K206" t="s">
        <v>25</v>
      </c>
      <c r="L206">
        <v>-1.3594472824766441E-11</v>
      </c>
      <c r="M206">
        <v>0.80767045559797968</v>
      </c>
      <c r="N206">
        <v>-14.42031261252159</v>
      </c>
    </row>
    <row r="207" spans="1:14" hidden="1" x14ac:dyDescent="0.35">
      <c r="A207" s="1">
        <v>205</v>
      </c>
      <c r="B207" t="s">
        <v>81</v>
      </c>
      <c r="C207" t="s">
        <v>16</v>
      </c>
      <c r="D207" t="s">
        <v>19</v>
      </c>
      <c r="E207" t="s">
        <v>21</v>
      </c>
      <c r="F207">
        <v>2050</v>
      </c>
      <c r="G207" t="s">
        <v>102</v>
      </c>
      <c r="H207">
        <v>1.522668802403976E-12</v>
      </c>
      <c r="I207" t="s">
        <v>52</v>
      </c>
      <c r="J207">
        <v>1.558195057084672E-12</v>
      </c>
      <c r="K207" t="s">
        <v>25</v>
      </c>
      <c r="L207">
        <v>-2.782033152099255E-11</v>
      </c>
      <c r="M207">
        <v>1.0233315706111581</v>
      </c>
      <c r="N207">
        <v>-18.270770030271891</v>
      </c>
    </row>
    <row r="208" spans="1:14" hidden="1" x14ac:dyDescent="0.35">
      <c r="A208" s="1">
        <v>206</v>
      </c>
      <c r="B208" t="s">
        <v>81</v>
      </c>
      <c r="C208" t="s">
        <v>16</v>
      </c>
      <c r="D208" t="s">
        <v>19</v>
      </c>
      <c r="E208" t="s">
        <v>21</v>
      </c>
      <c r="F208">
        <v>2050</v>
      </c>
      <c r="G208" t="s">
        <v>102</v>
      </c>
      <c r="H208">
        <v>1.013441057673356E-13</v>
      </c>
      <c r="I208" t="s">
        <v>52</v>
      </c>
      <c r="J208">
        <v>7.3273350449290001E-14</v>
      </c>
      <c r="K208" t="s">
        <v>25</v>
      </c>
      <c r="L208">
        <v>-1.3082373043635871E-12</v>
      </c>
      <c r="M208">
        <v>0.72301541263297475</v>
      </c>
      <c r="N208">
        <v>-12.908864254691039</v>
      </c>
    </row>
    <row r="209" spans="1:14" hidden="1" x14ac:dyDescent="0.35">
      <c r="A209" s="1">
        <v>207</v>
      </c>
      <c r="B209" t="s">
        <v>81</v>
      </c>
      <c r="C209" t="s">
        <v>16</v>
      </c>
      <c r="D209" t="s">
        <v>19</v>
      </c>
      <c r="E209" t="s">
        <v>21</v>
      </c>
      <c r="F209">
        <v>2050</v>
      </c>
      <c r="G209" t="s">
        <v>102</v>
      </c>
      <c r="H209">
        <v>1.31638337715799E-12</v>
      </c>
      <c r="I209" t="s">
        <v>52</v>
      </c>
      <c r="J209">
        <v>1.016156068292274E-12</v>
      </c>
      <c r="K209" t="s">
        <v>25</v>
      </c>
      <c r="L209">
        <v>-1.814265715221252E-11</v>
      </c>
      <c r="M209">
        <v>0.77193018836663496</v>
      </c>
      <c r="N209">
        <v>-13.782198611001659</v>
      </c>
    </row>
    <row r="210" spans="1:14" hidden="1" x14ac:dyDescent="0.35">
      <c r="A210" s="1">
        <v>208</v>
      </c>
      <c r="B210" t="s">
        <v>81</v>
      </c>
      <c r="C210" t="s">
        <v>16</v>
      </c>
      <c r="D210" t="s">
        <v>19</v>
      </c>
      <c r="E210" t="s">
        <v>21</v>
      </c>
      <c r="F210">
        <v>2050</v>
      </c>
      <c r="G210" t="s">
        <v>102</v>
      </c>
      <c r="H210">
        <v>1.029728616588855E-11</v>
      </c>
      <c r="I210" t="s">
        <v>52</v>
      </c>
      <c r="J210">
        <v>8.6373548112669206E-12</v>
      </c>
      <c r="K210" t="s">
        <v>25</v>
      </c>
      <c r="L210">
        <v>-1.542130898319416E-10</v>
      </c>
      <c r="M210">
        <v>0.83879914300911385</v>
      </c>
      <c r="N210">
        <v>-14.976090529832771</v>
      </c>
    </row>
    <row r="211" spans="1:14" hidden="1" x14ac:dyDescent="0.35">
      <c r="A211" s="1">
        <v>209</v>
      </c>
      <c r="B211" t="s">
        <v>81</v>
      </c>
      <c r="C211" t="s">
        <v>16</v>
      </c>
      <c r="D211" t="s">
        <v>19</v>
      </c>
      <c r="E211" t="s">
        <v>21</v>
      </c>
      <c r="F211">
        <v>2050</v>
      </c>
      <c r="G211" t="s">
        <v>102</v>
      </c>
      <c r="H211">
        <v>3.5443924614979312E-14</v>
      </c>
      <c r="I211" t="s">
        <v>52</v>
      </c>
      <c r="J211">
        <v>4.1886855306681229E-14</v>
      </c>
      <c r="K211" t="s">
        <v>25</v>
      </c>
      <c r="L211">
        <v>-7.4785643537078396E-13</v>
      </c>
      <c r="M211">
        <v>1.181778140025131</v>
      </c>
      <c r="N211">
        <v>-21.0997073121729</v>
      </c>
    </row>
    <row r="212" spans="1:14" hidden="1" x14ac:dyDescent="0.35">
      <c r="A212" s="1">
        <v>210</v>
      </c>
      <c r="B212" t="s">
        <v>81</v>
      </c>
      <c r="C212" t="s">
        <v>16</v>
      </c>
      <c r="D212" t="s">
        <v>19</v>
      </c>
      <c r="E212" t="s">
        <v>21</v>
      </c>
      <c r="F212">
        <v>2050</v>
      </c>
      <c r="G212" t="s">
        <v>102</v>
      </c>
      <c r="H212">
        <v>3.0883903736040179E-13</v>
      </c>
      <c r="I212" t="s">
        <v>52</v>
      </c>
      <c r="J212">
        <v>2.75208083592954E-13</v>
      </c>
      <c r="K212" t="s">
        <v>25</v>
      </c>
      <c r="L212">
        <v>-4.9136211079618166E-12</v>
      </c>
      <c r="M212">
        <v>0.8911052370358159</v>
      </c>
      <c r="N212">
        <v>-15.90997417281752</v>
      </c>
    </row>
    <row r="213" spans="1:14" hidden="1" x14ac:dyDescent="0.35">
      <c r="A213" s="1">
        <v>211</v>
      </c>
      <c r="B213" t="s">
        <v>81</v>
      </c>
      <c r="C213" t="s">
        <v>16</v>
      </c>
      <c r="D213" t="s">
        <v>19</v>
      </c>
      <c r="E213" t="s">
        <v>21</v>
      </c>
      <c r="F213">
        <v>2050</v>
      </c>
      <c r="G213" t="s">
        <v>102</v>
      </c>
      <c r="H213">
        <v>5.2786576953207983E-12</v>
      </c>
      <c r="I213" t="s">
        <v>52</v>
      </c>
      <c r="J213">
        <v>4.8735016948330474E-12</v>
      </c>
      <c r="K213" t="s">
        <v>25</v>
      </c>
      <c r="L213">
        <v>-8.7012490639037459E-11</v>
      </c>
      <c r="M213">
        <v>0.92324639636192063</v>
      </c>
      <c r="N213">
        <v>-16.48382896965807</v>
      </c>
    </row>
    <row r="214" spans="1:14" hidden="1" x14ac:dyDescent="0.35">
      <c r="A214" s="1">
        <v>212</v>
      </c>
      <c r="B214" t="s">
        <v>81</v>
      </c>
      <c r="C214" t="s">
        <v>16</v>
      </c>
      <c r="D214" t="s">
        <v>19</v>
      </c>
      <c r="E214" t="s">
        <v>21</v>
      </c>
      <c r="F214">
        <v>2050</v>
      </c>
      <c r="G214" t="s">
        <v>102</v>
      </c>
      <c r="H214">
        <v>5.1856795835003906E-12</v>
      </c>
      <c r="I214" t="s">
        <v>52</v>
      </c>
      <c r="J214">
        <v>4.9807136304315346E-12</v>
      </c>
      <c r="K214" t="s">
        <v>25</v>
      </c>
      <c r="L214">
        <v>-8.892667434652381E-11</v>
      </c>
      <c r="M214">
        <v>0.96047462058376898</v>
      </c>
      <c r="N214">
        <v>-17.148509257970261</v>
      </c>
    </row>
    <row r="215" spans="1:14" x14ac:dyDescent="0.35">
      <c r="A215" s="1">
        <v>213</v>
      </c>
      <c r="B215" t="s">
        <v>81</v>
      </c>
      <c r="C215" t="s">
        <v>16</v>
      </c>
      <c r="D215" t="s">
        <v>19</v>
      </c>
      <c r="E215" t="s">
        <v>21</v>
      </c>
      <c r="F215">
        <v>2050</v>
      </c>
      <c r="G215" t="s">
        <v>109</v>
      </c>
      <c r="H215">
        <v>8.2792809709919296E-4</v>
      </c>
      <c r="I215" t="s">
        <v>52</v>
      </c>
      <c r="J215">
        <v>-1.205809178488965E-6</v>
      </c>
      <c r="K215" t="s">
        <v>25</v>
      </c>
      <c r="L215">
        <v>2.1528762361358091E-5</v>
      </c>
      <c r="M215">
        <v>-1.456417752596816E-3</v>
      </c>
      <c r="N215">
        <v>2.600317882288123E-2</v>
      </c>
    </row>
    <row r="216" spans="1:14" hidden="1" x14ac:dyDescent="0.35">
      <c r="A216" s="1">
        <v>214</v>
      </c>
      <c r="B216" t="s">
        <v>81</v>
      </c>
      <c r="C216" t="s">
        <v>16</v>
      </c>
      <c r="D216" t="s">
        <v>19</v>
      </c>
      <c r="E216" t="s">
        <v>21</v>
      </c>
      <c r="F216">
        <v>2050</v>
      </c>
      <c r="G216" t="s">
        <v>110</v>
      </c>
      <c r="H216">
        <v>2.6967044702468499E-12</v>
      </c>
      <c r="I216" t="s">
        <v>52</v>
      </c>
      <c r="J216">
        <v>4.9659356781648533E-13</v>
      </c>
      <c r="K216" t="s">
        <v>25</v>
      </c>
      <c r="L216">
        <v>-8.8662825780587713E-12</v>
      </c>
      <c r="M216">
        <v>0.18414830890647371</v>
      </c>
      <c r="N216">
        <v>-3.287821367110046</v>
      </c>
    </row>
    <row r="217" spans="1:14" hidden="1" x14ac:dyDescent="0.35">
      <c r="A217" s="1">
        <v>215</v>
      </c>
      <c r="B217" t="s">
        <v>81</v>
      </c>
      <c r="C217" t="s">
        <v>16</v>
      </c>
      <c r="D217" t="s">
        <v>19</v>
      </c>
      <c r="E217" t="s">
        <v>21</v>
      </c>
      <c r="F217">
        <v>2050</v>
      </c>
      <c r="G217" t="s">
        <v>110</v>
      </c>
      <c r="H217">
        <v>2.567675548225463E-12</v>
      </c>
      <c r="I217" t="s">
        <v>52</v>
      </c>
      <c r="J217">
        <v>4.7283311002622206E-13</v>
      </c>
      <c r="K217" t="s">
        <v>25</v>
      </c>
      <c r="L217">
        <v>-8.4420585312616866E-12</v>
      </c>
      <c r="M217">
        <v>0.1841483089064738</v>
      </c>
      <c r="N217">
        <v>-3.2878213671100491</v>
      </c>
    </row>
    <row r="218" spans="1:14" hidden="1" x14ac:dyDescent="0.35">
      <c r="A218" s="1">
        <v>216</v>
      </c>
      <c r="B218" t="s">
        <v>81</v>
      </c>
      <c r="C218" t="s">
        <v>16</v>
      </c>
      <c r="D218" t="s">
        <v>19</v>
      </c>
      <c r="E218" t="s">
        <v>21</v>
      </c>
      <c r="F218">
        <v>2050</v>
      </c>
      <c r="G218" t="s">
        <v>110</v>
      </c>
      <c r="H218">
        <v>8.2320452249640588E-12</v>
      </c>
      <c r="I218" t="s">
        <v>52</v>
      </c>
      <c r="J218">
        <v>1.5159172070187441E-12</v>
      </c>
      <c r="K218" t="s">
        <v>25</v>
      </c>
      <c r="L218">
        <v>-2.7065494185653079E-11</v>
      </c>
      <c r="M218">
        <v>0.1841483089064738</v>
      </c>
      <c r="N218">
        <v>-3.2878213671100478</v>
      </c>
    </row>
    <row r="219" spans="1:14" hidden="1" x14ac:dyDescent="0.35">
      <c r="A219" s="1">
        <v>217</v>
      </c>
      <c r="B219" t="s">
        <v>81</v>
      </c>
      <c r="C219" t="s">
        <v>16</v>
      </c>
      <c r="D219" t="s">
        <v>19</v>
      </c>
      <c r="E219" t="s">
        <v>21</v>
      </c>
      <c r="F219">
        <v>2050</v>
      </c>
      <c r="G219" t="s">
        <v>110</v>
      </c>
      <c r="H219">
        <v>1.3006115339755141E-11</v>
      </c>
      <c r="I219" t="s">
        <v>52</v>
      </c>
      <c r="J219">
        <v>2.395054145258469E-12</v>
      </c>
      <c r="K219" t="s">
        <v>25</v>
      </c>
      <c r="L219">
        <v>-4.2761783917144929E-11</v>
      </c>
      <c r="M219">
        <v>0.18414830890647471</v>
      </c>
      <c r="N219">
        <v>-3.2878213671100651</v>
      </c>
    </row>
    <row r="220" spans="1:14" hidden="1" x14ac:dyDescent="0.35">
      <c r="A220" s="1">
        <v>218</v>
      </c>
      <c r="B220" t="s">
        <v>81</v>
      </c>
      <c r="C220" t="s">
        <v>16</v>
      </c>
      <c r="D220" t="s">
        <v>19</v>
      </c>
      <c r="E220" t="s">
        <v>21</v>
      </c>
      <c r="F220">
        <v>2050</v>
      </c>
      <c r="G220" t="s">
        <v>110</v>
      </c>
      <c r="H220">
        <v>1.0477148468136091E-11</v>
      </c>
      <c r="I220" t="s">
        <v>52</v>
      </c>
      <c r="J220">
        <v>1.9293491725693132E-12</v>
      </c>
      <c r="K220" t="s">
        <v>25</v>
      </c>
      <c r="L220">
        <v>-3.4446992599922152E-11</v>
      </c>
      <c r="M220">
        <v>0.18414830890647371</v>
      </c>
      <c r="N220">
        <v>-3.2878213671100469</v>
      </c>
    </row>
    <row r="221" spans="1:14" hidden="1" x14ac:dyDescent="0.35">
      <c r="A221" s="1">
        <v>219</v>
      </c>
      <c r="B221" t="s">
        <v>81</v>
      </c>
      <c r="C221" t="s">
        <v>16</v>
      </c>
      <c r="D221" t="s">
        <v>19</v>
      </c>
      <c r="E221" t="s">
        <v>21</v>
      </c>
      <c r="F221">
        <v>2050</v>
      </c>
      <c r="G221" t="s">
        <v>110</v>
      </c>
      <c r="H221">
        <v>1.1173904647051539E-11</v>
      </c>
      <c r="I221" t="s">
        <v>52</v>
      </c>
      <c r="J221">
        <v>2.0576556446367348E-12</v>
      </c>
      <c r="K221" t="s">
        <v>25</v>
      </c>
      <c r="L221">
        <v>-3.6737802452626412E-11</v>
      </c>
      <c r="M221">
        <v>0.1841483089064743</v>
      </c>
      <c r="N221">
        <v>-3.2878213671100571</v>
      </c>
    </row>
    <row r="222" spans="1:14" hidden="1" x14ac:dyDescent="0.35">
      <c r="A222" s="1">
        <v>220</v>
      </c>
      <c r="B222" t="s">
        <v>81</v>
      </c>
      <c r="C222" t="s">
        <v>16</v>
      </c>
      <c r="D222" t="s">
        <v>19</v>
      </c>
      <c r="E222" t="s">
        <v>21</v>
      </c>
      <c r="F222">
        <v>2050</v>
      </c>
      <c r="G222" t="s">
        <v>110</v>
      </c>
      <c r="H222">
        <v>4.3006388723674291E-13</v>
      </c>
      <c r="I222" t="s">
        <v>52</v>
      </c>
      <c r="J222">
        <v>7.9195537556390799E-14</v>
      </c>
      <c r="K222" t="s">
        <v>25</v>
      </c>
      <c r="L222">
        <v>-1.4139732376793729E-12</v>
      </c>
      <c r="M222">
        <v>0.18414830890647421</v>
      </c>
      <c r="N222">
        <v>-3.2878213671100549</v>
      </c>
    </row>
    <row r="223" spans="1:14" hidden="1" x14ac:dyDescent="0.35">
      <c r="A223" s="1">
        <v>221</v>
      </c>
      <c r="B223" t="s">
        <v>81</v>
      </c>
      <c r="C223" t="s">
        <v>16</v>
      </c>
      <c r="D223" t="s">
        <v>19</v>
      </c>
      <c r="E223" t="s">
        <v>21</v>
      </c>
      <c r="F223">
        <v>2050</v>
      </c>
      <c r="G223" t="s">
        <v>110</v>
      </c>
      <c r="H223">
        <v>1.6580216479747379E-11</v>
      </c>
      <c r="I223" t="s">
        <v>52</v>
      </c>
      <c r="J223">
        <v>3.0532188260487329E-12</v>
      </c>
      <c r="K223" t="s">
        <v>25</v>
      </c>
      <c r="L223">
        <v>-5.4512790013423677E-11</v>
      </c>
      <c r="M223">
        <v>0.1841483089064741</v>
      </c>
      <c r="N223">
        <v>-3.287821367110054</v>
      </c>
    </row>
    <row r="224" spans="1:14" hidden="1" x14ac:dyDescent="0.35">
      <c r="A224" s="1">
        <v>222</v>
      </c>
      <c r="B224" t="s">
        <v>81</v>
      </c>
      <c r="C224" t="s">
        <v>16</v>
      </c>
      <c r="D224" t="s">
        <v>19</v>
      </c>
      <c r="E224" t="s">
        <v>21</v>
      </c>
      <c r="F224">
        <v>2050</v>
      </c>
      <c r="G224" t="s">
        <v>110</v>
      </c>
      <c r="H224">
        <v>2.5805784404276088E-13</v>
      </c>
      <c r="I224" t="s">
        <v>52</v>
      </c>
      <c r="J224">
        <v>4.7520915580524837E-14</v>
      </c>
      <c r="K224" t="s">
        <v>25</v>
      </c>
      <c r="L224">
        <v>-8.4844809359413966E-13</v>
      </c>
      <c r="M224">
        <v>0.1841483089064733</v>
      </c>
      <c r="N224">
        <v>-3.2878213671100389</v>
      </c>
    </row>
    <row r="225" spans="1:14" hidden="1" x14ac:dyDescent="0.35">
      <c r="A225" s="1">
        <v>223</v>
      </c>
      <c r="B225" t="s">
        <v>81</v>
      </c>
      <c r="C225" t="s">
        <v>16</v>
      </c>
      <c r="D225" t="s">
        <v>19</v>
      </c>
      <c r="E225" t="s">
        <v>21</v>
      </c>
      <c r="F225">
        <v>2050</v>
      </c>
      <c r="G225" t="s">
        <v>111</v>
      </c>
      <c r="H225">
        <v>3.089465911705439E-13</v>
      </c>
      <c r="I225" t="s">
        <v>52</v>
      </c>
      <c r="J225">
        <v>4.4149755742913878E-14</v>
      </c>
      <c r="K225" t="s">
        <v>25</v>
      </c>
      <c r="L225">
        <v>-7.8825872008395534E-13</v>
      </c>
      <c r="M225">
        <v>0.14290416856725391</v>
      </c>
      <c r="N225">
        <v>-2.5514400955109511</v>
      </c>
    </row>
    <row r="226" spans="1:14" hidden="1" x14ac:dyDescent="0.35">
      <c r="A226" s="1">
        <v>224</v>
      </c>
      <c r="B226" t="s">
        <v>81</v>
      </c>
      <c r="C226" t="s">
        <v>16</v>
      </c>
      <c r="D226" t="s">
        <v>19</v>
      </c>
      <c r="E226" t="s">
        <v>21</v>
      </c>
      <c r="F226">
        <v>2050</v>
      </c>
      <c r="G226" t="s">
        <v>110</v>
      </c>
      <c r="H226">
        <v>3.0547743032859451E-12</v>
      </c>
      <c r="I226" t="s">
        <v>52</v>
      </c>
      <c r="J226">
        <v>3.9213146922331291E-13</v>
      </c>
      <c r="K226" t="s">
        <v>25</v>
      </c>
      <c r="L226">
        <v>-7.0011950198438149E-12</v>
      </c>
      <c r="M226">
        <v>0.1283667565232256</v>
      </c>
      <c r="N226">
        <v>-2.2918861836413909</v>
      </c>
    </row>
    <row r="227" spans="1:14" hidden="1" x14ac:dyDescent="0.35">
      <c r="A227" s="1">
        <v>225</v>
      </c>
      <c r="B227" t="s">
        <v>81</v>
      </c>
      <c r="C227" t="s">
        <v>16</v>
      </c>
      <c r="D227" t="s">
        <v>19</v>
      </c>
      <c r="E227" t="s">
        <v>21</v>
      </c>
      <c r="F227">
        <v>2050</v>
      </c>
      <c r="G227" t="s">
        <v>110</v>
      </c>
      <c r="H227">
        <v>6.033623614093856E-13</v>
      </c>
      <c r="I227" t="s">
        <v>52</v>
      </c>
      <c r="J227">
        <v>1.111081585113556E-13</v>
      </c>
      <c r="K227" t="s">
        <v>25</v>
      </c>
      <c r="L227">
        <v>-1.9837476639517639E-12</v>
      </c>
      <c r="M227">
        <v>0.18414830890647479</v>
      </c>
      <c r="N227">
        <v>-3.287821367110066</v>
      </c>
    </row>
    <row r="228" spans="1:14" hidden="1" x14ac:dyDescent="0.35">
      <c r="A228" s="1">
        <v>226</v>
      </c>
      <c r="B228" t="s">
        <v>81</v>
      </c>
      <c r="C228" t="s">
        <v>16</v>
      </c>
      <c r="D228" t="s">
        <v>19</v>
      </c>
      <c r="E228" t="s">
        <v>21</v>
      </c>
      <c r="F228">
        <v>2050</v>
      </c>
      <c r="G228" t="s">
        <v>110</v>
      </c>
      <c r="H228">
        <v>6.4722812978565242E-11</v>
      </c>
      <c r="I228" t="s">
        <v>52</v>
      </c>
      <c r="J228">
        <v>1.19185965576727E-11</v>
      </c>
      <c r="K228" t="s">
        <v>25</v>
      </c>
      <c r="L228">
        <v>-2.1279704745039321E-10</v>
      </c>
      <c r="M228">
        <v>0.1841483089064728</v>
      </c>
      <c r="N228">
        <v>-3.28782136711003</v>
      </c>
    </row>
    <row r="229" spans="1:14" hidden="1" x14ac:dyDescent="0.35">
      <c r="A229" s="1">
        <v>227</v>
      </c>
      <c r="B229" t="s">
        <v>81</v>
      </c>
      <c r="C229" t="s">
        <v>16</v>
      </c>
      <c r="D229" t="s">
        <v>19</v>
      </c>
      <c r="E229" t="s">
        <v>21</v>
      </c>
      <c r="F229">
        <v>2050</v>
      </c>
      <c r="G229" t="s">
        <v>110</v>
      </c>
      <c r="H229">
        <v>2.8919244912854541E-11</v>
      </c>
      <c r="I229" t="s">
        <v>52</v>
      </c>
      <c r="J229">
        <v>5.3254300455542801E-12</v>
      </c>
      <c r="K229" t="s">
        <v>25</v>
      </c>
      <c r="L229">
        <v>-9.5081311345171235E-11</v>
      </c>
      <c r="M229">
        <v>0.1841483089064728</v>
      </c>
      <c r="N229">
        <v>-3.2878213671100309</v>
      </c>
    </row>
    <row r="230" spans="1:14" hidden="1" x14ac:dyDescent="0.35">
      <c r="A230" s="1">
        <v>228</v>
      </c>
      <c r="B230" t="s">
        <v>81</v>
      </c>
      <c r="C230" t="s">
        <v>16</v>
      </c>
      <c r="D230" t="s">
        <v>19</v>
      </c>
      <c r="E230" t="s">
        <v>21</v>
      </c>
      <c r="F230">
        <v>2050</v>
      </c>
      <c r="G230" t="s">
        <v>110</v>
      </c>
      <c r="H230">
        <v>5.0642061665337678E-13</v>
      </c>
      <c r="I230" t="s">
        <v>52</v>
      </c>
      <c r="J230">
        <v>9.3256500152093036E-14</v>
      </c>
      <c r="K230" t="s">
        <v>25</v>
      </c>
      <c r="L230">
        <v>-1.66502052417802E-12</v>
      </c>
      <c r="M230">
        <v>0.18414830890647391</v>
      </c>
      <c r="N230">
        <v>-3.2878213671100509</v>
      </c>
    </row>
    <row r="231" spans="1:14" hidden="1" x14ac:dyDescent="0.35">
      <c r="A231" s="1">
        <v>229</v>
      </c>
      <c r="B231" t="s">
        <v>81</v>
      </c>
      <c r="C231" t="s">
        <v>16</v>
      </c>
      <c r="D231" t="s">
        <v>19</v>
      </c>
      <c r="E231" t="s">
        <v>21</v>
      </c>
      <c r="F231">
        <v>2050</v>
      </c>
      <c r="G231" t="s">
        <v>112</v>
      </c>
      <c r="H231">
        <v>1.6965309057692801E-11</v>
      </c>
      <c r="I231" t="s">
        <v>52</v>
      </c>
      <c r="J231">
        <v>9.7128269064860683E-12</v>
      </c>
      <c r="K231" t="s">
        <v>25</v>
      </c>
      <c r="L231">
        <v>-1.7341478739511601E-10</v>
      </c>
      <c r="M231">
        <v>0.57251105025297822</v>
      </c>
      <c r="N231">
        <v>-10.221728752797601</v>
      </c>
    </row>
    <row r="232" spans="1:14" hidden="1" x14ac:dyDescent="0.35">
      <c r="A232" s="1">
        <v>230</v>
      </c>
      <c r="B232" t="s">
        <v>81</v>
      </c>
      <c r="C232" t="s">
        <v>16</v>
      </c>
      <c r="D232" t="s">
        <v>19</v>
      </c>
      <c r="E232" t="s">
        <v>21</v>
      </c>
      <c r="F232">
        <v>2050</v>
      </c>
      <c r="G232" t="s">
        <v>112</v>
      </c>
      <c r="H232">
        <v>3.521700759923701E-12</v>
      </c>
      <c r="I232" t="s">
        <v>52</v>
      </c>
      <c r="J232">
        <v>2.1245202174836861E-12</v>
      </c>
      <c r="K232" t="s">
        <v>25</v>
      </c>
      <c r="L232">
        <v>-3.7931616137988823E-11</v>
      </c>
      <c r="M232">
        <v>0.60326539996252115</v>
      </c>
      <c r="N232">
        <v>-10.770823168635889</v>
      </c>
    </row>
    <row r="233" spans="1:14" hidden="1" x14ac:dyDescent="0.35">
      <c r="A233" s="1">
        <v>231</v>
      </c>
      <c r="B233" t="s">
        <v>81</v>
      </c>
      <c r="C233" t="s">
        <v>16</v>
      </c>
      <c r="D233" t="s">
        <v>19</v>
      </c>
      <c r="E233" t="s">
        <v>21</v>
      </c>
      <c r="F233">
        <v>2050</v>
      </c>
      <c r="G233" t="s">
        <v>112</v>
      </c>
      <c r="H233">
        <v>4.7598744912003066E-12</v>
      </c>
      <c r="I233" t="s">
        <v>52</v>
      </c>
      <c r="J233">
        <v>3.1193795657932081E-12</v>
      </c>
      <c r="K233" t="s">
        <v>25</v>
      </c>
      <c r="L233">
        <v>-5.5694037319399051E-11</v>
      </c>
      <c r="M233">
        <v>0.65534912140227219</v>
      </c>
      <c r="N233">
        <v>-11.700736526217639</v>
      </c>
    </row>
    <row r="234" spans="1:14" hidden="1" x14ac:dyDescent="0.35">
      <c r="A234" s="1">
        <v>232</v>
      </c>
      <c r="B234" t="s">
        <v>81</v>
      </c>
      <c r="C234" t="s">
        <v>16</v>
      </c>
      <c r="D234" t="s">
        <v>19</v>
      </c>
      <c r="E234" t="s">
        <v>21</v>
      </c>
      <c r="F234">
        <v>2050</v>
      </c>
      <c r="G234" t="s">
        <v>112</v>
      </c>
      <c r="H234">
        <v>5.3318471266995679E-12</v>
      </c>
      <c r="I234" t="s">
        <v>52</v>
      </c>
      <c r="J234">
        <v>5.6602215515391317E-13</v>
      </c>
      <c r="K234" t="s">
        <v>25</v>
      </c>
      <c r="L234">
        <v>-1.010587469971217E-11</v>
      </c>
      <c r="M234">
        <v>0.106158736682363</v>
      </c>
      <c r="N234">
        <v>-1.8953796797935849</v>
      </c>
    </row>
    <row r="235" spans="1:14" hidden="1" x14ac:dyDescent="0.35">
      <c r="A235" s="1">
        <v>233</v>
      </c>
      <c r="B235" t="s">
        <v>81</v>
      </c>
      <c r="C235" t="s">
        <v>16</v>
      </c>
      <c r="D235" t="s">
        <v>19</v>
      </c>
      <c r="E235" t="s">
        <v>21</v>
      </c>
      <c r="F235">
        <v>2050</v>
      </c>
      <c r="G235" t="s">
        <v>112</v>
      </c>
      <c r="H235">
        <v>2.168411528799855E-12</v>
      </c>
      <c r="I235" t="s">
        <v>52</v>
      </c>
      <c r="J235">
        <v>1.351990685678194E-12</v>
      </c>
      <c r="K235" t="s">
        <v>25</v>
      </c>
      <c r="L235">
        <v>-2.413871672730991E-11</v>
      </c>
      <c r="M235">
        <v>0.62349358861160287</v>
      </c>
      <c r="N235">
        <v>-11.1319813636436</v>
      </c>
    </row>
    <row r="236" spans="1:14" hidden="1" x14ac:dyDescent="0.35">
      <c r="A236" s="1">
        <v>234</v>
      </c>
      <c r="B236" t="s">
        <v>81</v>
      </c>
      <c r="C236" t="s">
        <v>16</v>
      </c>
      <c r="D236" t="s">
        <v>19</v>
      </c>
      <c r="E236" t="s">
        <v>21</v>
      </c>
      <c r="F236">
        <v>2050</v>
      </c>
      <c r="G236" t="s">
        <v>112</v>
      </c>
      <c r="H236">
        <v>7.122616563282982E-12</v>
      </c>
      <c r="I236" t="s">
        <v>52</v>
      </c>
      <c r="J236">
        <v>4.3148300707388273E-12</v>
      </c>
      <c r="K236" t="s">
        <v>25</v>
      </c>
      <c r="L236">
        <v>-7.7037853816127833E-11</v>
      </c>
      <c r="M236">
        <v>0.60579283363107506</v>
      </c>
      <c r="N236">
        <v>-10.81594848349091</v>
      </c>
    </row>
    <row r="237" spans="1:14" hidden="1" x14ac:dyDescent="0.35">
      <c r="A237" s="1">
        <v>235</v>
      </c>
      <c r="B237" t="s">
        <v>81</v>
      </c>
      <c r="C237" t="s">
        <v>16</v>
      </c>
      <c r="D237" t="s">
        <v>19</v>
      </c>
      <c r="E237" t="s">
        <v>21</v>
      </c>
      <c r="F237">
        <v>2050</v>
      </c>
      <c r="G237" t="s">
        <v>112</v>
      </c>
      <c r="H237">
        <v>1.3583259586264219E-11</v>
      </c>
      <c r="I237" t="s">
        <v>52</v>
      </c>
      <c r="J237">
        <v>7.9748288890254233E-12</v>
      </c>
      <c r="K237" t="s">
        <v>25</v>
      </c>
      <c r="L237">
        <v>-1.4238421724361821E-10</v>
      </c>
      <c r="M237">
        <v>0.58710715483121578</v>
      </c>
      <c r="N237">
        <v>-10.4823305731123</v>
      </c>
    </row>
    <row r="238" spans="1:14" hidden="1" x14ac:dyDescent="0.35">
      <c r="A238" s="1">
        <v>236</v>
      </c>
      <c r="B238" t="s">
        <v>81</v>
      </c>
      <c r="C238" t="s">
        <v>16</v>
      </c>
      <c r="D238" t="s">
        <v>19</v>
      </c>
      <c r="E238" t="s">
        <v>21</v>
      </c>
      <c r="F238">
        <v>2050</v>
      </c>
      <c r="G238" t="s">
        <v>112</v>
      </c>
      <c r="H238">
        <v>2.6423704695236011E-12</v>
      </c>
      <c r="I238" t="s">
        <v>52</v>
      </c>
      <c r="J238">
        <v>1.655092479867641E-12</v>
      </c>
      <c r="K238" t="s">
        <v>25</v>
      </c>
      <c r="L238">
        <v>-2.9550357818467509E-11</v>
      </c>
      <c r="M238">
        <v>0.62636655191126211</v>
      </c>
      <c r="N238">
        <v>-11.183275834820851</v>
      </c>
    </row>
    <row r="239" spans="1:14" hidden="1" x14ac:dyDescent="0.35">
      <c r="A239" s="1">
        <v>237</v>
      </c>
      <c r="B239" t="s">
        <v>81</v>
      </c>
      <c r="C239" t="s">
        <v>16</v>
      </c>
      <c r="D239" t="s">
        <v>19</v>
      </c>
      <c r="E239" t="s">
        <v>21</v>
      </c>
      <c r="F239">
        <v>2050</v>
      </c>
      <c r="G239" t="s">
        <v>112</v>
      </c>
      <c r="H239">
        <v>2.8434113678304519E-12</v>
      </c>
      <c r="I239" t="s">
        <v>52</v>
      </c>
      <c r="J239">
        <v>2.381576335974359E-12</v>
      </c>
      <c r="K239" t="s">
        <v>25</v>
      </c>
      <c r="L239">
        <v>-4.2521148368497921E-11</v>
      </c>
      <c r="M239">
        <v>0.83757713108938003</v>
      </c>
      <c r="N239">
        <v>-14.954272480433231</v>
      </c>
    </row>
    <row r="240" spans="1:14" hidden="1" x14ac:dyDescent="0.35">
      <c r="A240" s="1">
        <v>238</v>
      </c>
      <c r="B240" t="s">
        <v>81</v>
      </c>
      <c r="C240" t="s">
        <v>16</v>
      </c>
      <c r="D240" t="s">
        <v>19</v>
      </c>
      <c r="E240" t="s">
        <v>21</v>
      </c>
      <c r="F240">
        <v>2050</v>
      </c>
      <c r="G240" t="s">
        <v>112</v>
      </c>
      <c r="H240">
        <v>1.9921713242709019E-11</v>
      </c>
      <c r="I240" t="s">
        <v>52</v>
      </c>
      <c r="J240">
        <v>1.226105313268668E-11</v>
      </c>
      <c r="K240" t="s">
        <v>25</v>
      </c>
      <c r="L240">
        <v>-2.1891133680403671E-10</v>
      </c>
      <c r="M240">
        <v>0.61546178199176715</v>
      </c>
      <c r="N240">
        <v>-10.98857985440354</v>
      </c>
    </row>
    <row r="241" spans="1:14" hidden="1" x14ac:dyDescent="0.35">
      <c r="A241" s="1">
        <v>239</v>
      </c>
      <c r="B241" t="s">
        <v>81</v>
      </c>
      <c r="C241" t="s">
        <v>16</v>
      </c>
      <c r="D241" t="s">
        <v>19</v>
      </c>
      <c r="E241" t="s">
        <v>21</v>
      </c>
      <c r="F241">
        <v>2050</v>
      </c>
      <c r="G241" t="s">
        <v>33</v>
      </c>
      <c r="H241">
        <v>1.8605792087716721E-3</v>
      </c>
      <c r="I241" t="s">
        <v>52</v>
      </c>
      <c r="J241">
        <v>3.8016066103951542E-6</v>
      </c>
      <c r="K241" t="s">
        <v>25</v>
      </c>
      <c r="L241">
        <v>-6.7874657753995741E-5</v>
      </c>
      <c r="M241">
        <v>2.0432382520843709E-3</v>
      </c>
      <c r="N241">
        <v>-3.648039139317568E-2</v>
      </c>
    </row>
    <row r="242" spans="1:14" hidden="1" x14ac:dyDescent="0.35">
      <c r="A242" s="1">
        <v>240</v>
      </c>
      <c r="B242" t="s">
        <v>81</v>
      </c>
      <c r="C242" t="s">
        <v>16</v>
      </c>
      <c r="D242" t="s">
        <v>19</v>
      </c>
      <c r="E242" t="s">
        <v>21</v>
      </c>
      <c r="F242">
        <v>2050</v>
      </c>
      <c r="G242" t="s">
        <v>33</v>
      </c>
      <c r="H242">
        <v>7.1159110090379006E-3</v>
      </c>
      <c r="I242" t="s">
        <v>52</v>
      </c>
      <c r="J242">
        <v>1.3515027229840649E-5</v>
      </c>
      <c r="K242" t="s">
        <v>25</v>
      </c>
      <c r="L242">
        <v>-2.4130004542106381E-4</v>
      </c>
      <c r="M242">
        <v>1.8992687250691091E-3</v>
      </c>
      <c r="N242">
        <v>-3.3909930171216199E-2</v>
      </c>
    </row>
    <row r="243" spans="1:14" hidden="1" x14ac:dyDescent="0.35">
      <c r="A243" s="1">
        <v>241</v>
      </c>
      <c r="B243" t="s">
        <v>81</v>
      </c>
      <c r="C243" t="s">
        <v>16</v>
      </c>
      <c r="D243" t="s">
        <v>19</v>
      </c>
      <c r="E243" t="s">
        <v>21</v>
      </c>
      <c r="F243">
        <v>2050</v>
      </c>
      <c r="G243" t="s">
        <v>33</v>
      </c>
      <c r="H243">
        <v>1.9410643496236508E-2</v>
      </c>
      <c r="I243" t="s">
        <v>52</v>
      </c>
      <c r="J243">
        <v>3.9660569289083122E-5</v>
      </c>
      <c r="K243" t="s">
        <v>25</v>
      </c>
      <c r="L243">
        <v>-7.0810787193610722E-4</v>
      </c>
      <c r="M243">
        <v>2.0432382520843692E-3</v>
      </c>
      <c r="N243">
        <v>-3.6480391393175653E-2</v>
      </c>
    </row>
    <row r="244" spans="1:14" hidden="1" x14ac:dyDescent="0.35">
      <c r="A244" s="1">
        <v>242</v>
      </c>
      <c r="B244" t="s">
        <v>81</v>
      </c>
      <c r="C244" t="s">
        <v>16</v>
      </c>
      <c r="D244" t="s">
        <v>19</v>
      </c>
      <c r="E244" t="s">
        <v>21</v>
      </c>
      <c r="F244">
        <v>2050</v>
      </c>
      <c r="G244" t="s">
        <v>113</v>
      </c>
      <c r="H244">
        <v>3.6231857733419999E-3</v>
      </c>
      <c r="I244" t="s">
        <v>52</v>
      </c>
      <c r="J244">
        <v>1.7126006369262521E-4</v>
      </c>
      <c r="K244" t="s">
        <v>25</v>
      </c>
      <c r="L244">
        <v>-3.0577120153040191E-3</v>
      </c>
      <c r="M244">
        <v>4.726781192195291E-2</v>
      </c>
      <c r="N244">
        <v>-0.84392912938703868</v>
      </c>
    </row>
    <row r="245" spans="1:14" hidden="1" x14ac:dyDescent="0.35">
      <c r="A245" s="1">
        <v>243</v>
      </c>
      <c r="B245" t="s">
        <v>81</v>
      </c>
      <c r="C245" t="s">
        <v>16</v>
      </c>
      <c r="D245" t="s">
        <v>19</v>
      </c>
      <c r="E245" t="s">
        <v>21</v>
      </c>
      <c r="F245">
        <v>2050</v>
      </c>
      <c r="G245" t="s">
        <v>33</v>
      </c>
      <c r="H245">
        <v>4.0012113586518968E-4</v>
      </c>
      <c r="I245" t="s">
        <v>52</v>
      </c>
      <c r="J245">
        <v>8.1754281026720298E-7</v>
      </c>
      <c r="K245" t="s">
        <v>25</v>
      </c>
      <c r="L245">
        <v>-1.459657564104414E-5</v>
      </c>
      <c r="M245">
        <v>2.04323825208437E-3</v>
      </c>
      <c r="N245">
        <v>-3.6480391393175667E-2</v>
      </c>
    </row>
    <row r="246" spans="1:14" hidden="1" x14ac:dyDescent="0.35">
      <c r="A246" s="1">
        <v>244</v>
      </c>
      <c r="B246" t="s">
        <v>81</v>
      </c>
      <c r="C246" t="s">
        <v>16</v>
      </c>
      <c r="D246" t="s">
        <v>19</v>
      </c>
      <c r="E246" t="s">
        <v>21</v>
      </c>
      <c r="F246">
        <v>2050</v>
      </c>
      <c r="G246" t="s">
        <v>34</v>
      </c>
      <c r="H246">
        <v>3.6853915240299641E-3</v>
      </c>
      <c r="I246" t="s">
        <v>52</v>
      </c>
      <c r="J246">
        <v>9.6809057844273389E-6</v>
      </c>
      <c r="K246" t="s">
        <v>25</v>
      </c>
      <c r="L246">
        <v>-1.728448611884076E-4</v>
      </c>
      <c r="M246">
        <v>2.6268323789493328E-3</v>
      </c>
      <c r="N246">
        <v>-4.6899999650349862E-2</v>
      </c>
    </row>
    <row r="247" spans="1:14" hidden="1" x14ac:dyDescent="0.35">
      <c r="A247" s="1">
        <v>245</v>
      </c>
      <c r="B247" t="s">
        <v>81</v>
      </c>
      <c r="C247" t="s">
        <v>16</v>
      </c>
      <c r="D247" t="s">
        <v>19</v>
      </c>
      <c r="E247" t="s">
        <v>21</v>
      </c>
      <c r="F247">
        <v>2050</v>
      </c>
      <c r="G247" t="s">
        <v>33</v>
      </c>
      <c r="H247">
        <v>4.02626769896811E-3</v>
      </c>
      <c r="I247" t="s">
        <v>52</v>
      </c>
      <c r="J247">
        <v>8.2266241756633601E-6</v>
      </c>
      <c r="K247" t="s">
        <v>25</v>
      </c>
      <c r="L247">
        <v>-1.468798215120574E-4</v>
      </c>
      <c r="M247">
        <v>2.04323825208437E-3</v>
      </c>
      <c r="N247">
        <v>-3.6480391393175667E-2</v>
      </c>
    </row>
    <row r="248" spans="1:14" hidden="1" x14ac:dyDescent="0.35">
      <c r="A248" s="1">
        <v>246</v>
      </c>
      <c r="B248" t="s">
        <v>81</v>
      </c>
      <c r="C248" t="s">
        <v>16</v>
      </c>
      <c r="D248" t="s">
        <v>19</v>
      </c>
      <c r="E248" t="s">
        <v>21</v>
      </c>
      <c r="F248">
        <v>2050</v>
      </c>
      <c r="G248" t="s">
        <v>33</v>
      </c>
      <c r="H248">
        <v>7.0333758967169408E-3</v>
      </c>
      <c r="I248" t="s">
        <v>52</v>
      </c>
      <c r="J248">
        <v>1.437086267346027E-5</v>
      </c>
      <c r="K248" t="s">
        <v>25</v>
      </c>
      <c r="L248">
        <v>-2.5658030552756198E-4</v>
      </c>
      <c r="M248">
        <v>2.0432382520843709E-3</v>
      </c>
      <c r="N248">
        <v>-3.6480391393175687E-2</v>
      </c>
    </row>
    <row r="249" spans="1:14" hidden="1" x14ac:dyDescent="0.35">
      <c r="A249" s="1">
        <v>247</v>
      </c>
      <c r="B249" t="s">
        <v>81</v>
      </c>
      <c r="C249" t="s">
        <v>16</v>
      </c>
      <c r="D249" t="s">
        <v>19</v>
      </c>
      <c r="E249" t="s">
        <v>21</v>
      </c>
      <c r="F249">
        <v>2050</v>
      </c>
      <c r="G249" t="s">
        <v>34</v>
      </c>
      <c r="H249">
        <v>5.4876614113539418E-2</v>
      </c>
      <c r="I249" t="s">
        <v>52</v>
      </c>
      <c r="J249">
        <v>1.4415166680055319E-4</v>
      </c>
      <c r="K249" t="s">
        <v>25</v>
      </c>
      <c r="L249">
        <v>-2.57371318273738E-3</v>
      </c>
      <c r="M249">
        <v>2.6268323789493311E-3</v>
      </c>
      <c r="N249">
        <v>-4.6899999650349813E-2</v>
      </c>
    </row>
    <row r="250" spans="1:14" hidden="1" x14ac:dyDescent="0.35">
      <c r="A250" s="1">
        <v>248</v>
      </c>
      <c r="B250" t="s">
        <v>81</v>
      </c>
      <c r="C250" t="s">
        <v>16</v>
      </c>
      <c r="D250" t="s">
        <v>19</v>
      </c>
      <c r="E250" t="s">
        <v>21</v>
      </c>
      <c r="F250">
        <v>2050</v>
      </c>
      <c r="G250" t="s">
        <v>113</v>
      </c>
      <c r="H250">
        <v>4.8527569874542969E-3</v>
      </c>
      <c r="I250" t="s">
        <v>52</v>
      </c>
      <c r="J250">
        <v>2.2937920458593249E-4</v>
      </c>
      <c r="K250" t="s">
        <v>25</v>
      </c>
      <c r="L250">
        <v>-4.0953829795491743E-3</v>
      </c>
      <c r="M250">
        <v>4.7267811921952917E-2</v>
      </c>
      <c r="N250">
        <v>-0.84392912938703879</v>
      </c>
    </row>
    <row r="251" spans="1:14" hidden="1" x14ac:dyDescent="0.35">
      <c r="A251" s="1">
        <v>249</v>
      </c>
      <c r="B251" t="s">
        <v>81</v>
      </c>
      <c r="C251" t="s">
        <v>16</v>
      </c>
      <c r="D251" t="s">
        <v>19</v>
      </c>
      <c r="E251" t="s">
        <v>21</v>
      </c>
      <c r="F251">
        <v>2050</v>
      </c>
      <c r="G251" t="s">
        <v>113</v>
      </c>
      <c r="H251">
        <v>6.5271435786458344E-3</v>
      </c>
      <c r="I251" t="s">
        <v>52</v>
      </c>
      <c r="J251">
        <v>3.0852379506301412E-4</v>
      </c>
      <c r="K251" t="s">
        <v>25</v>
      </c>
      <c r="L251">
        <v>-5.5084465977107821E-3</v>
      </c>
      <c r="M251">
        <v>4.7267811921952937E-2</v>
      </c>
      <c r="N251">
        <v>-0.84392912938703923</v>
      </c>
    </row>
    <row r="252" spans="1:14" hidden="1" x14ac:dyDescent="0.35">
      <c r="A252" s="1">
        <v>250</v>
      </c>
      <c r="B252" t="s">
        <v>81</v>
      </c>
      <c r="C252" t="s">
        <v>16</v>
      </c>
      <c r="D252" t="s">
        <v>19</v>
      </c>
      <c r="E252" t="s">
        <v>21</v>
      </c>
      <c r="F252">
        <v>2050</v>
      </c>
      <c r="G252" t="s">
        <v>34</v>
      </c>
      <c r="H252">
        <v>3.5681684294598219E-3</v>
      </c>
      <c r="I252" t="s">
        <v>52</v>
      </c>
      <c r="J252">
        <v>9.3729803640498498E-6</v>
      </c>
      <c r="K252" t="s">
        <v>25</v>
      </c>
      <c r="L252">
        <v>-1.673470980940551E-4</v>
      </c>
      <c r="M252">
        <v>2.6268323789493328E-3</v>
      </c>
      <c r="N252">
        <v>-4.6899999650349862E-2</v>
      </c>
    </row>
    <row r="253" spans="1:14" hidden="1" x14ac:dyDescent="0.35">
      <c r="A253" s="1">
        <v>251</v>
      </c>
      <c r="B253" t="s">
        <v>81</v>
      </c>
      <c r="C253" t="s">
        <v>16</v>
      </c>
      <c r="D253" t="s">
        <v>19</v>
      </c>
      <c r="E253" t="s">
        <v>21</v>
      </c>
      <c r="F253">
        <v>2050</v>
      </c>
      <c r="G253" t="s">
        <v>113</v>
      </c>
      <c r="H253">
        <v>1.2925049640291979E-3</v>
      </c>
      <c r="I253" t="s">
        <v>52</v>
      </c>
      <c r="J253">
        <v>6.1093881547922706E-5</v>
      </c>
      <c r="K253" t="s">
        <v>25</v>
      </c>
      <c r="L253">
        <v>-1.090782589021588E-3</v>
      </c>
      <c r="M253">
        <v>4.7267811921952951E-2</v>
      </c>
      <c r="N253">
        <v>-0.84392912938703935</v>
      </c>
    </row>
    <row r="254" spans="1:14" hidden="1" x14ac:dyDescent="0.35">
      <c r="A254" s="1">
        <v>252</v>
      </c>
      <c r="B254" t="s">
        <v>81</v>
      </c>
      <c r="C254" t="s">
        <v>16</v>
      </c>
      <c r="D254" t="s">
        <v>19</v>
      </c>
      <c r="E254" t="s">
        <v>21</v>
      </c>
      <c r="F254">
        <v>2050</v>
      </c>
      <c r="G254" t="s">
        <v>113</v>
      </c>
      <c r="H254">
        <v>1.3423791327600849E-3</v>
      </c>
      <c r="I254" t="s">
        <v>52</v>
      </c>
      <c r="J254">
        <v>6.3451324375258017E-5</v>
      </c>
      <c r="K254" t="s">
        <v>25</v>
      </c>
      <c r="L254">
        <v>-1.132872852817548E-3</v>
      </c>
      <c r="M254">
        <v>4.7267811921952958E-2</v>
      </c>
      <c r="N254">
        <v>-0.84392912938703946</v>
      </c>
    </row>
    <row r="255" spans="1:14" hidden="1" x14ac:dyDescent="0.35">
      <c r="A255" s="1">
        <v>253</v>
      </c>
      <c r="B255" t="s">
        <v>81</v>
      </c>
      <c r="C255" t="s">
        <v>16</v>
      </c>
      <c r="D255" t="s">
        <v>19</v>
      </c>
      <c r="E255" t="s">
        <v>21</v>
      </c>
      <c r="F255">
        <v>2050</v>
      </c>
      <c r="G255" t="s">
        <v>33</v>
      </c>
      <c r="H255">
        <v>1.934933702509517E-2</v>
      </c>
      <c r="I255" t="s">
        <v>52</v>
      </c>
      <c r="J255">
        <v>3.953530556214684E-5</v>
      </c>
      <c r="K255" t="s">
        <v>25</v>
      </c>
      <c r="L255">
        <v>-7.0587138787393702E-4</v>
      </c>
      <c r="M255">
        <v>2.04323825208437E-3</v>
      </c>
      <c r="N255">
        <v>-3.6480391393175667E-2</v>
      </c>
    </row>
    <row r="256" spans="1:14" hidden="1" x14ac:dyDescent="0.35">
      <c r="A256" s="1">
        <v>254</v>
      </c>
      <c r="B256" t="s">
        <v>81</v>
      </c>
      <c r="C256" t="s">
        <v>16</v>
      </c>
      <c r="D256" t="s">
        <v>19</v>
      </c>
      <c r="E256" t="s">
        <v>21</v>
      </c>
      <c r="F256">
        <v>2050</v>
      </c>
      <c r="G256" t="s">
        <v>33</v>
      </c>
      <c r="H256">
        <v>2.492501321632418E-3</v>
      </c>
      <c r="I256" t="s">
        <v>52</v>
      </c>
      <c r="J256">
        <v>5.0927740437302048E-6</v>
      </c>
      <c r="K256" t="s">
        <v>25</v>
      </c>
      <c r="L256">
        <v>-9.0927423761158249E-5</v>
      </c>
      <c r="M256">
        <v>2.04323825208437E-3</v>
      </c>
      <c r="N256">
        <v>-3.6480391393175667E-2</v>
      </c>
    </row>
    <row r="257" spans="1:14" hidden="1" x14ac:dyDescent="0.35">
      <c r="A257" s="1">
        <v>255</v>
      </c>
      <c r="B257" t="s">
        <v>81</v>
      </c>
      <c r="C257" t="s">
        <v>16</v>
      </c>
      <c r="D257" t="s">
        <v>19</v>
      </c>
      <c r="E257" t="s">
        <v>21</v>
      </c>
      <c r="F257">
        <v>2050</v>
      </c>
      <c r="G257" t="s">
        <v>33</v>
      </c>
      <c r="H257">
        <v>1.070343548894971E-2</v>
      </c>
      <c r="I257" t="s">
        <v>52</v>
      </c>
      <c r="J257">
        <v>2.1869668819739419E-5</v>
      </c>
      <c r="K257" t="s">
        <v>25</v>
      </c>
      <c r="L257">
        <v>-3.9046551588849192E-4</v>
      </c>
      <c r="M257">
        <v>2.04323825208437E-3</v>
      </c>
      <c r="N257">
        <v>-3.648039139317566E-2</v>
      </c>
    </row>
    <row r="258" spans="1:14" hidden="1" x14ac:dyDescent="0.35">
      <c r="A258" s="1">
        <v>256</v>
      </c>
      <c r="B258" t="s">
        <v>81</v>
      </c>
      <c r="C258" t="s">
        <v>16</v>
      </c>
      <c r="D258" t="s">
        <v>19</v>
      </c>
      <c r="E258" t="s">
        <v>21</v>
      </c>
      <c r="F258">
        <v>2050</v>
      </c>
      <c r="G258" t="s">
        <v>113</v>
      </c>
      <c r="H258">
        <v>1.283792767808558E-3</v>
      </c>
      <c r="I258" t="s">
        <v>52</v>
      </c>
      <c r="J258">
        <v>6.0682075095538328E-5</v>
      </c>
      <c r="K258" t="s">
        <v>25</v>
      </c>
      <c r="L258">
        <v>-1.083430112850054E-3</v>
      </c>
      <c r="M258">
        <v>4.7267811921952937E-2</v>
      </c>
      <c r="N258">
        <v>-0.84392912938703923</v>
      </c>
    </row>
    <row r="259" spans="1:14" hidden="1" x14ac:dyDescent="0.35">
      <c r="A259" s="1">
        <v>257</v>
      </c>
      <c r="B259" t="s">
        <v>81</v>
      </c>
      <c r="C259" t="s">
        <v>16</v>
      </c>
      <c r="D259" t="s">
        <v>19</v>
      </c>
      <c r="E259" t="s">
        <v>21</v>
      </c>
      <c r="F259">
        <v>2050</v>
      </c>
      <c r="G259" t="s">
        <v>33</v>
      </c>
      <c r="H259">
        <v>6.7855460464901563E-3</v>
      </c>
      <c r="I259" t="s">
        <v>52</v>
      </c>
      <c r="J259">
        <v>1.386448724346856E-5</v>
      </c>
      <c r="K259" t="s">
        <v>25</v>
      </c>
      <c r="L259">
        <v>-2.4753937559237682E-4</v>
      </c>
      <c r="M259">
        <v>2.0432382520843709E-3</v>
      </c>
      <c r="N259">
        <v>-3.648039139317568E-2</v>
      </c>
    </row>
    <row r="260" spans="1:14" hidden="1" x14ac:dyDescent="0.35">
      <c r="A260" s="1">
        <v>258</v>
      </c>
      <c r="B260" t="s">
        <v>81</v>
      </c>
      <c r="C260" t="s">
        <v>16</v>
      </c>
      <c r="D260" t="s">
        <v>19</v>
      </c>
      <c r="E260" t="s">
        <v>21</v>
      </c>
      <c r="F260">
        <v>2050</v>
      </c>
      <c r="G260" t="s">
        <v>34</v>
      </c>
      <c r="H260">
        <v>8.1057935834152727E-3</v>
      </c>
      <c r="I260" t="s">
        <v>52</v>
      </c>
      <c r="J260">
        <v>2.1306123674280261E-5</v>
      </c>
      <c r="K260" t="s">
        <v>25</v>
      </c>
      <c r="L260">
        <v>-3.8040386622374927E-4</v>
      </c>
      <c r="M260">
        <v>2.6285055812269031E-3</v>
      </c>
      <c r="N260">
        <v>-4.6929873344180438E-2</v>
      </c>
    </row>
    <row r="261" spans="1:14" hidden="1" x14ac:dyDescent="0.35">
      <c r="A261" s="1">
        <v>259</v>
      </c>
      <c r="B261" t="s">
        <v>81</v>
      </c>
      <c r="C261" t="s">
        <v>16</v>
      </c>
      <c r="D261" t="s">
        <v>19</v>
      </c>
      <c r="E261" t="s">
        <v>21</v>
      </c>
      <c r="F261">
        <v>2050</v>
      </c>
      <c r="G261" t="s">
        <v>34</v>
      </c>
      <c r="H261">
        <v>1.3751240579232851E-2</v>
      </c>
      <c r="I261" t="s">
        <v>52</v>
      </c>
      <c r="J261">
        <v>3.6122204004250847E-5</v>
      </c>
      <c r="K261" t="s">
        <v>25</v>
      </c>
      <c r="L261">
        <v>-6.4493317835789766E-4</v>
      </c>
      <c r="M261">
        <v>2.6268323789493341E-3</v>
      </c>
      <c r="N261">
        <v>-4.6899999650349869E-2</v>
      </c>
    </row>
    <row r="262" spans="1:14" hidden="1" x14ac:dyDescent="0.35">
      <c r="A262" s="1">
        <v>260</v>
      </c>
      <c r="B262" t="s">
        <v>81</v>
      </c>
      <c r="C262" t="s">
        <v>16</v>
      </c>
      <c r="D262" t="s">
        <v>19</v>
      </c>
      <c r="E262" t="s">
        <v>21</v>
      </c>
      <c r="F262">
        <v>2050</v>
      </c>
      <c r="G262" t="s">
        <v>33</v>
      </c>
      <c r="H262">
        <v>7.7348147245791046E-3</v>
      </c>
      <c r="I262" t="s">
        <v>52</v>
      </c>
      <c r="J262">
        <v>1.5804069318045471E-5</v>
      </c>
      <c r="K262" t="s">
        <v>25</v>
      </c>
      <c r="L262">
        <v>-2.8216906850634418E-4</v>
      </c>
      <c r="M262">
        <v>2.0432382520843709E-3</v>
      </c>
      <c r="N262">
        <v>-3.6480391393175687E-2</v>
      </c>
    </row>
    <row r="263" spans="1:14" hidden="1" x14ac:dyDescent="0.35">
      <c r="A263" s="1">
        <v>261</v>
      </c>
      <c r="B263" t="s">
        <v>81</v>
      </c>
      <c r="C263" t="s">
        <v>16</v>
      </c>
      <c r="D263" t="s">
        <v>19</v>
      </c>
      <c r="E263" t="s">
        <v>21</v>
      </c>
      <c r="F263">
        <v>2050</v>
      </c>
      <c r="G263" t="s">
        <v>40</v>
      </c>
      <c r="H263">
        <v>4.8284785155532537E-6</v>
      </c>
      <c r="I263" t="s">
        <v>52</v>
      </c>
      <c r="J263">
        <v>1.7986728301647601E-7</v>
      </c>
      <c r="K263" t="s">
        <v>25</v>
      </c>
      <c r="L263">
        <v>-3.2113870600133991E-6</v>
      </c>
      <c r="M263">
        <v>3.7251337545998478E-2</v>
      </c>
      <c r="N263">
        <v>-0.66509295830333282</v>
      </c>
    </row>
    <row r="264" spans="1:14" x14ac:dyDescent="0.35">
      <c r="A264" s="1">
        <v>262</v>
      </c>
      <c r="B264" s="36" t="s">
        <v>81</v>
      </c>
      <c r="C264" s="36" t="s">
        <v>16</v>
      </c>
      <c r="D264" s="36" t="s">
        <v>19</v>
      </c>
      <c r="E264" s="36" t="s">
        <v>21</v>
      </c>
      <c r="F264" s="36">
        <v>2050</v>
      </c>
      <c r="G264" s="36" t="s">
        <v>114</v>
      </c>
      <c r="H264" s="36">
        <v>5.2199539492066703E-2</v>
      </c>
      <c r="I264" s="36" t="s">
        <v>52</v>
      </c>
      <c r="J264" s="36">
        <v>-6.3786380297466513E-2</v>
      </c>
      <c r="K264" s="36" t="s">
        <v>25</v>
      </c>
      <c r="L264" s="36">
        <v>1.138855009410543</v>
      </c>
      <c r="M264" s="36">
        <v>-1.2219720886074299</v>
      </c>
      <c r="N264" s="36">
        <v>21.817338246511291</v>
      </c>
    </row>
    <row r="265" spans="1:14" hidden="1" x14ac:dyDescent="0.35">
      <c r="A265" s="1">
        <v>263</v>
      </c>
      <c r="B265" t="s">
        <v>81</v>
      </c>
      <c r="C265" t="s">
        <v>16</v>
      </c>
      <c r="D265" t="s">
        <v>19</v>
      </c>
      <c r="E265" t="s">
        <v>21</v>
      </c>
      <c r="F265">
        <v>2050</v>
      </c>
      <c r="G265" t="s">
        <v>115</v>
      </c>
      <c r="H265">
        <v>1.144387187212696E-10</v>
      </c>
      <c r="I265" t="s">
        <v>52</v>
      </c>
      <c r="J265">
        <v>8.2102780501253662E-11</v>
      </c>
      <c r="K265" t="s">
        <v>25</v>
      </c>
      <c r="L265">
        <v>-1.465879744615338E-9</v>
      </c>
      <c r="M265">
        <v>0.71743883030729882</v>
      </c>
      <c r="N265">
        <v>-12.809298819446569</v>
      </c>
    </row>
    <row r="266" spans="1:14" hidden="1" x14ac:dyDescent="0.35">
      <c r="A266" s="1">
        <v>264</v>
      </c>
      <c r="B266" t="s">
        <v>81</v>
      </c>
      <c r="C266" t="s">
        <v>16</v>
      </c>
      <c r="D266" t="s">
        <v>19</v>
      </c>
      <c r="E266" t="s">
        <v>21</v>
      </c>
      <c r="F266">
        <v>2050</v>
      </c>
      <c r="G266" t="s">
        <v>116</v>
      </c>
      <c r="H266">
        <v>1.144387187212696E-10</v>
      </c>
      <c r="I266" t="s">
        <v>52</v>
      </c>
      <c r="J266">
        <v>9.5182895232148509E-11</v>
      </c>
      <c r="K266" t="s">
        <v>25</v>
      </c>
      <c r="L266">
        <v>-1.699414773809272E-9</v>
      </c>
      <c r="M266">
        <v>0.83173681334180982</v>
      </c>
      <c r="N266">
        <v>-14.84999825931656</v>
      </c>
    </row>
    <row r="267" spans="1:14" hidden="1" x14ac:dyDescent="0.35">
      <c r="A267" s="1">
        <v>265</v>
      </c>
      <c r="B267" t="s">
        <v>81</v>
      </c>
      <c r="C267" t="s">
        <v>16</v>
      </c>
      <c r="D267" t="s">
        <v>19</v>
      </c>
      <c r="E267" t="s">
        <v>21</v>
      </c>
      <c r="F267">
        <v>2050</v>
      </c>
      <c r="G267" t="s">
        <v>117</v>
      </c>
      <c r="H267">
        <v>2.7420535338935172E-10</v>
      </c>
      <c r="I267" t="s">
        <v>52</v>
      </c>
      <c r="J267">
        <v>1.336040969026033E-10</v>
      </c>
      <c r="K267" t="s">
        <v>25</v>
      </c>
      <c r="L267">
        <v>-2.3853947241672331E-9</v>
      </c>
      <c r="M267">
        <v>0.48724102301859568</v>
      </c>
      <c r="N267">
        <v>-8.6993003407199936</v>
      </c>
    </row>
    <row r="268" spans="1:14" hidden="1" x14ac:dyDescent="0.35">
      <c r="A268" s="1">
        <v>266</v>
      </c>
      <c r="B268" t="s">
        <v>81</v>
      </c>
      <c r="C268" t="s">
        <v>16</v>
      </c>
      <c r="D268" t="s">
        <v>19</v>
      </c>
      <c r="E268" t="s">
        <v>21</v>
      </c>
      <c r="F268">
        <v>2050</v>
      </c>
      <c r="G268" t="s">
        <v>118</v>
      </c>
      <c r="H268">
        <v>2.0525072930939201E-3</v>
      </c>
      <c r="I268" t="s">
        <v>52</v>
      </c>
      <c r="J268">
        <v>7.2021782332565732E-4</v>
      </c>
      <c r="K268" t="s">
        <v>25</v>
      </c>
      <c r="L268">
        <v>-1.2858915526105821E-2</v>
      </c>
      <c r="M268">
        <v>0.35089659644522447</v>
      </c>
      <c r="N268">
        <v>-6.2649792131663888</v>
      </c>
    </row>
    <row r="269" spans="1:14" hidden="1" x14ac:dyDescent="0.35">
      <c r="A269" s="1">
        <v>267</v>
      </c>
      <c r="B269" t="s">
        <v>81</v>
      </c>
      <c r="C269" t="s">
        <v>16</v>
      </c>
      <c r="D269" t="s">
        <v>19</v>
      </c>
      <c r="E269" t="s">
        <v>21</v>
      </c>
      <c r="F269">
        <v>2050</v>
      </c>
      <c r="G269" t="s">
        <v>119</v>
      </c>
      <c r="H269">
        <v>9.4276271721207346E-4</v>
      </c>
      <c r="I269" t="s">
        <v>52</v>
      </c>
      <c r="J269">
        <v>1.100733505074574E-4</v>
      </c>
      <c r="K269" t="s">
        <v>25</v>
      </c>
      <c r="L269">
        <v>-1.965271991347022E-3</v>
      </c>
      <c r="M269">
        <v>0.1167561556029337</v>
      </c>
      <c r="N269">
        <v>-2.0845881529540118</v>
      </c>
    </row>
  </sheetData>
  <autoFilter ref="A1:N269" xr:uid="{00000000-0001-0000-0000-000000000000}">
    <filterColumn colId="11">
      <filters>
        <filter val="1,138855009"/>
        <filter val="1,35924E-07"/>
        <filter val="2,15288E-0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CCL</vt:lpstr>
      <vt:lpstr>elec 1 kWh</vt:lpstr>
      <vt:lpstr>contrib an. detail</vt:lpstr>
      <vt:lpstr>contrib an. aggreg</vt:lpstr>
      <vt:lpstr>elec import - tiam RCP45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Joanna SCHLESINGER</cp:lastModifiedBy>
  <dcterms:created xsi:type="dcterms:W3CDTF">2025-02-20T16:45:02Z</dcterms:created>
  <dcterms:modified xsi:type="dcterms:W3CDTF">2025-06-06T10:06:23Z</dcterms:modified>
</cp:coreProperties>
</file>