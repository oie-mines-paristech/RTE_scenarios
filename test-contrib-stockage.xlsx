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chlesinger\0.Joanna\RTE_scenarios\"/>
    </mc:Choice>
  </mc:AlternateContent>
  <xr:revisionPtr revIDLastSave="0" documentId="13_ncr:1_{924D9D4D-29C8-4AD4-B334-DFB309BFD0EB}" xr6:coauthVersionLast="47" xr6:coauthVersionMax="47" xr10:uidLastSave="{00000000-0000-0000-0000-000000000000}"/>
  <bookViews>
    <workbookView xWindow="-110" yWindow="-110" windowWidth="19420" windowHeight="11500" xr2:uid="{AD0D301F-AF80-4AD8-90D2-E57D01AEFF44}"/>
  </bookViews>
  <sheets>
    <sheet name="M0+SSP2ba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" l="1"/>
  <c r="F13" i="1"/>
  <c r="F14" i="1" s="1"/>
  <c r="O2" i="1"/>
  <c r="F11" i="1"/>
  <c r="F12" i="1"/>
  <c r="F10" i="1"/>
  <c r="E11" i="1"/>
  <c r="E12" i="1"/>
  <c r="E13" i="1"/>
  <c r="E10" i="1"/>
  <c r="L4" i="1"/>
  <c r="B5" i="1"/>
  <c r="D13" i="1" s="1"/>
  <c r="B4" i="1"/>
  <c r="D12" i="1" s="1"/>
  <c r="B3" i="1"/>
  <c r="D11" i="1" s="1"/>
  <c r="B2" i="1"/>
  <c r="D10" i="1" s="1"/>
  <c r="I3" i="1"/>
  <c r="J3" i="1" s="1"/>
  <c r="I4" i="1"/>
  <c r="J4" i="1" s="1"/>
  <c r="I5" i="1"/>
  <c r="J5" i="1" s="1"/>
  <c r="I2" i="1"/>
  <c r="J2" i="1" s="1"/>
  <c r="G4" i="1"/>
  <c r="K4" i="1" s="1"/>
  <c r="G5" i="1"/>
  <c r="K5" i="1" s="1"/>
  <c r="L5" i="1" s="1"/>
  <c r="G2" i="1"/>
  <c r="K2" i="1" s="1"/>
  <c r="L2" i="1" s="1"/>
  <c r="C3" i="1"/>
  <c r="G3" i="1" s="1"/>
  <c r="K3" i="1" s="1"/>
  <c r="L3" i="1" s="1"/>
  <c r="M2" i="1" l="1"/>
  <c r="N2" i="1" s="1"/>
  <c r="M3" i="1"/>
  <c r="N3" i="1" s="1"/>
  <c r="O3" i="1" s="1"/>
  <c r="M5" i="1"/>
  <c r="N5" i="1" s="1"/>
  <c r="M4" i="1"/>
  <c r="N4" i="1" s="1"/>
  <c r="O4" i="1" s="1"/>
</calcChain>
</file>

<file path=xl/sharedStrings.xml><?xml version="1.0" encoding="utf-8"?>
<sst xmlns="http://schemas.openxmlformats.org/spreadsheetml/2006/main" count="29" uniqueCount="18">
  <si>
    <t xml:space="preserve">Pumped </t>
  </si>
  <si>
    <t>high</t>
  </si>
  <si>
    <t>H2</t>
  </si>
  <si>
    <t>kWh</t>
  </si>
  <si>
    <t>low</t>
  </si>
  <si>
    <t>EV</t>
  </si>
  <si>
    <t>battery</t>
  </si>
  <si>
    <t>impact/kWh</t>
  </si>
  <si>
    <t>impact elec low or high/kWh</t>
  </si>
  <si>
    <t>elec consumption</t>
  </si>
  <si>
    <t>Surplus elec to produce (kWh)</t>
  </si>
  <si>
    <t>impact 1kWh</t>
  </si>
  <si>
    <t>impact pertes stockages</t>
  </si>
  <si>
    <t>impact infra stockage</t>
  </si>
  <si>
    <t>impact stockage</t>
  </si>
  <si>
    <t>M0</t>
  </si>
  <si>
    <t>impact abs</t>
  </si>
  <si>
    <t>Contribution du stockage (surplus elec+infra)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</si>
</sst>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9" fontId="0" fillId="0" borderId="0" xfId="1" applyFont="1"/>
    <xf numFmtId="9" fontId="0" fillId="0" borderId="0" xfId="0" applyNumberFormat="1"/>
    <xf numFmtId="0" fontId="2" fillId="0" borderId="0" xfId="0" applyFont="1"/>
    <xf numFmtId="0" fontId="2" fillId="2" borderId="0" xfId="0" applyFont="1" applyFill="1"/>
    <xf numFmtId="9" fontId="0" fillId="2" borderId="0" xfId="0" applyNumberFormat="1" applyFill="1"/>
    <xf numFmtId="9" fontId="0" fillId="3" borderId="0" xfId="1" applyFont="1" applyFill="1"/>
    <xf numFmtId="9" fontId="2" fillId="0" borderId="0" xfId="0" applyNumberFormat="1" applyFont="1"/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D2EB6-93D3-44F8-A561-CA286CB357CD}">
  <dimension ref="A1:O14"/>
  <sheetViews>
    <sheetView tabSelected="1" workbookViewId="0">
      <selection activeCell="M1" sqref="M1:N1"/>
    </sheetView>
  </sheetViews>
  <sheetFormatPr baseColWidth="10" defaultRowHeight="14.5" x14ac:dyDescent="0.35"/>
  <cols>
    <col min="5" max="5" width="5.81640625" customWidth="1"/>
    <col min="6" max="6" width="23.1796875" customWidth="1"/>
    <col min="7" max="7" width="12.26953125" customWidth="1"/>
    <col min="8" max="8" width="3" customWidth="1"/>
    <col min="9" max="9" width="12.90625" customWidth="1"/>
    <col min="10" max="10" width="7.7265625" customWidth="1"/>
    <col min="11" max="11" width="8.81640625" customWidth="1"/>
    <col min="12" max="12" width="14.36328125" customWidth="1"/>
    <col min="14" max="14" width="8.1796875" customWidth="1"/>
  </cols>
  <sheetData>
    <row r="1" spans="1:15" x14ac:dyDescent="0.35">
      <c r="A1" s="3"/>
      <c r="B1" s="3" t="s">
        <v>7</v>
      </c>
      <c r="C1" s="8" t="s">
        <v>9</v>
      </c>
      <c r="D1" s="8"/>
      <c r="E1" s="8"/>
      <c r="F1" s="3" t="s">
        <v>8</v>
      </c>
      <c r="G1" s="3" t="s">
        <v>10</v>
      </c>
      <c r="H1" s="3"/>
      <c r="I1" s="8" t="s">
        <v>11</v>
      </c>
      <c r="J1" s="8"/>
      <c r="K1" s="9" t="s">
        <v>12</v>
      </c>
      <c r="L1" s="9"/>
      <c r="M1" s="9" t="s">
        <v>13</v>
      </c>
      <c r="N1" s="9"/>
      <c r="O1" s="3" t="s">
        <v>14</v>
      </c>
    </row>
    <row r="2" spans="1:15" x14ac:dyDescent="0.35">
      <c r="A2" s="3" t="s">
        <v>0</v>
      </c>
      <c r="B2">
        <f>0.021822*1000</f>
        <v>21.822000000000003</v>
      </c>
      <c r="C2">
        <v>1.0948</v>
      </c>
      <c r="D2" t="s">
        <v>3</v>
      </c>
      <c r="E2" t="s">
        <v>1</v>
      </c>
      <c r="F2">
        <v>17.417000000000002</v>
      </c>
      <c r="G2">
        <f>C2-1</f>
        <v>9.4799999999999995E-2</v>
      </c>
      <c r="I2">
        <f>F2</f>
        <v>17.417000000000002</v>
      </c>
      <c r="J2" s="1">
        <f>I2/B2</f>
        <v>0.79813949225552194</v>
      </c>
      <c r="K2">
        <f>G2*F2</f>
        <v>1.6511316</v>
      </c>
      <c r="L2" s="1">
        <f>K2/B2</f>
        <v>7.5663623865823468E-2</v>
      </c>
      <c r="M2">
        <f>B2-I2-K2</f>
        <v>2.7538684000000009</v>
      </c>
      <c r="N2" s="1">
        <f>M2/B2</f>
        <v>0.1261968838786546</v>
      </c>
      <c r="O2" s="2">
        <f>L2+N2</f>
        <v>0.20186050774447806</v>
      </c>
    </row>
    <row r="3" spans="1:15" x14ac:dyDescent="0.35">
      <c r="A3" s="4" t="s">
        <v>2</v>
      </c>
      <c r="B3">
        <f>0.067851*1000</f>
        <v>67.850999999999999</v>
      </c>
      <c r="C3">
        <f>0.04973*47.057</f>
        <v>2.3401446100000003</v>
      </c>
      <c r="D3" t="s">
        <v>3</v>
      </c>
      <c r="E3" t="s">
        <v>4</v>
      </c>
      <c r="F3">
        <v>23.004999999999999</v>
      </c>
      <c r="G3">
        <f t="shared" ref="G3:G5" si="0">C3-1</f>
        <v>1.3401446100000003</v>
      </c>
      <c r="I3">
        <f t="shared" ref="I3:I5" si="1">F3</f>
        <v>23.004999999999999</v>
      </c>
      <c r="J3" s="1">
        <f t="shared" ref="J3:J5" si="2">I3/B3</f>
        <v>0.33905174573698249</v>
      </c>
      <c r="K3">
        <f t="shared" ref="K3:K5" si="3">G3*F3</f>
        <v>30.830026753050007</v>
      </c>
      <c r="L3" s="6">
        <f t="shared" ref="L3:L5" si="4">K3/B3</f>
        <v>0.4543783695605077</v>
      </c>
      <c r="M3">
        <f t="shared" ref="M3:M5" si="5">B3-I3-K3</f>
        <v>14.015973246949997</v>
      </c>
      <c r="N3" s="1">
        <f t="shared" ref="N3:N5" si="6">M3/B3</f>
        <v>0.20656988470250987</v>
      </c>
      <c r="O3" s="5">
        <f t="shared" ref="O3:O5" si="7">L3+N3</f>
        <v>0.66094825426301762</v>
      </c>
    </row>
    <row r="4" spans="1:15" x14ac:dyDescent="0.35">
      <c r="A4" s="3" t="s">
        <v>5</v>
      </c>
      <c r="B4">
        <f>0.027291*1000</f>
        <v>27.291</v>
      </c>
      <c r="C4">
        <v>1.1862999999999999</v>
      </c>
      <c r="D4" t="s">
        <v>3</v>
      </c>
      <c r="E4" t="s">
        <v>4</v>
      </c>
      <c r="F4">
        <v>23.004999999999999</v>
      </c>
      <c r="G4">
        <f t="shared" si="0"/>
        <v>0.18629999999999991</v>
      </c>
      <c r="I4">
        <f t="shared" si="1"/>
        <v>23.004999999999999</v>
      </c>
      <c r="J4" s="1">
        <f t="shared" si="2"/>
        <v>0.84295188890110284</v>
      </c>
      <c r="K4">
        <f t="shared" si="3"/>
        <v>4.2858314999999978</v>
      </c>
      <c r="L4" s="1">
        <f t="shared" si="4"/>
        <v>0.15704193690227539</v>
      </c>
      <c r="M4">
        <f t="shared" si="5"/>
        <v>1.6850000000356857E-4</v>
      </c>
      <c r="N4" s="1">
        <f t="shared" si="6"/>
        <v>6.1741966217276238E-6</v>
      </c>
      <c r="O4" s="2">
        <f t="shared" si="7"/>
        <v>0.1570481110988971</v>
      </c>
    </row>
    <row r="5" spans="1:15" x14ac:dyDescent="0.35">
      <c r="A5" s="4" t="s">
        <v>6</v>
      </c>
      <c r="B5">
        <f>0.044795*1000</f>
        <v>44.795000000000002</v>
      </c>
      <c r="C5">
        <v>1.2561</v>
      </c>
      <c r="D5" t="s">
        <v>3</v>
      </c>
      <c r="E5" t="s">
        <v>1</v>
      </c>
      <c r="F5">
        <v>17.417000000000002</v>
      </c>
      <c r="G5">
        <f t="shared" si="0"/>
        <v>0.25609999999999999</v>
      </c>
      <c r="I5">
        <f t="shared" si="1"/>
        <v>17.417000000000002</v>
      </c>
      <c r="J5" s="1">
        <f t="shared" si="2"/>
        <v>0.38881571603973658</v>
      </c>
      <c r="K5">
        <f t="shared" si="3"/>
        <v>4.4604937000000007</v>
      </c>
      <c r="L5" s="1">
        <f t="shared" si="4"/>
        <v>9.9575704877776547E-2</v>
      </c>
      <c r="M5">
        <f t="shared" si="5"/>
        <v>22.917506299999999</v>
      </c>
      <c r="N5" s="6">
        <f t="shared" si="6"/>
        <v>0.5116085790824868</v>
      </c>
      <c r="O5" s="5">
        <f t="shared" si="7"/>
        <v>0.61118428396026336</v>
      </c>
    </row>
    <row r="8" spans="1:15" x14ac:dyDescent="0.35">
      <c r="C8" t="s">
        <v>15</v>
      </c>
      <c r="D8" t="s">
        <v>15</v>
      </c>
    </row>
    <row r="9" spans="1:15" x14ac:dyDescent="0.35">
      <c r="A9" s="3"/>
      <c r="C9" t="s">
        <v>3</v>
      </c>
      <c r="D9" t="s">
        <v>16</v>
      </c>
      <c r="F9" s="3" t="s">
        <v>17</v>
      </c>
    </row>
    <row r="10" spans="1:15" x14ac:dyDescent="0.35">
      <c r="A10" s="3" t="s">
        <v>0</v>
      </c>
      <c r="C10">
        <v>2.23507757027455E-2</v>
      </c>
      <c r="D10">
        <f>C10*$B2</f>
        <v>0.48773862738531237</v>
      </c>
      <c r="E10" s="1">
        <f>D10/I$2</f>
        <v>2.8003595761917226E-2</v>
      </c>
      <c r="F10" s="2">
        <f>E10*O2</f>
        <v>5.6528200591717251E-3</v>
      </c>
    </row>
    <row r="11" spans="1:15" x14ac:dyDescent="0.35">
      <c r="A11" s="4" t="s">
        <v>2</v>
      </c>
      <c r="C11">
        <v>2.1036024190819302E-2</v>
      </c>
      <c r="D11">
        <f>C11*$B3</f>
        <v>1.4273152773712805</v>
      </c>
      <c r="E11" s="1">
        <f t="shared" ref="E11:E13" si="8">D11/I$2</f>
        <v>8.1949547991690894E-2</v>
      </c>
      <c r="F11" s="2">
        <f t="shared" ref="F11:F13" si="9">E11*O3</f>
        <v>5.4164410682751477E-2</v>
      </c>
    </row>
    <row r="12" spans="1:15" x14ac:dyDescent="0.35">
      <c r="A12" s="3" t="s">
        <v>5</v>
      </c>
      <c r="C12">
        <v>2.4980278726597898E-3</v>
      </c>
      <c r="D12">
        <f>C12*$B4</f>
        <v>6.8173678672758323E-2</v>
      </c>
      <c r="E12" s="1">
        <f t="shared" si="8"/>
        <v>3.9142032883251032E-3</v>
      </c>
      <c r="F12" s="2">
        <f t="shared" si="9"/>
        <v>6.1471823288854915E-4</v>
      </c>
    </row>
    <row r="13" spans="1:15" x14ac:dyDescent="0.35">
      <c r="A13" s="4" t="s">
        <v>6</v>
      </c>
      <c r="C13">
        <v>3.6155666577970702E-2</v>
      </c>
      <c r="D13">
        <f>C13*$B5</f>
        <v>1.6195930843601976</v>
      </c>
      <c r="E13" s="1">
        <f t="shared" si="8"/>
        <v>9.2989210791766516E-2</v>
      </c>
      <c r="F13" s="2">
        <f t="shared" si="9"/>
        <v>5.6833544213795814E-2</v>
      </c>
    </row>
    <row r="14" spans="1:15" x14ac:dyDescent="0.35">
      <c r="F14" s="7">
        <f>SUM(F10:F13)</f>
        <v>0.11726549318860757</v>
      </c>
    </row>
  </sheetData>
  <mergeCells count="4">
    <mergeCell ref="C1:E1"/>
    <mergeCell ref="I1:J1"/>
    <mergeCell ref="K1:L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M0+SSP2base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SCHLESINGER</dc:creator>
  <cp:lastModifiedBy>Joanna SCHLESINGER</cp:lastModifiedBy>
  <dcterms:created xsi:type="dcterms:W3CDTF">2025-07-07T15:30:17Z</dcterms:created>
  <dcterms:modified xsi:type="dcterms:W3CDTF">2025-07-08T17:23:12Z</dcterms:modified>
</cp:coreProperties>
</file>