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chlesinger\0.Joanna\RTE_scenarios\"/>
    </mc:Choice>
  </mc:AlternateContent>
  <xr:revisionPtr revIDLastSave="0" documentId="13_ncr:1_{1207D85E-FCC5-412C-8E36-D3F32A4ECF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lloc storage" sheetId="3" r:id="rId1"/>
    <sheet name="elec 1 kWh" sheetId="1" r:id="rId2"/>
    <sheet name="contrib an. aggreg" sheetId="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3" l="1"/>
  <c r="P3" i="3" s="1"/>
  <c r="O5" i="3"/>
  <c r="O4" i="3"/>
  <c r="R3" i="3" l="1"/>
  <c r="O8" i="3"/>
  <c r="O9" i="3"/>
  <c r="P4" i="3"/>
  <c r="P7" i="3" s="1"/>
  <c r="Q4" i="3"/>
  <c r="R4" i="3"/>
  <c r="P5" i="3"/>
  <c r="Q5" i="3"/>
  <c r="R5" i="3"/>
  <c r="R9" i="3" s="1"/>
  <c r="O7" i="3"/>
  <c r="Q3" i="3"/>
  <c r="Q7" i="3" s="1"/>
  <c r="Q9" i="3" l="1"/>
  <c r="P9" i="3"/>
  <c r="R8" i="3"/>
  <c r="Q8" i="3"/>
  <c r="P8" i="3"/>
  <c r="R7" i="3"/>
</calcChain>
</file>

<file path=xl/sharedStrings.xml><?xml version="1.0" encoding="utf-8"?>
<sst xmlns="http://schemas.openxmlformats.org/spreadsheetml/2006/main" count="139" uniqueCount="39">
  <si>
    <t>db_name</t>
  </si>
  <si>
    <t>model</t>
  </si>
  <si>
    <t>IAM scenario</t>
  </si>
  <si>
    <t>FR scenario</t>
  </si>
  <si>
    <t>year</t>
  </si>
  <si>
    <t>warning</t>
  </si>
  <si>
    <t>act</t>
  </si>
  <si>
    <t>impact</t>
  </si>
  <si>
    <t>unit</t>
  </si>
  <si>
    <t>ei_cutoff_3.9_tiam-ucl_SSP2-RCP45_2050_Reference - N1 2025-05-15</t>
  </si>
  <si>
    <t>tiam-ucl</t>
  </si>
  <si>
    <t>RCP45</t>
  </si>
  <si>
    <t>N1</t>
  </si>
  <si>
    <t xml:space="preserve"> </t>
  </si>
  <si>
    <t>market for electricity, high voltage, FE2050</t>
  </si>
  <si>
    <t>kg CO2-Eq</t>
  </si>
  <si>
    <t>amount (kWh)</t>
  </si>
  <si>
    <t>contribution to impact</t>
  </si>
  <si>
    <t>percentage</t>
  </si>
  <si>
    <t>market for electricity, from direct French production, FE2050</t>
  </si>
  <si>
    <t>market for electricity, from storage, FE2050</t>
  </si>
  <si>
    <t>market for electricity, from import, FE2050</t>
  </si>
  <si>
    <t>g CO2-Eq</t>
  </si>
  <si>
    <t>100</t>
  </si>
  <si>
    <t>84</t>
  </si>
  <si>
    <t>11</t>
  </si>
  <si>
    <t>5</t>
  </si>
  <si>
    <t>amount</t>
  </si>
  <si>
    <t>standard allocation</t>
  </si>
  <si>
    <t>realloc flex: instead of direct prod</t>
  </si>
  <si>
    <t>realloc flex: instead of import</t>
  </si>
  <si>
    <t>realloc flex: instead of direct elec + import</t>
  </si>
  <si>
    <t>direct electricity</t>
  </si>
  <si>
    <t>storage</t>
  </si>
  <si>
    <t>imports</t>
  </si>
  <si>
    <t>market for electricity, from direct production and import, FE2050</t>
  </si>
  <si>
    <t>market for electricity production, direct production, high voltage, FE2050</t>
  </si>
  <si>
    <t>market for electricity production, storage production, FE2050</t>
  </si>
  <si>
    <t>market for electricity production, import, FE2050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</si>
</sst>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E+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1F1F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5F0"/>
        <bgColor indexed="64"/>
      </patternFill>
    </fill>
    <fill>
      <patternFill patternType="solid">
        <fgColor rgb="FFFEDBCC"/>
        <bgColor indexed="64"/>
      </patternFill>
    </fill>
    <fill>
      <patternFill patternType="solid">
        <fgColor rgb="FFFEE5D8"/>
        <bgColor indexed="64"/>
      </patternFill>
    </fill>
    <fill>
      <patternFill patternType="solid">
        <fgColor rgb="FF67000D"/>
        <bgColor indexed="64"/>
      </patternFill>
    </fill>
    <fill>
      <patternFill patternType="solid">
        <fgColor rgb="FFFDD0BC"/>
        <bgColor indexed="64"/>
      </patternFill>
    </fill>
    <fill>
      <patternFill patternType="solid">
        <fgColor rgb="FFFEE4D8"/>
        <bgColor indexed="64"/>
      </patternFill>
    </fill>
    <fill>
      <patternFill patternType="solid">
        <fgColor rgb="FFA50F15"/>
        <bgColor indexed="64"/>
      </patternFill>
    </fill>
    <fill>
      <patternFill patternType="solid">
        <fgColor rgb="FFFEE8D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1" fillId="0" borderId="2" xfId="0" applyFont="1" applyBorder="1" applyAlignment="1">
      <alignment horizontal="center" vertical="top"/>
    </xf>
    <xf numFmtId="0" fontId="2" fillId="3" borderId="0" xfId="0" applyFont="1" applyFill="1"/>
    <xf numFmtId="164" fontId="0" fillId="0" borderId="0" xfId="0" applyNumberFormat="1"/>
    <xf numFmtId="0" fontId="2" fillId="4" borderId="0" xfId="0" applyFont="1" applyFill="1"/>
    <xf numFmtId="0" fontId="4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4" fillId="8" borderId="0" xfId="0" applyFont="1" applyFill="1"/>
    <xf numFmtId="0" fontId="2" fillId="9" borderId="0" xfId="0" applyFont="1" applyFill="1"/>
    <xf numFmtId="9" fontId="0" fillId="0" borderId="0" xfId="1" applyFont="1"/>
    <xf numFmtId="0" fontId="1" fillId="0" borderId="4" xfId="0" applyFont="1" applyBorder="1" applyAlignment="1">
      <alignment horizontal="center" vertical="top"/>
    </xf>
    <xf numFmtId="0" fontId="0" fillId="0" borderId="3" xfId="0" applyBorder="1"/>
    <xf numFmtId="0" fontId="1" fillId="0" borderId="3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164" fontId="1" fillId="0" borderId="0" xfId="0" applyNumberFormat="1" applyFont="1" applyBorder="1"/>
    <xf numFmtId="0" fontId="1" fillId="0" borderId="5" xfId="0" applyFont="1" applyBorder="1" applyAlignment="1">
      <alignment horizontal="center" vertical="top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Allocation of Storage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'alloc storage'!$S$3</c:f>
              <c:strCache>
                <c:ptCount val="1"/>
                <c:pt idx="0">
                  <c:v>direct 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'alloc storage'!$O$2:$R$2</c:f>
              <c:strCache>
                <c:ptCount val="4"/>
                <c:pt idx="0">
                  <c:v>standard allocation</c:v>
                </c:pt>
                <c:pt idx="1">
                  <c:v>realloc flex: instead of direct prod</c:v>
                </c:pt>
                <c:pt idx="2">
                  <c:v>realloc flex: instead of import</c:v>
                </c:pt>
                <c:pt idx="3">
                  <c:v>realloc flex: instead of direct elec + import</c:v>
                </c:pt>
              </c:strCache>
            </c:strRef>
          </c:cat>
          <c:val>
            <c:numRef>
              <c:f>'alloc storage'!$O$3:$R$3</c:f>
              <c:numCache>
                <c:formatCode>General</c:formatCode>
                <c:ptCount val="4"/>
                <c:pt idx="0">
                  <c:v>1.0787332732221048E-2</c:v>
                </c:pt>
                <c:pt idx="1">
                  <c:v>1.13087503415908E-2</c:v>
                </c:pt>
                <c:pt idx="2">
                  <c:v>1.0787332732221048E-2</c:v>
                </c:pt>
                <c:pt idx="3">
                  <c:v>1.1283527186879595E-2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8-4FCC-9942-9F98F305E998}"/>
            </c:ext>
          </c:extLst>
        </c:ser>
        <c:ser>
          <c:idx val="1"/>
          <c:order val="1"/>
          <c:tx>
            <c:strRef>
              <c:f>'alloc storage'!$S$4</c:f>
              <c:strCache>
                <c:ptCount val="1"/>
                <c:pt idx="0">
                  <c:v>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'alloc storage'!$O$2:$R$2</c:f>
              <c:strCache>
                <c:ptCount val="4"/>
                <c:pt idx="0">
                  <c:v>standard allocation</c:v>
                </c:pt>
                <c:pt idx="1">
                  <c:v>realloc flex: instead of direct prod</c:v>
                </c:pt>
                <c:pt idx="2">
                  <c:v>realloc flex: instead of import</c:v>
                </c:pt>
                <c:pt idx="3">
                  <c:v>realloc flex: instead of direct elec + import</c:v>
                </c:pt>
              </c:strCache>
            </c:strRef>
          </c:cat>
          <c:val>
            <c:numRef>
              <c:f>'alloc storage'!$O$4:$R$4</c:f>
              <c:numCache>
                <c:formatCode>General</c:formatCode>
                <c:ptCount val="4"/>
                <c:pt idx="0">
                  <c:v>1.4637128137896358E-3</c:v>
                </c:pt>
                <c:pt idx="1">
                  <c:v>9.4229520441988261E-4</c:v>
                </c:pt>
                <c:pt idx="2">
                  <c:v>8.5847475542857529E-4</c:v>
                </c:pt>
                <c:pt idx="3">
                  <c:v>9.3824046129503994E-4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68-4FCC-9942-9F98F305E998}"/>
            </c:ext>
          </c:extLst>
        </c:ser>
        <c:ser>
          <c:idx val="2"/>
          <c:order val="2"/>
          <c:tx>
            <c:strRef>
              <c:f>'alloc storage'!$S$5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'alloc storage'!$O$2:$R$2</c:f>
              <c:strCache>
                <c:ptCount val="4"/>
                <c:pt idx="0">
                  <c:v>standard allocation</c:v>
                </c:pt>
                <c:pt idx="1">
                  <c:v>realloc flex: instead of direct prod</c:v>
                </c:pt>
                <c:pt idx="2">
                  <c:v>realloc flex: instead of import</c:v>
                </c:pt>
                <c:pt idx="3">
                  <c:v>realloc flex: instead of direct elec + import</c:v>
                </c:pt>
              </c:strCache>
            </c:strRef>
          </c:cat>
          <c:val>
            <c:numRef>
              <c:f>'alloc storage'!$O$5:$R$5</c:f>
              <c:numCache>
                <c:formatCode>General</c:formatCode>
                <c:ptCount val="4"/>
                <c:pt idx="0">
                  <c:v>6.365054215644988E-4</c:v>
                </c:pt>
                <c:pt idx="1">
                  <c:v>6.365054215644988E-4</c:v>
                </c:pt>
                <c:pt idx="2">
                  <c:v>1.2417434799255594E-3</c:v>
                </c:pt>
                <c:pt idx="3">
                  <c:v>6.6578332263424514E-4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68-4FCC-9942-9F98F305E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8055343"/>
        <c:axId val="1618054383"/>
      </c:barChart>
      <c:catAx>
        <c:axId val="161805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8054383"/>
        <c:crosses val="autoZero"/>
        <c:auto val="1"/>
        <c:lblAlgn val="ctr"/>
        <c:lblOffset val="100"/>
        <c:noMultiLvlLbl val="0"/>
      </c:catAx>
      <c:valAx>
        <c:axId val="16180543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805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9</xdr:row>
      <xdr:rowOff>165100</xdr:rowOff>
    </xdr:from>
    <xdr:to>
      <xdr:col>19</xdr:col>
      <xdr:colOff>447675</xdr:colOff>
      <xdr:row>26</xdr:row>
      <xdr:rowOff>114300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3FD9D76-F02A-47B9-B65F-7F6F2FB65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chlesinger\0.Joanna\RTE_scenarios\export-reallocation%20storage.xlsx" TargetMode="External"/><Relationship Id="rId1" Type="http://schemas.openxmlformats.org/officeDocument/2006/relationships/externalLinkPath" Target="export-reallocation%20stor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ec 1 kWh"/>
      <sheetName val="contrib an. detail"/>
      <sheetName val="contrib an. aggreg"/>
    </sheetNames>
    <sheetDataSet>
      <sheetData sheetId="0">
        <row r="5">
          <cell r="N5" t="str">
            <v>standard allocation</v>
          </cell>
          <cell r="O5" t="str">
            <v>realloc flex: instead of direct prod</v>
          </cell>
          <cell r="P5" t="str">
            <v>realloc flex: instead of import</v>
          </cell>
          <cell r="Q5" t="str">
            <v>realloc flex: instead of direct elec + import</v>
          </cell>
        </row>
        <row r="6">
          <cell r="L6" t="str">
            <v>direct electricity</v>
          </cell>
          <cell r="N6">
            <v>1.0787332732221048E-2</v>
          </cell>
          <cell r="O6">
            <v>1.13087503415908E-2</v>
          </cell>
          <cell r="P6">
            <v>1.0787332732221048E-2</v>
          </cell>
          <cell r="Q6">
            <v>1.1283527186879595E-2</v>
          </cell>
        </row>
        <row r="7">
          <cell r="L7" t="str">
            <v>storage</v>
          </cell>
          <cell r="N7">
            <v>1.4637128137896358E-3</v>
          </cell>
          <cell r="O7">
            <v>9.4229520441988261E-4</v>
          </cell>
          <cell r="P7">
            <v>8.5847475542857529E-4</v>
          </cell>
          <cell r="Q7">
            <v>9.3824046129503994E-4</v>
          </cell>
        </row>
        <row r="8">
          <cell r="L8" t="str">
            <v>imports</v>
          </cell>
          <cell r="N8">
            <v>6.365054215644988E-4</v>
          </cell>
          <cell r="O8">
            <v>6.365054215644988E-4</v>
          </cell>
          <cell r="P8">
            <v>1.2417434799255594E-3</v>
          </cell>
          <cell r="Q8">
            <v>6.6578332263424514E-4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1B52-B6ED-44F8-B4D7-EB6CBEE33F0F}">
  <dimension ref="A1:T15"/>
  <sheetViews>
    <sheetView tabSelected="1" topLeftCell="H1" workbookViewId="0">
      <selection activeCell="J12" sqref="J12"/>
    </sheetView>
  </sheetViews>
  <sheetFormatPr baseColWidth="10" defaultColWidth="8.7265625" defaultRowHeight="14.5" x14ac:dyDescent="0.35"/>
  <cols>
    <col min="8" max="8" width="56.453125" customWidth="1"/>
    <col min="13" max="13" width="11.90625" customWidth="1"/>
    <col min="14" max="14" width="4.08984375" customWidth="1"/>
    <col min="15" max="15" width="12.54296875" bestFit="1" customWidth="1"/>
    <col min="16" max="16" width="12.54296875" customWidth="1"/>
    <col min="17" max="17" width="10.81640625" bestFit="1" customWidth="1"/>
    <col min="18" max="18" width="11.81640625" bestFit="1" customWidth="1"/>
    <col min="19" max="19" width="11.453125" bestFit="1" customWidth="1"/>
  </cols>
  <sheetData>
    <row r="1" spans="1:2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27</v>
      </c>
      <c r="L1" s="1" t="s">
        <v>17</v>
      </c>
      <c r="M1" s="13" t="s">
        <v>18</v>
      </c>
      <c r="N1" s="15"/>
      <c r="O1" s="16"/>
      <c r="P1" s="16"/>
      <c r="Q1" s="16"/>
      <c r="R1" s="17"/>
      <c r="S1" s="17"/>
    </row>
    <row r="2" spans="1:20" x14ac:dyDescent="0.35">
      <c r="A2" s="1">
        <v>0</v>
      </c>
      <c r="B2" t="s">
        <v>9</v>
      </c>
      <c r="C2" t="s">
        <v>10</v>
      </c>
      <c r="D2" t="s">
        <v>11</v>
      </c>
      <c r="E2" t="s">
        <v>12</v>
      </c>
      <c r="F2" s="2">
        <v>2050</v>
      </c>
      <c r="G2" t="s">
        <v>13</v>
      </c>
      <c r="H2" t="s">
        <v>14</v>
      </c>
      <c r="I2" s="4">
        <v>1.2887550885641211E-2</v>
      </c>
      <c r="J2" t="s">
        <v>15</v>
      </c>
      <c r="K2">
        <v>1</v>
      </c>
      <c r="L2">
        <v>12.9</v>
      </c>
      <c r="M2" t="s">
        <v>23</v>
      </c>
      <c r="N2" s="14"/>
      <c r="O2" s="18" t="s">
        <v>28</v>
      </c>
      <c r="P2" s="18" t="s">
        <v>29</v>
      </c>
      <c r="Q2" s="18" t="s">
        <v>30</v>
      </c>
      <c r="R2" s="18" t="s">
        <v>31</v>
      </c>
      <c r="S2" s="17"/>
      <c r="T2" s="5"/>
    </row>
    <row r="3" spans="1:20" x14ac:dyDescent="0.35">
      <c r="A3" s="1">
        <v>1</v>
      </c>
      <c r="B3" t="s">
        <v>9</v>
      </c>
      <c r="C3" t="s">
        <v>10</v>
      </c>
      <c r="D3" t="s">
        <v>11</v>
      </c>
      <c r="E3" t="s">
        <v>12</v>
      </c>
      <c r="F3" s="2">
        <v>2050</v>
      </c>
      <c r="G3" t="s">
        <v>13</v>
      </c>
      <c r="H3" t="s">
        <v>19</v>
      </c>
      <c r="I3" s="6">
        <v>1.1857105043807921E-2</v>
      </c>
      <c r="J3" t="s">
        <v>15</v>
      </c>
      <c r="K3">
        <v>0.90977795105681936</v>
      </c>
      <c r="L3">
        <v>10.8</v>
      </c>
      <c r="M3" t="s">
        <v>24</v>
      </c>
      <c r="N3" s="14"/>
      <c r="O3">
        <f>I3*K3</f>
        <v>1.0787332732221048E-2</v>
      </c>
      <c r="P3">
        <f>O3+K4*I3</f>
        <v>1.13087503415908E-2</v>
      </c>
      <c r="Q3">
        <f>O3</f>
        <v>1.0787332732221048E-2</v>
      </c>
      <c r="R3">
        <f>O3+K4*(K3)/(K3+K5)*I3</f>
        <v>1.1283527186879595E-2</v>
      </c>
      <c r="S3" t="s">
        <v>32</v>
      </c>
    </row>
    <row r="4" spans="1:20" x14ac:dyDescent="0.35">
      <c r="A4" s="1">
        <v>2</v>
      </c>
      <c r="B4" t="s">
        <v>9</v>
      </c>
      <c r="C4" t="s">
        <v>10</v>
      </c>
      <c r="D4" t="s">
        <v>11</v>
      </c>
      <c r="E4" t="s">
        <v>12</v>
      </c>
      <c r="F4" s="2">
        <v>2050</v>
      </c>
      <c r="G4" t="s">
        <v>13</v>
      </c>
      <c r="H4" t="s">
        <v>20</v>
      </c>
      <c r="I4" s="7">
        <v>3.3285021977008319E-2</v>
      </c>
      <c r="J4" t="s">
        <v>15</v>
      </c>
      <c r="K4">
        <v>4.3975119343490222E-2</v>
      </c>
      <c r="L4">
        <v>1.5</v>
      </c>
      <c r="M4" t="s">
        <v>25</v>
      </c>
      <c r="N4" s="14"/>
      <c r="O4">
        <f>I4*K4</f>
        <v>1.4637128137896358E-3</v>
      </c>
      <c r="P4">
        <f>O4-K4*I3</f>
        <v>9.4229520441988261E-4</v>
      </c>
      <c r="Q4">
        <f>O4-K4*I5</f>
        <v>8.5847475542857529E-4</v>
      </c>
      <c r="R4">
        <f>O4-K4*I6</f>
        <v>9.3824046129503994E-4</v>
      </c>
      <c r="S4" t="s">
        <v>33</v>
      </c>
    </row>
    <row r="5" spans="1:20" x14ac:dyDescent="0.35">
      <c r="A5" s="1">
        <v>3</v>
      </c>
      <c r="B5" t="s">
        <v>9</v>
      </c>
      <c r="C5" t="s">
        <v>10</v>
      </c>
      <c r="D5" t="s">
        <v>11</v>
      </c>
      <c r="E5" t="s">
        <v>12</v>
      </c>
      <c r="F5" s="2">
        <v>2050</v>
      </c>
      <c r="G5" t="s">
        <v>13</v>
      </c>
      <c r="H5" t="s">
        <v>21</v>
      </c>
      <c r="I5" s="8">
        <v>1.376319308274159E-2</v>
      </c>
      <c r="J5" t="s">
        <v>15</v>
      </c>
      <c r="K5">
        <v>4.6246929599690588E-2</v>
      </c>
      <c r="L5">
        <v>0.6</v>
      </c>
      <c r="M5" t="s">
        <v>26</v>
      </c>
      <c r="N5" s="14"/>
      <c r="O5">
        <f>I5*K5</f>
        <v>6.365054215644988E-4</v>
      </c>
      <c r="P5">
        <f>O5</f>
        <v>6.365054215644988E-4</v>
      </c>
      <c r="Q5">
        <f>O5+K4*I5</f>
        <v>1.2417434799255594E-3</v>
      </c>
      <c r="R5">
        <f>O5+K4*(K5)/(K3+K5)*I5</f>
        <v>6.6578332263424514E-4</v>
      </c>
      <c r="S5" t="s">
        <v>34</v>
      </c>
    </row>
    <row r="6" spans="1:20" x14ac:dyDescent="0.35">
      <c r="A6" s="1">
        <v>4</v>
      </c>
      <c r="B6" t="s">
        <v>9</v>
      </c>
      <c r="C6" t="s">
        <v>10</v>
      </c>
      <c r="D6" t="s">
        <v>11</v>
      </c>
      <c r="E6" t="s">
        <v>12</v>
      </c>
      <c r="F6" s="2">
        <v>2050</v>
      </c>
      <c r="G6" t="s">
        <v>13</v>
      </c>
      <c r="H6" t="s">
        <v>35</v>
      </c>
      <c r="I6" s="9">
        <v>1.1949310435979139E-2</v>
      </c>
      <c r="J6" t="s">
        <v>15</v>
      </c>
      <c r="N6" s="14"/>
    </row>
    <row r="7" spans="1:20" x14ac:dyDescent="0.35">
      <c r="A7" s="1">
        <v>5</v>
      </c>
      <c r="B7" t="s">
        <v>9</v>
      </c>
      <c r="C7" t="s">
        <v>10</v>
      </c>
      <c r="D7" t="s">
        <v>11</v>
      </c>
      <c r="E7" t="s">
        <v>12</v>
      </c>
      <c r="F7" s="2">
        <v>2050</v>
      </c>
      <c r="G7" t="s">
        <v>13</v>
      </c>
      <c r="H7" t="s">
        <v>36</v>
      </c>
      <c r="I7" s="2">
        <v>9.4866854098137349E-3</v>
      </c>
      <c r="J7" t="s">
        <v>15</v>
      </c>
      <c r="N7" s="14"/>
      <c r="O7" s="12">
        <f>O3/SUM(O$3:O$5)</f>
        <v>0.83703511701810207</v>
      </c>
      <c r="P7" s="12">
        <f>P3/SUM(P$3:P$5)</f>
        <v>0.87749413135539767</v>
      </c>
      <c r="Q7" s="12">
        <f>Q3/SUM(Q$3:Q$5)</f>
        <v>0.83703511701810207</v>
      </c>
      <c r="R7" s="12">
        <f>R3/SUM(R$3:R$5)</f>
        <v>0.8755369590729456</v>
      </c>
    </row>
    <row r="8" spans="1:20" x14ac:dyDescent="0.35">
      <c r="A8" s="1">
        <v>6</v>
      </c>
      <c r="B8" t="s">
        <v>9</v>
      </c>
      <c r="C8" t="s">
        <v>10</v>
      </c>
      <c r="D8" t="s">
        <v>11</v>
      </c>
      <c r="E8" t="s">
        <v>12</v>
      </c>
      <c r="F8" s="2">
        <v>2050</v>
      </c>
      <c r="G8" t="s">
        <v>13</v>
      </c>
      <c r="H8" t="s">
        <v>37</v>
      </c>
      <c r="I8" s="10">
        <v>3.0245136675653539E-2</v>
      </c>
      <c r="J8" t="s">
        <v>15</v>
      </c>
      <c r="N8" s="14"/>
      <c r="O8" s="12">
        <f>O4/SUM(O$3:O$5)</f>
        <v>0.11357571484856259</v>
      </c>
      <c r="P8" s="12">
        <f>P4/SUM(P$3:P$5)</f>
        <v>7.3116700511266897E-2</v>
      </c>
      <c r="Q8" s="12">
        <f>Q4/SUM(Q$3:Q$5)</f>
        <v>6.6612714672359422E-2</v>
      </c>
      <c r="R8" s="12">
        <f>R4/SUM(R$3:R$5)</f>
        <v>7.280207569461522E-2</v>
      </c>
    </row>
    <row r="9" spans="1:20" x14ac:dyDescent="0.35">
      <c r="A9" s="19">
        <v>7</v>
      </c>
      <c r="B9" t="s">
        <v>9</v>
      </c>
      <c r="C9" t="s">
        <v>10</v>
      </c>
      <c r="D9" t="s">
        <v>11</v>
      </c>
      <c r="E9" t="s">
        <v>12</v>
      </c>
      <c r="F9" s="2">
        <v>2050</v>
      </c>
      <c r="G9" t="s">
        <v>13</v>
      </c>
      <c r="H9" t="s">
        <v>38</v>
      </c>
      <c r="I9" s="11">
        <v>1.133322213981657E-2</v>
      </c>
      <c r="J9" t="s">
        <v>15</v>
      </c>
      <c r="N9" s="14"/>
      <c r="O9" s="12">
        <f>O5/SUM(O$3:O$5)</f>
        <v>4.9389168133335305E-2</v>
      </c>
      <c r="P9" s="12">
        <f>P5/SUM(P$3:P$5)</f>
        <v>4.9389168133335305E-2</v>
      </c>
      <c r="Q9" s="12">
        <f>Q5/SUM(Q$3:Q$5)</f>
        <v>9.6352168309538466E-2</v>
      </c>
      <c r="R9" s="12">
        <f>R5/SUM(R$3:R$5)</f>
        <v>5.1660965232439161E-2</v>
      </c>
    </row>
    <row r="10" spans="1:20" x14ac:dyDescent="0.35">
      <c r="A10" s="17"/>
      <c r="B10" s="17"/>
      <c r="C10" s="17"/>
      <c r="D10" s="17"/>
      <c r="E10" s="17"/>
      <c r="F10" s="17"/>
      <c r="G10" s="17"/>
      <c r="M10" s="17"/>
      <c r="N10" s="17"/>
    </row>
    <row r="11" spans="1:20" x14ac:dyDescent="0.35">
      <c r="A11" s="16"/>
      <c r="B11" s="17"/>
      <c r="C11" s="17"/>
      <c r="D11" s="17"/>
      <c r="E11" s="17"/>
      <c r="F11" s="17"/>
      <c r="G11" s="17"/>
    </row>
    <row r="12" spans="1:20" x14ac:dyDescent="0.35">
      <c r="A12" s="16"/>
      <c r="B12" s="17"/>
      <c r="C12" s="17"/>
      <c r="D12" s="17"/>
      <c r="E12" s="17"/>
      <c r="F12" s="17"/>
      <c r="G12" s="17"/>
    </row>
    <row r="13" spans="1:20" x14ac:dyDescent="0.35">
      <c r="A13" s="16"/>
      <c r="B13" s="17"/>
      <c r="C13" s="17"/>
      <c r="D13" s="17"/>
      <c r="E13" s="17"/>
      <c r="F13" s="17"/>
      <c r="G13" s="17"/>
    </row>
    <row r="14" spans="1:20" x14ac:dyDescent="0.35">
      <c r="A14" s="16"/>
      <c r="B14" s="17"/>
      <c r="C14" s="17"/>
      <c r="D14" s="17"/>
      <c r="E14" s="17"/>
      <c r="F14" s="17"/>
      <c r="G14" s="17"/>
    </row>
    <row r="15" spans="1:20" x14ac:dyDescent="0.35">
      <c r="A15" s="17"/>
      <c r="B15" s="17"/>
      <c r="C15" s="17"/>
      <c r="D15" s="17"/>
      <c r="E15" s="17"/>
      <c r="F15" s="17"/>
      <c r="G15" s="1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baseColWidth="10" defaultColWidth="8.7265625" defaultRowHeight="14.5" x14ac:dyDescent="0.35"/>
  <sheetData>
    <row r="1" spans="1:1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s="1">
        <v>0</v>
      </c>
      <c r="B2" t="s">
        <v>9</v>
      </c>
      <c r="C2" t="s">
        <v>10</v>
      </c>
      <c r="D2" t="s">
        <v>11</v>
      </c>
      <c r="E2" t="s">
        <v>12</v>
      </c>
      <c r="F2">
        <v>2050</v>
      </c>
      <c r="G2" t="s">
        <v>13</v>
      </c>
      <c r="H2" t="s">
        <v>14</v>
      </c>
      <c r="I2" s="2">
        <v>1.2887550885641211E-2</v>
      </c>
      <c r="J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>
      <selection activeCell="G17" sqref="G17"/>
    </sheetView>
  </sheetViews>
  <sheetFormatPr baseColWidth="10" defaultColWidth="8.7265625" defaultRowHeight="14.5" x14ac:dyDescent="0.35"/>
  <cols>
    <col min="13" max="13" width="7.81640625" customWidth="1"/>
  </cols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16</v>
      </c>
      <c r="L1" s="1" t="s">
        <v>17</v>
      </c>
      <c r="M1" s="1" t="s">
        <v>18</v>
      </c>
    </row>
    <row r="2" spans="1:13" x14ac:dyDescent="0.35">
      <c r="A2" s="1">
        <v>0</v>
      </c>
      <c r="B2" t="s">
        <v>9</v>
      </c>
      <c r="C2" t="s">
        <v>10</v>
      </c>
      <c r="D2" t="s">
        <v>11</v>
      </c>
      <c r="E2" t="s">
        <v>12</v>
      </c>
      <c r="F2">
        <v>2050</v>
      </c>
      <c r="G2" t="s">
        <v>13</v>
      </c>
      <c r="H2" t="s">
        <v>14</v>
      </c>
      <c r="I2">
        <v>12.9</v>
      </c>
      <c r="J2" t="s">
        <v>22</v>
      </c>
      <c r="K2">
        <v>1</v>
      </c>
      <c r="L2">
        <v>12.9</v>
      </c>
      <c r="M2" t="s">
        <v>23</v>
      </c>
    </row>
    <row r="3" spans="1:13" x14ac:dyDescent="0.35">
      <c r="A3" s="1">
        <v>1</v>
      </c>
      <c r="B3" t="s">
        <v>9</v>
      </c>
      <c r="C3" t="s">
        <v>10</v>
      </c>
      <c r="D3" t="s">
        <v>11</v>
      </c>
      <c r="E3" t="s">
        <v>12</v>
      </c>
      <c r="F3">
        <v>2050</v>
      </c>
      <c r="G3" t="s">
        <v>13</v>
      </c>
      <c r="H3" t="s">
        <v>19</v>
      </c>
      <c r="I3">
        <v>11.9</v>
      </c>
      <c r="J3" t="s">
        <v>22</v>
      </c>
      <c r="K3">
        <v>0.91</v>
      </c>
      <c r="L3">
        <v>10.8</v>
      </c>
      <c r="M3" t="s">
        <v>24</v>
      </c>
    </row>
    <row r="4" spans="1:13" x14ac:dyDescent="0.35">
      <c r="A4" s="1">
        <v>2</v>
      </c>
      <c r="B4" t="s">
        <v>9</v>
      </c>
      <c r="C4" t="s">
        <v>10</v>
      </c>
      <c r="D4" t="s">
        <v>11</v>
      </c>
      <c r="E4" t="s">
        <v>12</v>
      </c>
      <c r="F4">
        <v>2050</v>
      </c>
      <c r="G4" t="s">
        <v>13</v>
      </c>
      <c r="H4" t="s">
        <v>20</v>
      </c>
      <c r="I4">
        <v>33.299999999999997</v>
      </c>
      <c r="J4" t="s">
        <v>22</v>
      </c>
      <c r="K4">
        <v>0.04</v>
      </c>
      <c r="L4">
        <v>1.5</v>
      </c>
      <c r="M4" t="s">
        <v>25</v>
      </c>
    </row>
    <row r="5" spans="1:13" x14ac:dyDescent="0.35">
      <c r="A5" s="1">
        <v>3</v>
      </c>
      <c r="B5" t="s">
        <v>9</v>
      </c>
      <c r="C5" t="s">
        <v>10</v>
      </c>
      <c r="D5" t="s">
        <v>11</v>
      </c>
      <c r="E5" t="s">
        <v>12</v>
      </c>
      <c r="F5">
        <v>2050</v>
      </c>
      <c r="G5" t="s">
        <v>13</v>
      </c>
      <c r="H5" t="s">
        <v>21</v>
      </c>
      <c r="I5">
        <v>13.8</v>
      </c>
      <c r="J5" t="s">
        <v>22</v>
      </c>
      <c r="K5">
        <v>0.05</v>
      </c>
      <c r="L5">
        <v>0.6</v>
      </c>
      <c r="M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alloc storage</vt:lpstr>
      <vt:lpstr>elec 1 kWh</vt:lpstr>
      <vt:lpstr>contrib an. aggreg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Joanna SCHLESINGER</cp:lastModifiedBy>
  <dcterms:created xsi:type="dcterms:W3CDTF">2025-05-20T16:28:00Z</dcterms:created>
  <dcterms:modified xsi:type="dcterms:W3CDTF">2025-05-20T16:35:34Z</dcterms:modified>
</cp:coreProperties>
</file>