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8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chlesinger\0.Joanna\RTE_scenarios\"/>
    </mc:Choice>
  </mc:AlternateContent>
  <xr:revisionPtr revIDLastSave="0" documentId="13_ncr:1_{3060D954-141A-49CF-813C-6AF37271D364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Base vs RCP45 background" sheetId="11" r:id="rId1"/>
    <sheet name="elec 1 kWh" sheetId="1" r:id="rId2"/>
    <sheet name="contrib an. aggreg" sheetId="3" r:id="rId3"/>
    <sheet name="contrib an. detail" sheetId="2" r:id="rId4"/>
    <sheet name="scenario influence" sheetId="4" r:id="rId5"/>
    <sheet name="N1 Base - image vs tiam" sheetId="8" r:id="rId6"/>
    <sheet name="N1 - RCP45 vs Base" sheetId="5" r:id="rId7"/>
    <sheet name="RCP45 - N03 vs M0" sheetId="6" r:id="rId8"/>
    <sheet name="Base - N03 vs M0" sheetId="7" r:id="rId9"/>
    <sheet name="Feuil1" sheetId="9" r:id="rId10"/>
    <sheet name="Feuil2" sheetId="10" r:id="rId11"/>
  </sheets>
  <definedNames>
    <definedName name="_xlnm._FilterDatabase" localSheetId="3" hidden="1">'contrib an. detail'!$A$1:$N$170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1" l="1"/>
  <c r="AI4" i="11"/>
  <c r="AI5" i="11"/>
  <c r="AI6" i="11"/>
  <c r="AI7" i="11"/>
  <c r="AI8" i="11"/>
  <c r="AI9" i="11"/>
  <c r="AI2" i="11"/>
  <c r="AH2" i="11"/>
  <c r="AH3" i="11"/>
  <c r="AH4" i="11"/>
  <c r="AH5" i="11"/>
  <c r="AH6" i="11"/>
  <c r="AH7" i="11"/>
  <c r="AH8" i="11"/>
  <c r="AH9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2" i="11"/>
  <c r="R31" i="3"/>
  <c r="Q20" i="3"/>
  <c r="R20" i="3"/>
  <c r="O48" i="3"/>
  <c r="O49" i="3"/>
  <c r="O50" i="3"/>
  <c r="O47" i="3"/>
  <c r="T31" i="3"/>
  <c r="S32" i="3"/>
  <c r="S31" i="3"/>
  <c r="R32" i="3"/>
  <c r="O21" i="3"/>
  <c r="O22" i="3"/>
  <c r="O23" i="3"/>
  <c r="O20" i="3"/>
  <c r="O30" i="3"/>
  <c r="O31" i="3"/>
  <c r="O32" i="3"/>
  <c r="O29" i="3"/>
  <c r="S33" i="3"/>
  <c r="S26" i="3"/>
  <c r="S8" i="3"/>
  <c r="Q26" i="3"/>
  <c r="T33" i="3"/>
  <c r="T32" i="3"/>
  <c r="S34" i="3"/>
  <c r="R33" i="3"/>
  <c r="R34" i="3"/>
  <c r="Q8" i="3"/>
  <c r="Q25" i="3"/>
  <c r="Q21" i="3"/>
  <c r="Q22" i="3"/>
  <c r="V22" i="3" s="1"/>
  <c r="Q23" i="3"/>
  <c r="V23" i="3" s="1"/>
  <c r="Q24" i="3"/>
  <c r="V24" i="3" s="1"/>
  <c r="U20" i="3"/>
  <c r="V21" i="3"/>
  <c r="V20" i="3"/>
  <c r="S24" i="3"/>
  <c r="R24" i="3"/>
  <c r="S23" i="3"/>
  <c r="R23" i="3"/>
  <c r="S22" i="3"/>
  <c r="R22" i="3"/>
  <c r="S21" i="3"/>
  <c r="R21" i="3"/>
  <c r="S20" i="3"/>
  <c r="U3" i="3"/>
  <c r="U4" i="3"/>
  <c r="U5" i="3"/>
  <c r="U6" i="3"/>
  <c r="T3" i="3"/>
  <c r="T4" i="3"/>
  <c r="T5" i="3"/>
  <c r="T6" i="3"/>
  <c r="S3" i="3"/>
  <c r="S4" i="3"/>
  <c r="S5" i="3"/>
  <c r="S6" i="3"/>
  <c r="R3" i="3"/>
  <c r="R4" i="3"/>
  <c r="R5" i="3"/>
  <c r="R6" i="3"/>
  <c r="R2" i="3"/>
  <c r="S2" i="3"/>
  <c r="U2" i="3"/>
  <c r="T2" i="3"/>
  <c r="Q7" i="3"/>
  <c r="Q3" i="3"/>
  <c r="Q4" i="3"/>
  <c r="Q5" i="3"/>
  <c r="Q6" i="3"/>
  <c r="Q2" i="3"/>
  <c r="L42" i="1"/>
  <c r="L43" i="1"/>
  <c r="J9" i="7"/>
  <c r="M10" i="6"/>
  <c r="V9" i="7"/>
  <c r="AE4" i="7"/>
  <c r="C3" i="9"/>
  <c r="C2" i="9"/>
  <c r="B3" i="9"/>
  <c r="B2" i="9"/>
  <c r="I9" i="1"/>
  <c r="AI8" i="8"/>
  <c r="AH8" i="8"/>
  <c r="AG8" i="8"/>
  <c r="AF8" i="8"/>
  <c r="AE8" i="8"/>
  <c r="AG7" i="8"/>
  <c r="AF7" i="8"/>
  <c r="AE7" i="8"/>
  <c r="AK6" i="8"/>
  <c r="AJ6" i="8"/>
  <c r="AI6" i="8"/>
  <c r="AH6" i="8"/>
  <c r="AG6" i="8"/>
  <c r="AF6" i="8"/>
  <c r="AE6" i="8"/>
  <c r="AK5" i="8"/>
  <c r="AJ5" i="8"/>
  <c r="AI5" i="8"/>
  <c r="AH5" i="8"/>
  <c r="AG5" i="8"/>
  <c r="AF5" i="8"/>
  <c r="AE5" i="8"/>
  <c r="AK4" i="8"/>
  <c r="AJ4" i="8"/>
  <c r="AI4" i="8"/>
  <c r="AH4" i="8"/>
  <c r="AG4" i="8"/>
  <c r="AF4" i="8"/>
  <c r="AE4" i="8"/>
  <c r="AK3" i="8"/>
  <c r="AJ3" i="8"/>
  <c r="AI3" i="8"/>
  <c r="AH3" i="8"/>
  <c r="AG3" i="8"/>
  <c r="AF3" i="8"/>
  <c r="AE3" i="8"/>
  <c r="AK2" i="8"/>
  <c r="AJ2" i="8"/>
  <c r="AI2" i="8"/>
  <c r="AH2" i="8"/>
  <c r="AG2" i="8"/>
  <c r="AF2" i="8"/>
  <c r="AE2" i="8"/>
  <c r="AI8" i="7"/>
  <c r="AH8" i="7"/>
  <c r="AG8" i="7"/>
  <c r="AF8" i="7"/>
  <c r="AE8" i="7"/>
  <c r="AG7" i="7"/>
  <c r="AF7" i="7"/>
  <c r="AE7" i="7"/>
  <c r="AK6" i="7"/>
  <c r="AJ6" i="7"/>
  <c r="AI6" i="7"/>
  <c r="AH6" i="7"/>
  <c r="AG6" i="7"/>
  <c r="AF6" i="7"/>
  <c r="AE6" i="7"/>
  <c r="AK5" i="7"/>
  <c r="AJ5" i="7"/>
  <c r="AI5" i="7"/>
  <c r="AH5" i="7"/>
  <c r="AG5" i="7"/>
  <c r="AF5" i="7"/>
  <c r="AE5" i="7"/>
  <c r="AK4" i="7"/>
  <c r="AJ4" i="7"/>
  <c r="AI4" i="7"/>
  <c r="AH4" i="7"/>
  <c r="AG4" i="7"/>
  <c r="AF4" i="7"/>
  <c r="AK3" i="7"/>
  <c r="AJ3" i="7"/>
  <c r="AI3" i="7"/>
  <c r="AH3" i="7"/>
  <c r="AG3" i="7"/>
  <c r="AF3" i="7"/>
  <c r="AE3" i="7"/>
  <c r="AK2" i="7"/>
  <c r="AJ2" i="7"/>
  <c r="AI2" i="7"/>
  <c r="AH2" i="7"/>
  <c r="AG2" i="7"/>
  <c r="AF2" i="7"/>
  <c r="AE2" i="7"/>
  <c r="AI8" i="6"/>
  <c r="AH8" i="6"/>
  <c r="AG8" i="6"/>
  <c r="AF8" i="6"/>
  <c r="AE8" i="6"/>
  <c r="AG7" i="6"/>
  <c r="AF7" i="6"/>
  <c r="AE7" i="6"/>
  <c r="AK6" i="6"/>
  <c r="AJ6" i="6"/>
  <c r="AI6" i="6"/>
  <c r="AH6" i="6"/>
  <c r="AG6" i="6"/>
  <c r="AF6" i="6"/>
  <c r="AE6" i="6"/>
  <c r="AK5" i="6"/>
  <c r="AJ5" i="6"/>
  <c r="AI5" i="6"/>
  <c r="AH5" i="6"/>
  <c r="AG5" i="6"/>
  <c r="AF5" i="6"/>
  <c r="AE5" i="6"/>
  <c r="AK4" i="6"/>
  <c r="AJ4" i="6"/>
  <c r="AI4" i="6"/>
  <c r="AH4" i="6"/>
  <c r="AG4" i="6"/>
  <c r="AF4" i="6"/>
  <c r="AE4" i="6"/>
  <c r="AK3" i="6"/>
  <c r="AJ3" i="6"/>
  <c r="AI3" i="6"/>
  <c r="AH3" i="6"/>
  <c r="AG3" i="6"/>
  <c r="AF3" i="6"/>
  <c r="AE3" i="6"/>
  <c r="AK2" i="6"/>
  <c r="AJ2" i="6"/>
  <c r="AI2" i="6"/>
  <c r="AH2" i="6"/>
  <c r="AG2" i="6"/>
  <c r="AF2" i="6"/>
  <c r="AE2" i="6"/>
  <c r="AF3" i="5"/>
  <c r="AF4" i="5"/>
  <c r="AF5" i="5"/>
  <c r="AF6" i="5"/>
  <c r="AF7" i="5"/>
  <c r="AF8" i="5"/>
  <c r="AF2" i="5"/>
  <c r="AE8" i="5"/>
  <c r="AK2" i="5"/>
  <c r="AG2" i="5"/>
  <c r="AJ3" i="5"/>
  <c r="AJ4" i="5"/>
  <c r="AJ5" i="5"/>
  <c r="AJ6" i="5"/>
  <c r="AJ2" i="5"/>
  <c r="AH3" i="5"/>
  <c r="AH4" i="5"/>
  <c r="AH5" i="5"/>
  <c r="AH6" i="5"/>
  <c r="AH8" i="5"/>
  <c r="AH2" i="5"/>
  <c r="AK3" i="5"/>
  <c r="AK4" i="5"/>
  <c r="AK5" i="5"/>
  <c r="AK6" i="5"/>
  <c r="AI3" i="5"/>
  <c r="AI4" i="5"/>
  <c r="AI5" i="5"/>
  <c r="AI6" i="5"/>
  <c r="AI8" i="5"/>
  <c r="AI2" i="5"/>
  <c r="AG3" i="5"/>
  <c r="AG4" i="5"/>
  <c r="AG5" i="5"/>
  <c r="AG6" i="5"/>
  <c r="AG7" i="5"/>
  <c r="AG8" i="5"/>
  <c r="AE2" i="5"/>
  <c r="AE3" i="5"/>
  <c r="AE4" i="5"/>
  <c r="AE5" i="5"/>
  <c r="AE6" i="5"/>
  <c r="AE7" i="5"/>
  <c r="I22" i="1"/>
  <c r="I21" i="1"/>
  <c r="I25" i="1"/>
  <c r="I24" i="1"/>
  <c r="I10" i="1"/>
  <c r="I19" i="1"/>
  <c r="I18" i="1"/>
  <c r="I17" i="1"/>
  <c r="I16" i="1"/>
  <c r="I15" i="1"/>
  <c r="I14" i="1"/>
  <c r="I3" i="1"/>
  <c r="I4" i="1"/>
  <c r="I5" i="1"/>
  <c r="I6" i="1"/>
  <c r="I7" i="1"/>
  <c r="I2" i="1"/>
  <c r="U21" i="3" l="1"/>
  <c r="U22" i="3"/>
  <c r="U23" i="3"/>
  <c r="U24" i="3"/>
</calcChain>
</file>

<file path=xl/sharedStrings.xml><?xml version="1.0" encoding="utf-8"?>
<sst xmlns="http://schemas.openxmlformats.org/spreadsheetml/2006/main" count="2868" uniqueCount="139">
  <si>
    <t>db_name</t>
  </si>
  <si>
    <t>model</t>
  </si>
  <si>
    <t>IAM scenario</t>
  </si>
  <si>
    <t>FR scenario</t>
  </si>
  <si>
    <t>year</t>
  </si>
  <si>
    <t>act</t>
  </si>
  <si>
    <t>impact</t>
  </si>
  <si>
    <t>unit</t>
  </si>
  <si>
    <t>ei_cutoff_3.9_tiam-ucl_SSP2-Base_2050_Reference - M0 2025-02-19</t>
  </si>
  <si>
    <t>ei_cutoff_3.9_tiam-ucl_SSP2-Base_2050_Reference - N03 2025-02-19</t>
  </si>
  <si>
    <t>ei_cutoff_3.9_tiam-ucl_SSP2-RCP45_2050_Reference - M0 2025-02-19</t>
  </si>
  <si>
    <t>ei_cutoff_3.9_tiam-ucl_SSP2-RCP45_2050_Reference - N03 2025-02-19</t>
  </si>
  <si>
    <t>ei_cutoff_3.9_tiam-ucl_SSP2-Base_2050_Reference - N1 2025-02-19</t>
  </si>
  <si>
    <t>ei_cutoff_3.9_tiam-ucl_SSP2-RCP45_2050_Reference - N1 2025-02-19</t>
  </si>
  <si>
    <t>ei_cutoff_3.9_image_SSP2-Base_2050_Reference - N1 2025-02-19</t>
  </si>
  <si>
    <t>ei_cutoff_3.9_image_SSP2-RCP26_2050_Reference - N1 2025-02-19</t>
  </si>
  <si>
    <t>tiam-ucl</t>
  </si>
  <si>
    <t>image</t>
  </si>
  <si>
    <t>Base</t>
  </si>
  <si>
    <t>RCP45</t>
  </si>
  <si>
    <t>RCP26</t>
  </si>
  <si>
    <t>M0</t>
  </si>
  <si>
    <t>N03</t>
  </si>
  <si>
    <t>N1</t>
  </si>
  <si>
    <t>market for electricity, high voltage, FE2050</t>
  </si>
  <si>
    <t>kg CO2-Eq</t>
  </si>
  <si>
    <t>market for electricity, direct production only, high voltage, FE2050</t>
  </si>
  <si>
    <t>amount</t>
  </si>
  <si>
    <t>unit amount</t>
  </si>
  <si>
    <t>unit impact</t>
  </si>
  <si>
    <t>% impact</t>
  </si>
  <si>
    <t>absolute impact</t>
  </si>
  <si>
    <t>absolute impact/impact elec</t>
  </si>
  <si>
    <t>electricity production, hydro, run-of-river</t>
  </si>
  <si>
    <t>electricity production, hydro, reservoir, alpine region</t>
  </si>
  <si>
    <t>electricity production, photovoltaic</t>
  </si>
  <si>
    <t>electricity production, wind, 1-3MW turbine, onshore</t>
  </si>
  <si>
    <t>electricity production, wind, 1-3MW turbine, offshore</t>
  </si>
  <si>
    <t>heat and power co-generation, wood chips, 6667 kW</t>
  </si>
  <si>
    <t>treatment of municipal solid waste, incineration</t>
  </si>
  <si>
    <t>electricity production, wave energy converter</t>
  </si>
  <si>
    <t>electricity production, natural gas, combined cycle power plant</t>
  </si>
  <si>
    <t>electricity production, hydro, pumped storage, FE2050</t>
  </si>
  <si>
    <t>electricity production, from hydrogen, with gas turbine, for grid-balancing, FE2050</t>
  </si>
  <si>
    <t>electricity production, from vehicle-to-grid, FE2050</t>
  </si>
  <si>
    <t>electricity supply, high voltage, from vanadium-redox flow battery system, FE2050</t>
  </si>
  <si>
    <t>market group for electricity, high voltage</t>
  </si>
  <si>
    <t>transmission network construction, electricity, high voltage direct current aerial line</t>
  </si>
  <si>
    <t>transmission network construction, electricity, high voltage direct current land cable</t>
  </si>
  <si>
    <t>transmission network construction, electricity, high voltage direct current subsea cable</t>
  </si>
  <si>
    <t>Dinitrogen monoxide('air',)</t>
  </si>
  <si>
    <t>Ozone('air',)</t>
  </si>
  <si>
    <t>kilowatt hour</t>
  </si>
  <si>
    <t>kilometer</t>
  </si>
  <si>
    <t>kilogram</t>
  </si>
  <si>
    <t>electricity production, nuclear, pressure water reactor</t>
  </si>
  <si>
    <t>electricity production, Evolutionary Power Reactor (EPR)</t>
  </si>
  <si>
    <t>electricity production, Small Modular Reactor (SMR)</t>
  </si>
  <si>
    <t>direct electricity production in France</t>
  </si>
  <si>
    <t>electricity production from flexibilities</t>
  </si>
  <si>
    <t>imports</t>
  </si>
  <si>
    <t>losses</t>
  </si>
  <si>
    <t>network</t>
  </si>
  <si>
    <t>others : biosphere flows</t>
  </si>
  <si>
    <t>M0 prod</t>
  </si>
  <si>
    <t>N1 prod</t>
  </si>
  <si>
    <t>N03 prod</t>
  </si>
  <si>
    <t xml:space="preserve">Direct production </t>
  </si>
  <si>
    <t>FR</t>
  </si>
  <si>
    <t>Impact of each techno</t>
  </si>
  <si>
    <t>IAM</t>
  </si>
  <si>
    <t>Flexibility</t>
  </si>
  <si>
    <t>Impact of each flexibility</t>
  </si>
  <si>
    <t>FR + IAM</t>
  </si>
  <si>
    <t>Imports</t>
  </si>
  <si>
    <t>Impact of import</t>
  </si>
  <si>
    <t xml:space="preserve">IAM </t>
  </si>
  <si>
    <t>connected to market for electricity, FR</t>
  </si>
  <si>
    <t>connected to market group for electricity, WEU</t>
  </si>
  <si>
    <t>Losses</t>
  </si>
  <si>
    <t>Amount direct production</t>
  </si>
  <si>
    <t>Amount flexibility</t>
  </si>
  <si>
    <t>Amount imports</t>
  </si>
  <si>
    <t>Mix techno prod</t>
  </si>
  <si>
    <t>Mix techno flex</t>
  </si>
  <si>
    <t>Amount of losses</t>
  </si>
  <si>
    <t>Impact of losses</t>
  </si>
  <si>
    <t>==</t>
  </si>
  <si>
    <t>Grid network</t>
  </si>
  <si>
    <t>Biosphere flows</t>
  </si>
  <si>
    <t>Amount of grid</t>
  </si>
  <si>
    <t>Impact of grid</t>
  </si>
  <si>
    <t>tiam-ucl prod</t>
  </si>
  <si>
    <t>image prod</t>
  </si>
  <si>
    <t>total</t>
  </si>
  <si>
    <t>N1 - RCP45 vs Base</t>
  </si>
  <si>
    <t>absolute impact / relative increase</t>
  </si>
  <si>
    <t>amount / relative increase</t>
  </si>
  <si>
    <t>relative impact</t>
  </si>
  <si>
    <t>relative impact/relative increase</t>
  </si>
  <si>
    <t>contribution to total impact increase</t>
  </si>
  <si>
    <t>Amount of flow</t>
  </si>
  <si>
    <t>Impact of flow</t>
  </si>
  <si>
    <t>electricity injection from flexibilities</t>
  </si>
  <si>
    <r>
      <t>Impact changement climatique de ‘</t>
    </r>
    <r>
      <rPr>
        <sz val="9"/>
        <color rgb="FF1D1D1B"/>
        <rFont val="Times New Roman"/>
        <family val="1"/>
      </rPr>
      <t>market for electricity, high voltage, FE2050 - FR’ (kgCO2-eq/kWh)</t>
    </r>
  </si>
  <si>
    <t>Scénario français M0</t>
  </si>
  <si>
    <t>Scénario français N03</t>
  </si>
  <si>
    <t>Scénario IAM
TIAM-UCL – SSP2-RCP4.5</t>
  </si>
  <si>
    <t>Scénario IAM
TIAM-UCL – SSP2-Base</t>
  </si>
  <si>
    <t>pertes électriques</t>
  </si>
  <si>
    <t>injection d'électricité par les technologies de stockage</t>
  </si>
  <si>
    <t>infrastructure du réseau</t>
  </si>
  <si>
    <t>autres: flux de biosphère</t>
  </si>
  <si>
    <t>production directe d'électricité</t>
  </si>
  <si>
    <t>(a2-a1)/a1</t>
  </si>
  <si>
    <t>(alpha2-alpha1)/alpha1</t>
  </si>
  <si>
    <t>contrib de varation de a à variation de P</t>
  </si>
  <si>
    <t>contrib de variation de alpha à variation de P</t>
  </si>
  <si>
    <t>mix consumption</t>
  </si>
  <si>
    <t>mix prod</t>
  </si>
  <si>
    <t>tiam-ucl RCP45</t>
  </si>
  <si>
    <t>M0 increase compare to N03</t>
  </si>
  <si>
    <t>mix consumption (gCO2eq/kWh)</t>
  </si>
  <si>
    <t>mix prod (gCO2eq/kWh)</t>
  </si>
  <si>
    <t>consumption vs production
% increase</t>
  </si>
  <si>
    <t>Nuclear, PWR</t>
  </si>
  <si>
    <t>Nuclear,EPR</t>
  </si>
  <si>
    <t>PV</t>
  </si>
  <si>
    <t>Wind, onshore</t>
  </si>
  <si>
    <t>Wind, offshore</t>
  </si>
  <si>
    <t>Hydro, run of river</t>
  </si>
  <si>
    <t>Hydro, Reservoir</t>
  </si>
  <si>
    <t>Wood Chips</t>
  </si>
  <si>
    <t>High Voltage</t>
  </si>
  <si>
    <t>Natural Gas</t>
  </si>
  <si>
    <t>Hydro, Pumped Storage</t>
  </si>
  <si>
    <t>From Hydrogen, With Gas Turbine, For Grid-Balancing</t>
  </si>
  <si>
    <t>From Vehicle-To-Grid</t>
  </si>
  <si>
    <t>High Voltage, From Vanadium-Redox Flow Battery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</si>
</sst>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1D1D1B"/>
      <name val="Times New Roman"/>
      <family val="1"/>
    </font>
    <font>
      <sz val="9"/>
      <color rgb="FF00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rgb="FFFFF5F0"/>
        <bgColor indexed="64"/>
      </patternFill>
    </fill>
    <fill>
      <patternFill patternType="solid">
        <fgColor rgb="FFC1161B"/>
        <bgColor indexed="64"/>
      </patternFill>
    </fill>
    <fill>
      <patternFill patternType="solid">
        <fgColor rgb="FFFCA082"/>
        <bgColor indexed="64"/>
      </patternFill>
    </fill>
    <fill>
      <patternFill patternType="solid">
        <fgColor rgb="FFFDC7B2"/>
        <bgColor indexed="64"/>
      </patternFill>
    </fill>
    <fill>
      <patternFill patternType="solid">
        <fgColor rgb="FFF96245"/>
        <bgColor indexed="64"/>
      </patternFill>
    </fill>
    <fill>
      <patternFill patternType="solid">
        <fgColor rgb="FFFEE8DD"/>
        <bgColor indexed="64"/>
      </patternFill>
    </fill>
    <fill>
      <patternFill patternType="solid">
        <fgColor rgb="FF67000D"/>
        <bgColor indexed="64"/>
      </patternFill>
    </fill>
    <fill>
      <patternFill patternType="solid">
        <fgColor rgb="FFFEE0D2"/>
        <bgColor indexed="64"/>
      </patternFill>
    </fill>
    <fill>
      <patternFill patternType="solid">
        <fgColor rgb="FFB01217"/>
        <bgColor indexed="64"/>
      </patternFill>
    </fill>
    <fill>
      <patternFill patternType="solid">
        <fgColor rgb="FFFDC9B3"/>
        <bgColor indexed="64"/>
      </patternFill>
    </fill>
    <fill>
      <patternFill patternType="solid">
        <fgColor rgb="FFF24734"/>
        <bgColor indexed="64"/>
      </patternFill>
    </fill>
    <fill>
      <patternFill patternType="solid">
        <fgColor rgb="FFFB7555"/>
        <bgColor indexed="64"/>
      </patternFill>
    </fill>
    <fill>
      <patternFill patternType="solid">
        <fgColor rgb="FFFCBBA1"/>
        <bgColor indexed="64"/>
      </patternFill>
    </fill>
    <fill>
      <patternFill patternType="solid">
        <fgColor rgb="FFFDCCB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6" borderId="0" xfId="0" applyFont="1" applyFill="1"/>
    <xf numFmtId="0" fontId="2" fillId="7" borderId="0" xfId="0" applyFont="1" applyFill="1"/>
    <xf numFmtId="0" fontId="3" fillId="8" borderId="0" xfId="0" applyFont="1" applyFill="1"/>
    <xf numFmtId="0" fontId="2" fillId="9" borderId="0" xfId="0" applyFont="1" applyFill="1"/>
    <xf numFmtId="0" fontId="3" fillId="10" borderId="0" xfId="0" applyFont="1" applyFill="1"/>
    <xf numFmtId="0" fontId="2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0" fillId="17" borderId="0" xfId="0" applyFill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16" borderId="1" xfId="0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19" borderId="0" xfId="0" applyFill="1"/>
    <xf numFmtId="0" fontId="1" fillId="0" borderId="0" xfId="0" applyFont="1" applyAlignment="1">
      <alignment horizontal="center" vertical="center" wrapText="1"/>
    </xf>
    <xf numFmtId="164" fontId="0" fillId="0" borderId="1" xfId="0" applyNumberFormat="1" applyBorder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20" borderId="0" xfId="0" applyFill="1"/>
    <xf numFmtId="0" fontId="0" fillId="21" borderId="0" xfId="0" applyFill="1"/>
    <xf numFmtId="0" fontId="0" fillId="22" borderId="0" xfId="0" applyFill="1"/>
    <xf numFmtId="0" fontId="1" fillId="22" borderId="1" xfId="0" applyFont="1" applyFill="1" applyBorder="1" applyAlignment="1">
      <alignment horizontal="center" vertical="top"/>
    </xf>
    <xf numFmtId="9" fontId="0" fillId="0" borderId="1" xfId="1" applyFont="1" applyFill="1" applyBorder="1"/>
    <xf numFmtId="164" fontId="0" fillId="0" borderId="1" xfId="1" applyNumberFormat="1" applyFont="1" applyFill="1" applyBorder="1"/>
    <xf numFmtId="0" fontId="1" fillId="0" borderId="0" xfId="0" applyFont="1" applyAlignment="1">
      <alignment horizontal="center" vertical="top"/>
    </xf>
    <xf numFmtId="0" fontId="5" fillId="0" borderId="3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0" fontId="0" fillId="0" borderId="1" xfId="0" applyBorder="1"/>
    <xf numFmtId="164" fontId="2" fillId="7" borderId="1" xfId="0" applyNumberFormat="1" applyFont="1" applyFill="1" applyBorder="1"/>
    <xf numFmtId="164" fontId="2" fillId="9" borderId="1" xfId="0" applyNumberFormat="1" applyFont="1" applyFill="1" applyBorder="1"/>
    <xf numFmtId="164" fontId="3" fillId="6" borderId="1" xfId="0" applyNumberFormat="1" applyFont="1" applyFill="1" applyBorder="1"/>
    <xf numFmtId="164" fontId="3" fillId="8" borderId="1" xfId="0" applyNumberFormat="1" applyFont="1" applyFill="1" applyBorder="1"/>
    <xf numFmtId="0" fontId="1" fillId="0" borderId="1" xfId="0" applyFont="1" applyBorder="1"/>
    <xf numFmtId="9" fontId="0" fillId="0" borderId="0" xfId="1" applyFont="1"/>
    <xf numFmtId="9" fontId="0" fillId="0" borderId="0" xfId="0" applyNumberFormat="1"/>
    <xf numFmtId="9" fontId="0" fillId="23" borderId="0" xfId="1" applyFont="1" applyFill="1"/>
    <xf numFmtId="0" fontId="1" fillId="24" borderId="6" xfId="0" applyFont="1" applyFill="1" applyBorder="1" applyAlignment="1">
      <alignment horizontal="center" vertical="center"/>
    </xf>
    <xf numFmtId="0" fontId="1" fillId="24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vs RCP45 background'!$AF$1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'Base vs RCP45 background'!$AE$2:$AE$9</c:f>
              <c:strCache>
                <c:ptCount val="8"/>
                <c:pt idx="0">
                  <c:v>Nuclear, PWR</c:v>
                </c:pt>
                <c:pt idx="1">
                  <c:v>Nuclear,EPR</c:v>
                </c:pt>
                <c:pt idx="2">
                  <c:v>Hydro, run of river</c:v>
                </c:pt>
                <c:pt idx="3">
                  <c:v>Hydro, Reservoir</c:v>
                </c:pt>
                <c:pt idx="4">
                  <c:v>PV</c:v>
                </c:pt>
                <c:pt idx="5">
                  <c:v>Wind, onshore</c:v>
                </c:pt>
                <c:pt idx="6">
                  <c:v>Wind, offshore</c:v>
                </c:pt>
                <c:pt idx="7">
                  <c:v>Wood Chips</c:v>
                </c:pt>
              </c:strCache>
            </c:strRef>
          </c:cat>
          <c:val>
            <c:numRef>
              <c:f>'Base vs RCP45 background'!$AF$2:$AF$9</c:f>
              <c:numCache>
                <c:formatCode>General</c:formatCode>
                <c:ptCount val="8"/>
                <c:pt idx="0">
                  <c:v>5.7897288900955068</c:v>
                </c:pt>
                <c:pt idx="1">
                  <c:v>4.5682330677905361</c:v>
                </c:pt>
                <c:pt idx="2">
                  <c:v>3.8369395293875739</c:v>
                </c:pt>
                <c:pt idx="3">
                  <c:v>5.8292575610838604</c:v>
                </c:pt>
                <c:pt idx="4">
                  <c:v>17.485136354822998</c:v>
                </c:pt>
                <c:pt idx="5">
                  <c:v>11.938672063390399</c:v>
                </c:pt>
                <c:pt idx="6">
                  <c:v>12.89537815207029</c:v>
                </c:pt>
                <c:pt idx="7">
                  <c:v>45.893687754520585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D-4287-B9B7-7408A148D812}"/>
            </c:ext>
          </c:extLst>
        </c:ser>
        <c:ser>
          <c:idx val="1"/>
          <c:order val="1"/>
          <c:tx>
            <c:strRef>
              <c:f>'Base vs RCP45 background'!$AG$1</c:f>
              <c:strCache>
                <c:ptCount val="1"/>
                <c:pt idx="0">
                  <c:v>RCP45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'Base vs RCP45 background'!$AE$2:$AE$9</c:f>
              <c:strCache>
                <c:ptCount val="8"/>
                <c:pt idx="0">
                  <c:v>Nuclear, PWR</c:v>
                </c:pt>
                <c:pt idx="1">
                  <c:v>Nuclear,EPR</c:v>
                </c:pt>
                <c:pt idx="2">
                  <c:v>Hydro, run of river</c:v>
                </c:pt>
                <c:pt idx="3">
                  <c:v>Hydro, Reservoir</c:v>
                </c:pt>
                <c:pt idx="4">
                  <c:v>PV</c:v>
                </c:pt>
                <c:pt idx="5">
                  <c:v>Wind, onshore</c:v>
                </c:pt>
                <c:pt idx="6">
                  <c:v>Wind, offshore</c:v>
                </c:pt>
                <c:pt idx="7">
                  <c:v>Wood Chips</c:v>
                </c:pt>
              </c:strCache>
            </c:strRef>
          </c:cat>
          <c:val>
            <c:numRef>
              <c:f>'Base vs RCP45 background'!$AG$2:$AG$9</c:f>
              <c:numCache>
                <c:formatCode>General</c:formatCode>
                <c:ptCount val="8"/>
                <c:pt idx="0">
                  <c:v>4.2912851599303563</c:v>
                </c:pt>
                <c:pt idx="1">
                  <c:v>3.202066273307147</c:v>
                </c:pt>
                <c:pt idx="2">
                  <c:v>2.0836504234685571</c:v>
                </c:pt>
                <c:pt idx="3">
                  <c:v>2.7532998665302588</c:v>
                </c:pt>
                <c:pt idx="4">
                  <c:v>14.973804292203781</c:v>
                </c:pt>
                <c:pt idx="5">
                  <c:v>10.55521495983716</c:v>
                </c:pt>
                <c:pt idx="6">
                  <c:v>11.21819458848619</c:v>
                </c:pt>
                <c:pt idx="7">
                  <c:v>40.984669435911535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D-4287-B9B7-7408A148D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168064"/>
        <c:axId val="1343168544"/>
      </c:barChart>
      <c:catAx>
        <c:axId val="134316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3168544"/>
        <c:crosses val="autoZero"/>
        <c:auto val="1"/>
        <c:lblAlgn val="ctr"/>
        <c:lblOffset val="100"/>
        <c:noMultiLvlLbl val="0"/>
      </c:catAx>
      <c:valAx>
        <c:axId val="134316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316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205764064064614"/>
          <c:y val="0.93074753989169445"/>
          <c:w val="0.20172396044374843"/>
          <c:h val="4.5302330497278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Impact CO2/kWh - tiam-ucl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'elec 1 kWh'!$E$2</c:f>
              <c:strCache>
                <c:ptCount val="1"/>
                <c:pt idx="0">
                  <c:v>M0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92D050"/>
              </a:solidFill>
              <a:ln w="9525">
                <a:solidFill>
                  <a:srgbClr val="92D050">
                    <a:alpha val="94000"/>
                  </a:srgbClr>
                </a:solidFill>
              </a:ln>
              <a:effectLst/>
            </c:spPr>
          </c:marker>
          <c:yVal>
            <c:numRef>
              <c:f>'elec 1 kWh'!$I$2:$I$3</c:f>
              <c:numCache>
                <c:formatCode>General</c:formatCode>
                <c:ptCount val="2"/>
                <c:pt idx="0">
                  <c:v>17.41713065572533</c:v>
                </c:pt>
                <c:pt idx="1">
                  <c:v>37.567263802992052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FC-4C90-AD42-5CD3911E7CFB}"/>
            </c:ext>
          </c:extLst>
        </c:ser>
        <c:ser>
          <c:idx val="4"/>
          <c:order val="1"/>
          <c:tx>
            <c:strRef>
              <c:f>'elec 1 kWh'!$E$4</c:f>
              <c:strCache>
                <c:ptCount val="1"/>
                <c:pt idx="0">
                  <c:v>N1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yVal>
            <c:numRef>
              <c:f>'elec 1 kWh'!$I$4:$I$5</c:f>
              <c:numCache>
                <c:formatCode>General</c:formatCode>
                <c:ptCount val="2"/>
                <c:pt idx="0">
                  <c:v>12.887523394299549</c:v>
                </c:pt>
                <c:pt idx="1">
                  <c:v>28.277353280720931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FC-4C90-AD42-5CD3911E7CFB}"/>
            </c:ext>
          </c:extLst>
        </c:ser>
        <c:ser>
          <c:idx val="1"/>
          <c:order val="2"/>
          <c:tx>
            <c:strRef>
              <c:f>'elec 1 kWh'!$E$6</c:f>
              <c:strCache>
                <c:ptCount val="1"/>
                <c:pt idx="0">
                  <c:v>N03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alpha val="99000"/>
                  </a:schemeClr>
                </a:solidFill>
              </a:ln>
              <a:effectLst/>
            </c:spPr>
          </c:marker>
          <c:yVal>
            <c:numRef>
              <c:f>'elec 1 kWh'!$I$6:$I$7</c:f>
              <c:numCache>
                <c:formatCode>General</c:formatCode>
                <c:ptCount val="2"/>
                <c:pt idx="0">
                  <c:v>10.017872581294601</c:v>
                </c:pt>
                <c:pt idx="1">
                  <c:v>21.744280567840271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FC-4C90-AD42-5CD3911E7CFB}"/>
            </c:ext>
          </c:extLst>
        </c:ser>
        <c:ser>
          <c:idx val="2"/>
          <c:order val="3"/>
          <c:tx>
            <c:strRef>
              <c:f>'elec 1 kWh'!$E$14</c:f>
              <c:strCache>
                <c:ptCount val="1"/>
                <c:pt idx="0">
                  <c:v>M0 prod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'elec 1 kWh'!$I$14:$I$15</c:f>
              <c:numCache>
                <c:formatCode>General</c:formatCode>
                <c:ptCount val="2"/>
                <c:pt idx="0">
                  <c:v>12.34003978551082</c:v>
                </c:pt>
                <c:pt idx="1">
                  <c:v>14.367571172169779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FC-4C90-AD42-5CD3911E7CFB}"/>
            </c:ext>
          </c:extLst>
        </c:ser>
        <c:ser>
          <c:idx val="5"/>
          <c:order val="4"/>
          <c:tx>
            <c:strRef>
              <c:f>'elec 1 kWh'!$E$16</c:f>
              <c:strCache>
                <c:ptCount val="1"/>
                <c:pt idx="0">
                  <c:v>N1 prod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yVal>
            <c:numRef>
              <c:f>'elec 1 kWh'!$I$16:$I$17</c:f>
              <c:numCache>
                <c:formatCode>General</c:formatCode>
                <c:ptCount val="2"/>
                <c:pt idx="0">
                  <c:v>9.4866620280875154</c:v>
                </c:pt>
                <c:pt idx="1">
                  <c:v>11.287679999233651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FC-4C90-AD42-5CD3911E7CFB}"/>
            </c:ext>
          </c:extLst>
        </c:ser>
        <c:ser>
          <c:idx val="3"/>
          <c:order val="5"/>
          <c:tx>
            <c:strRef>
              <c:f>'elec 1 kWh'!$E$18</c:f>
              <c:strCache>
                <c:ptCount val="1"/>
                <c:pt idx="0">
                  <c:v>N03 prod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6">
                  <a:alpha val="96000"/>
                </a:schemeClr>
              </a:solidFill>
              <a:ln w="9525">
                <a:solidFill>
                  <a:schemeClr val="accent6">
                    <a:alpha val="90000"/>
                  </a:schemeClr>
                </a:solidFill>
              </a:ln>
              <a:effectLst/>
            </c:spPr>
          </c:marker>
          <c:yVal>
            <c:numRef>
              <c:f>'elec 1 kWh'!$I$18:$I$19</c:f>
              <c:numCache>
                <c:formatCode>General</c:formatCode>
                <c:ptCount val="2"/>
                <c:pt idx="0">
                  <c:v>7.4011479488635192</c:v>
                </c:pt>
                <c:pt idx="1">
                  <c:v>9.1014985869846488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FC-4C90-AD42-5CD3911E7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003200"/>
        <c:axId val="1030000320"/>
      </c:scatterChart>
      <c:valAx>
        <c:axId val="103000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RCP 45</a:t>
                </a:r>
                <a:r>
                  <a:rPr lang="fr-FR" baseline="0"/>
                  <a:t>                                    Base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36152777777777784"/>
              <c:y val="0.9061820179454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000320"/>
        <c:crosses val="autoZero"/>
        <c:crossBetween val="midCat"/>
      </c:valAx>
      <c:valAx>
        <c:axId val="103000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00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Impact CO2/kWh </a:t>
            </a:r>
            <a:r>
              <a:rPr lang="fr-FR" baseline="0"/>
              <a:t> - N1 : tiam vs image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'elec 1 kWh'!$C$4</c:f>
              <c:strCache>
                <c:ptCount val="1"/>
                <c:pt idx="0">
                  <c:v>tiam-ucl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B0F0"/>
              </a:solidFill>
              <a:ln w="9525">
                <a:solidFill>
                  <a:srgbClr val="00B0F0">
                    <a:alpha val="94000"/>
                  </a:srgbClr>
                </a:solidFill>
              </a:ln>
              <a:effectLst/>
            </c:spPr>
          </c:marker>
          <c:yVal>
            <c:numRef>
              <c:f>'elec 1 kWh'!$I$4:$I$5</c:f>
              <c:numCache>
                <c:formatCode>General</c:formatCode>
                <c:ptCount val="2"/>
                <c:pt idx="0">
                  <c:v>12.887523394299549</c:v>
                </c:pt>
                <c:pt idx="1">
                  <c:v>28.277353280720931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8E-423B-A79B-F98F8AEAFCCA}"/>
            </c:ext>
          </c:extLst>
        </c:ser>
        <c:ser>
          <c:idx val="4"/>
          <c:order val="1"/>
          <c:tx>
            <c:strRef>
              <c:f>'elec 1 kWh'!$C$9</c:f>
              <c:strCache>
                <c:ptCount val="1"/>
                <c:pt idx="0">
                  <c:v>image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'elec 1 kWh'!$I$9:$I$10</c:f>
              <c:numCache>
                <c:formatCode>General</c:formatCode>
                <c:ptCount val="2"/>
                <c:pt idx="0">
                  <c:v>14.424836817877109</c:v>
                </c:pt>
                <c:pt idx="1">
                  <c:v>45.12247341651512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8E-423B-A79B-F98F8AEAFCCA}"/>
            </c:ext>
          </c:extLst>
        </c:ser>
        <c:ser>
          <c:idx val="2"/>
          <c:order val="2"/>
          <c:tx>
            <c:strRef>
              <c:f>'elec 1 kWh'!$C$16</c:f>
              <c:strCache>
                <c:ptCount val="1"/>
                <c:pt idx="0">
                  <c:v>tiam-ucl prod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yVal>
            <c:numRef>
              <c:f>'elec 1 kWh'!$I$16:$I$17</c:f>
              <c:numCache>
                <c:formatCode>General</c:formatCode>
                <c:ptCount val="2"/>
                <c:pt idx="0">
                  <c:v>9.4866620280875154</c:v>
                </c:pt>
                <c:pt idx="1">
                  <c:v>11.287679999233651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8E-423B-A79B-F98F8AEAFCCA}"/>
            </c:ext>
          </c:extLst>
        </c:ser>
        <c:ser>
          <c:idx val="5"/>
          <c:order val="3"/>
          <c:tx>
            <c:strRef>
              <c:f>'elec 1 kWh'!$C$21</c:f>
              <c:strCache>
                <c:ptCount val="1"/>
                <c:pt idx="0">
                  <c:v>image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'elec 1 kWh'!$I$21:$I$22</c:f>
              <c:numCache>
                <c:formatCode>General</c:formatCode>
                <c:ptCount val="2"/>
                <c:pt idx="0">
                  <c:v>9.0008182856830743</c:v>
                </c:pt>
                <c:pt idx="1">
                  <c:v>15.722722928769331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8E-423B-A79B-F98F8AEAF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003200"/>
        <c:axId val="1030000320"/>
      </c:scatterChart>
      <c:valAx>
        <c:axId val="103000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RCP 26 ou 45</a:t>
                </a:r>
                <a:r>
                  <a:rPr lang="fr-FR" baseline="0"/>
                  <a:t>                           Base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31231233595800523"/>
              <c:y val="0.894554110968687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000320"/>
        <c:crosses val="autoZero"/>
        <c:crossBetween val="midCat"/>
      </c:valAx>
      <c:valAx>
        <c:axId val="103000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00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Contribution to the increase of climate change impact in M0</a:t>
            </a:r>
            <a:r>
              <a:rPr lang="fr-FR" baseline="0"/>
              <a:t> compared to N03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'contrib an. aggreg'!$T$20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'contrib an. aggreg'!$U$19:$V$19</c:f>
              <c:strCache>
                <c:ptCount val="2"/>
                <c:pt idx="0">
                  <c:v>amount</c:v>
                </c:pt>
                <c:pt idx="1">
                  <c:v>impact</c:v>
                </c:pt>
              </c:strCache>
            </c:strRef>
          </c:cat>
          <c:val>
            <c:numRef>
              <c:f>'contrib an. aggreg'!$U$20:$V$20</c:f>
              <c:numCache>
                <c:formatCode>0%</c:formatCode>
                <c:ptCount val="2"/>
                <c:pt idx="0">
                  <c:v>-7.1903264362477723E-2</c:v>
                </c:pt>
                <c:pt idx="1">
                  <c:v>0.56688953854092738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D-490E-AB74-97815621D009}"/>
            </c:ext>
          </c:extLst>
        </c:ser>
        <c:ser>
          <c:idx val="1"/>
          <c:order val="1"/>
          <c:tx>
            <c:strRef>
              <c:f>'contrib an. aggreg'!$T$21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'contrib an. aggreg'!$U$19:$V$19</c:f>
              <c:strCache>
                <c:ptCount val="2"/>
                <c:pt idx="0">
                  <c:v>amount</c:v>
                </c:pt>
                <c:pt idx="1">
                  <c:v>impact</c:v>
                </c:pt>
              </c:strCache>
            </c:strRef>
          </c:cat>
          <c:val>
            <c:numRef>
              <c:f>'contrib an. aggreg'!$U$21:$V$21</c:f>
              <c:numCache>
                <c:formatCode>0%</c:formatCode>
                <c:ptCount val="2"/>
                <c:pt idx="0">
                  <c:v>0.23594684088716705</c:v>
                </c:pt>
                <c:pt idx="1">
                  <c:v>0.20466666955744994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BD-490E-AB74-97815621D009}"/>
            </c:ext>
          </c:extLst>
        </c:ser>
        <c:ser>
          <c:idx val="2"/>
          <c:order val="2"/>
          <c:tx>
            <c:strRef>
              <c:f>'contrib an. aggreg'!$T$22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'contrib an. aggreg'!$U$19:$V$19</c:f>
              <c:strCache>
                <c:ptCount val="2"/>
                <c:pt idx="0">
                  <c:v>amount</c:v>
                </c:pt>
                <c:pt idx="1">
                  <c:v>impact</c:v>
                </c:pt>
              </c:strCache>
            </c:strRef>
          </c:cat>
          <c:val>
            <c:numRef>
              <c:f>'contrib an. aggreg'!$U$22:$V$22</c:f>
              <c:numCache>
                <c:formatCode>0%</c:formatCode>
                <c:ptCount val="2"/>
                <c:pt idx="0">
                  <c:v>3.3155395915959916E-2</c:v>
                </c:pt>
                <c:pt idx="1">
                  <c:v>1.8975604448676431E-6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BD-490E-AB74-97815621D009}"/>
            </c:ext>
          </c:extLst>
        </c:ser>
        <c:ser>
          <c:idx val="3"/>
          <c:order val="3"/>
          <c:tx>
            <c:strRef>
              <c:f>'contrib an. aggreg'!$T$23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'contrib an. aggreg'!$U$19:$V$19</c:f>
              <c:strCache>
                <c:ptCount val="2"/>
                <c:pt idx="0">
                  <c:v>amount</c:v>
                </c:pt>
                <c:pt idx="1">
                  <c:v>impact</c:v>
                </c:pt>
              </c:strCache>
            </c:strRef>
          </c:cat>
          <c:val>
            <c:numRef>
              <c:f>'contrib an. aggreg'!$U$23:$V$23</c:f>
              <c:numCache>
                <c:formatCode>0%</c:formatCode>
                <c:ptCount val="2"/>
                <c:pt idx="0">
                  <c:v>0</c:v>
                </c:pt>
                <c:pt idx="1">
                  <c:v>3.1242684515255113E-2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BD-490E-AB74-97815621D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942736"/>
        <c:axId val="362947056"/>
      </c:barChart>
      <c:catAx>
        <c:axId val="36294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2947056"/>
        <c:crosses val="autoZero"/>
        <c:auto val="1"/>
        <c:lblAlgn val="ctr"/>
        <c:lblOffset val="100"/>
        <c:noMultiLvlLbl val="0"/>
      </c:catAx>
      <c:valAx>
        <c:axId val="36294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294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570623359580052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'contrib an. aggreg'!$Y$19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'contrib an. aggreg'!$X$20:$X$24</c:f>
              <c:strCache>
                <c:ptCount val="5"/>
                <c:pt idx="0">
                  <c:v>direct electricity production in France</c:v>
                </c:pt>
                <c:pt idx="1">
                  <c:v>electricity injection from flexibilities</c:v>
                </c:pt>
                <c:pt idx="2">
                  <c:v>imports</c:v>
                </c:pt>
                <c:pt idx="3">
                  <c:v>losses</c:v>
                </c:pt>
                <c:pt idx="4">
                  <c:v>network</c:v>
                </c:pt>
              </c:strCache>
            </c:strRef>
          </c:cat>
          <c:val>
            <c:numRef>
              <c:f>'contrib an. aggreg'!$Y$20:$Y$24</c:f>
              <c:numCache>
                <c:formatCode>0%</c:formatCode>
                <c:ptCount val="5"/>
                <c:pt idx="0">
                  <c:v>-7.1903264362477723E-2</c:v>
                </c:pt>
                <c:pt idx="1">
                  <c:v>0.23594684088716705</c:v>
                </c:pt>
                <c:pt idx="2">
                  <c:v>3.3155395915959916E-2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D-4BD2-A66B-409166B13530}"/>
            </c:ext>
          </c:extLst>
        </c:ser>
        <c:ser>
          <c:idx val="1"/>
          <c:order val="1"/>
          <c:tx>
            <c:strRef>
              <c:f>'contrib an. aggreg'!$Z$19</c:f>
              <c:strCache>
                <c:ptCount val="1"/>
                <c:pt idx="0">
                  <c:v>impact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'contrib an. aggreg'!$X$20:$X$24</c:f>
              <c:strCache>
                <c:ptCount val="5"/>
                <c:pt idx="0">
                  <c:v>direct electricity production in France</c:v>
                </c:pt>
                <c:pt idx="1">
                  <c:v>electricity injection from flexibilities</c:v>
                </c:pt>
                <c:pt idx="2">
                  <c:v>imports</c:v>
                </c:pt>
                <c:pt idx="3">
                  <c:v>losses</c:v>
                </c:pt>
                <c:pt idx="4">
                  <c:v>network</c:v>
                </c:pt>
              </c:strCache>
            </c:strRef>
          </c:cat>
          <c:val>
            <c:numRef>
              <c:f>'contrib an. aggreg'!$Z$20:$Z$24</c:f>
              <c:numCache>
                <c:formatCode>0%</c:formatCode>
                <c:ptCount val="5"/>
                <c:pt idx="0">
                  <c:v>0.56688953854092738</c:v>
                </c:pt>
                <c:pt idx="1">
                  <c:v>0.20466666955744994</c:v>
                </c:pt>
                <c:pt idx="2">
                  <c:v>1.8975604448676431E-6</c:v>
                </c:pt>
                <c:pt idx="3">
                  <c:v>3.1242684515255113E-2</c:v>
                </c:pt>
                <c:pt idx="4">
                  <c:v>2.3395513890801265E-7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D-4BD2-A66B-409166B13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151599"/>
        <c:axId val="130152559"/>
      </c:barChart>
      <c:catAx>
        <c:axId val="13015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152559"/>
        <c:crosses val="autoZero"/>
        <c:auto val="1"/>
        <c:lblAlgn val="ctr"/>
        <c:lblOffset val="100"/>
        <c:noMultiLvlLbl val="0"/>
      </c:catAx>
      <c:valAx>
        <c:axId val="13015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1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Impact</a:t>
            </a:r>
            <a:r>
              <a:rPr lang="fr-FR" baseline="0"/>
              <a:t> kgCO2/kWh</a:t>
            </a:r>
            <a:endParaRPr lang="fr-FR"/>
          </a:p>
        </c:rich>
      </c:tx>
      <c:layout>
        <c:manualLayout>
          <c:xMode val="edge"/>
          <c:yMode val="edge"/>
          <c:x val="0.33748712180208246"/>
          <c:y val="2.99345094217100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'N1 Base - image vs tiam'!$G$2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('N1 Base - image vs tiam'!$C$2,'N1 Base - image vs tiam'!$Q$2)</c:f>
              <c:strCache>
                <c:ptCount val="2"/>
                <c:pt idx="0">
                  <c:v>tiam-ucl</c:v>
                </c:pt>
                <c:pt idx="1">
                  <c:v>image</c:v>
                </c:pt>
              </c:strCache>
            </c:strRef>
          </c:cat>
          <c:val>
            <c:numRef>
              <c:f>('N1 Base - image vs tiam'!$J$2,'N1 Base - image vs tiam'!$X$2)</c:f>
              <c:numCache>
                <c:formatCode>General</c:formatCode>
                <c:ptCount val="2"/>
                <c:pt idx="0">
                  <c:v>1.0269282289317691E-2</c:v>
                </c:pt>
                <c:pt idx="1">
                  <c:v>1.430418646778518E-2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D-4945-B1BB-6341F5C97F4F}"/>
            </c:ext>
          </c:extLst>
        </c:ser>
        <c:ser>
          <c:idx val="1"/>
          <c:order val="1"/>
          <c:tx>
            <c:strRef>
              <c:f>'N1 Base - image vs tiam'!$G$3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('N1 Base - image vs tiam'!$C$2,'N1 Base - image vs tiam'!$Q$2)</c:f>
              <c:strCache>
                <c:ptCount val="2"/>
                <c:pt idx="0">
                  <c:v>tiam-ucl</c:v>
                </c:pt>
                <c:pt idx="1">
                  <c:v>image</c:v>
                </c:pt>
              </c:strCache>
            </c:strRef>
          </c:cat>
          <c:val>
            <c:numRef>
              <c:f>('N1 Base - image vs tiam'!$J$3,'N1 Base - image vs tiam'!$X$3)</c:f>
              <c:numCache>
                <c:formatCode>General</c:formatCode>
                <c:ptCount val="2"/>
                <c:pt idx="0">
                  <c:v>2.423813805666811E-3</c:v>
                </c:pt>
                <c:pt idx="1">
                  <c:v>3.8836034396498671E-3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D-4945-B1BB-6341F5C97F4F}"/>
            </c:ext>
          </c:extLst>
        </c:ser>
        <c:ser>
          <c:idx val="2"/>
          <c:order val="2"/>
          <c:tx>
            <c:strRef>
              <c:f>'N1 Base - image vs tiam'!$G$4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('N1 Base - image vs tiam'!$C$2,'N1 Base - image vs tiam'!$Q$2)</c:f>
              <c:strCache>
                <c:ptCount val="2"/>
                <c:pt idx="0">
                  <c:v>tiam-ucl</c:v>
                </c:pt>
                <c:pt idx="1">
                  <c:v>image</c:v>
                </c:pt>
              </c:strCache>
            </c:strRef>
          </c:cat>
          <c:val>
            <c:numRef>
              <c:f>('N1 Base - image vs tiam'!$J$4,'N1 Base - image vs tiam'!$X$4)</c:f>
              <c:numCache>
                <c:formatCode>General</c:formatCode>
                <c:ptCount val="2"/>
                <c:pt idx="0">
                  <c:v>1.251167244888981E-2</c:v>
                </c:pt>
                <c:pt idx="1">
                  <c:v>2.3077535150528829E-2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D-4945-B1BB-6341F5C97F4F}"/>
            </c:ext>
          </c:extLst>
        </c:ser>
        <c:ser>
          <c:idx val="3"/>
          <c:order val="3"/>
          <c:tx>
            <c:strRef>
              <c:f>'N1 Base - image vs tiam'!$G$5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('N1 Base - image vs tiam'!$C$2,'N1 Base - image vs tiam'!$Q$2)</c:f>
              <c:strCache>
                <c:ptCount val="2"/>
                <c:pt idx="0">
                  <c:v>tiam-ucl</c:v>
                </c:pt>
                <c:pt idx="1">
                  <c:v>image</c:v>
                </c:pt>
              </c:strCache>
            </c:strRef>
          </c:cat>
          <c:val>
            <c:numRef>
              <c:f>('N1 Base - image vs tiam'!$J$5,'N1 Base - image vs tiam'!$X$5)</c:f>
              <c:numCache>
                <c:formatCode>General</c:formatCode>
                <c:ptCount val="2"/>
                <c:pt idx="0">
                  <c:v>8.8346042747597744E-4</c:v>
                </c:pt>
                <c:pt idx="1">
                  <c:v>1.409747201500166E-3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D-4945-B1BB-6341F5C97F4F}"/>
            </c:ext>
          </c:extLst>
        </c:ser>
        <c:ser>
          <c:idx val="4"/>
          <c:order val="4"/>
          <c:tx>
            <c:strRef>
              <c:f>'N1 Base - image vs tiam'!$G$6</c:f>
              <c:strCache>
                <c:ptCount val="1"/>
                <c:pt idx="0">
                  <c:v>network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('N1 Base - image vs tiam'!$C$2,'N1 Base - image vs tiam'!$Q$2)</c:f>
              <c:strCache>
                <c:ptCount val="2"/>
                <c:pt idx="0">
                  <c:v>tiam-ucl</c:v>
                </c:pt>
                <c:pt idx="1">
                  <c:v>image</c:v>
                </c:pt>
              </c:strCache>
            </c:strRef>
          </c:cat>
          <c:val>
            <c:numRef>
              <c:f>('N1 Base - image vs tiam'!$J$6,'N1 Base - image vs tiam'!$X$6)</c:f>
              <c:numCache>
                <c:formatCode>General</c:formatCode>
                <c:ptCount val="2"/>
                <c:pt idx="0">
                  <c:v>8.2412398336450718E-4</c:v>
                </c:pt>
                <c:pt idx="1">
                  <c:v>1.08240058005353E-3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D-4945-B1BB-6341F5C97F4F}"/>
            </c:ext>
          </c:extLst>
        </c:ser>
        <c:ser>
          <c:idx val="5"/>
          <c:order val="5"/>
          <c:tx>
            <c:strRef>
              <c:f>'N1 Base - image vs tiam'!$G$7</c:f>
              <c:strCache>
                <c:ptCount val="1"/>
                <c:pt idx="0">
                  <c:v>others : biosphere flows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('N1 Base - image vs tiam'!$C$2,'N1 Base - image vs tiam'!$Q$2)</c:f>
              <c:strCache>
                <c:ptCount val="2"/>
                <c:pt idx="0">
                  <c:v>tiam-ucl</c:v>
                </c:pt>
                <c:pt idx="1">
                  <c:v>image</c:v>
                </c:pt>
              </c:strCache>
            </c:strRef>
          </c:cat>
          <c:val>
            <c:numRef>
              <c:f>('N1 Base - image vs tiam'!$J$7,'N1 Base - image vs tiam'!$X$7)</c:f>
              <c:numCache>
                <c:formatCode>General</c:formatCode>
                <c:ptCount val="2"/>
                <c:pt idx="0">
                  <c:v>1.3650003260061269E-3</c:v>
                </c:pt>
                <c:pt idx="1">
                  <c:v>1.365000576997538E-3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8D-4945-B1BB-6341F5C97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0944"/>
        <c:axId val="17069984"/>
      </c:barChart>
      <c:catAx>
        <c:axId val="1707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69984"/>
        <c:crosses val="autoZero"/>
        <c:auto val="1"/>
        <c:lblAlgn val="ctr"/>
        <c:lblOffset val="100"/>
        <c:noMultiLvlLbl val="0"/>
      </c:catAx>
      <c:valAx>
        <c:axId val="170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7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Amount FR scenario (k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'N1 Base - image vs tiam'!$G$2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('N1 Base - image vs tiam'!$E$2,'N1 Base - image vs tiam'!$S$2)</c:f>
              <c:strCache>
                <c:ptCount val="2"/>
                <c:pt idx="0">
                  <c:v>N1</c:v>
                </c:pt>
                <c:pt idx="1">
                  <c:v>N1</c:v>
                </c:pt>
              </c:strCache>
            </c:strRef>
          </c:cat>
          <c:val>
            <c:numRef>
              <c:f>('N1 Base - image vs tiam'!$H$2,'N1 Base - image vs tiam'!$V$2)</c:f>
              <c:numCache>
                <c:formatCode>General</c:formatCode>
                <c:ptCount val="2"/>
                <c:pt idx="0">
                  <c:v>0.90977795105681936</c:v>
                </c:pt>
                <c:pt idx="1">
                  <c:v>0.90977795105681936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7-41C2-8F7D-C7351B658FE6}"/>
            </c:ext>
          </c:extLst>
        </c:ser>
        <c:ser>
          <c:idx val="1"/>
          <c:order val="1"/>
          <c:tx>
            <c:strRef>
              <c:f>'N1 Base - image vs tiam'!$G$3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('N1 Base - image vs tiam'!$E$2,'N1 Base - image vs tiam'!$S$2)</c:f>
              <c:strCache>
                <c:ptCount val="2"/>
                <c:pt idx="0">
                  <c:v>N1</c:v>
                </c:pt>
                <c:pt idx="1">
                  <c:v>N1</c:v>
                </c:pt>
              </c:strCache>
            </c:strRef>
          </c:cat>
          <c:val>
            <c:numRef>
              <c:f>('N1 Base - image vs tiam'!$H$3,'N1 Base - image vs tiam'!$V$3)</c:f>
              <c:numCache>
                <c:formatCode>General</c:formatCode>
                <c:ptCount val="2"/>
                <c:pt idx="0">
                  <c:v>4.3975119343490222E-2</c:v>
                </c:pt>
                <c:pt idx="1">
                  <c:v>4.3975119343490222E-2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7-41C2-8F7D-C7351B658FE6}"/>
            </c:ext>
          </c:extLst>
        </c:ser>
        <c:ser>
          <c:idx val="2"/>
          <c:order val="2"/>
          <c:tx>
            <c:strRef>
              <c:f>'N1 Base - image vs tiam'!$G$4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('N1 Base - image vs tiam'!$E$2,'N1 Base - image vs tiam'!$S$2)</c:f>
              <c:strCache>
                <c:ptCount val="2"/>
                <c:pt idx="0">
                  <c:v>N1</c:v>
                </c:pt>
                <c:pt idx="1">
                  <c:v>N1</c:v>
                </c:pt>
              </c:strCache>
            </c:strRef>
          </c:cat>
          <c:val>
            <c:numRef>
              <c:f>('N1 Base - image vs tiam'!$H$4,'N1 Base - image vs tiam'!$V$4)</c:f>
              <c:numCache>
                <c:formatCode>General</c:formatCode>
                <c:ptCount val="2"/>
                <c:pt idx="0">
                  <c:v>4.6246929599690588E-2</c:v>
                </c:pt>
                <c:pt idx="1">
                  <c:v>4.6246929599690588E-2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F7-41C2-8F7D-C7351B658FE6}"/>
            </c:ext>
          </c:extLst>
        </c:ser>
        <c:ser>
          <c:idx val="3"/>
          <c:order val="3"/>
          <c:tx>
            <c:strRef>
              <c:f>'N1 Base - image vs tiam'!$G$5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('N1 Base - image vs tiam'!$E$2,'N1 Base - image vs tiam'!$S$2)</c:f>
              <c:strCache>
                <c:ptCount val="2"/>
                <c:pt idx="0">
                  <c:v>N1</c:v>
                </c:pt>
                <c:pt idx="1">
                  <c:v>N1</c:v>
                </c:pt>
              </c:strCache>
            </c:strRef>
          </c:cat>
          <c:val>
            <c:numRef>
              <c:f>('N1 Base - image vs tiam'!$H$5,'N1 Base - image vs tiam'!$V$5)</c:f>
              <c:numCache>
                <c:formatCode>General</c:formatCode>
                <c:ptCount val="2"/>
                <c:pt idx="0">
                  <c:v>3.1242684515255099E-2</c:v>
                </c:pt>
                <c:pt idx="1">
                  <c:v>3.1242684515255099E-2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F7-41C2-8F7D-C7351B658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806512"/>
        <c:axId val="585807472"/>
      </c:barChart>
      <c:catAx>
        <c:axId val="58580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5807472"/>
        <c:crosses val="autoZero"/>
        <c:auto val="1"/>
        <c:lblAlgn val="ctr"/>
        <c:lblOffset val="100"/>
        <c:noMultiLvlLbl val="0"/>
      </c:catAx>
      <c:valAx>
        <c:axId val="585807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580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Absolute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'N1 Base - image vs tiam'!$D$2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'N1 Base - image vs tiam'!$G$2:$G$5</c:f>
              <c:strCache>
                <c:ptCount val="4"/>
                <c:pt idx="0">
                  <c:v>direct electricity production in France</c:v>
                </c:pt>
                <c:pt idx="1">
                  <c:v>electricity injection from flexibilities</c:v>
                </c:pt>
                <c:pt idx="2">
                  <c:v>imports</c:v>
                </c:pt>
                <c:pt idx="3">
                  <c:v>losses</c:v>
                </c:pt>
              </c:strCache>
            </c:strRef>
          </c:cat>
          <c:val>
            <c:numRef>
              <c:f>'N1 Base - image vs tiam'!$M$2:$M$5</c:f>
              <c:numCache>
                <c:formatCode>General</c:formatCode>
                <c:ptCount val="4"/>
                <c:pt idx="0">
                  <c:v>1.128767989748339E-2</c:v>
                </c:pt>
                <c:pt idx="1">
                  <c:v>5.511784485982564E-2</c:v>
                </c:pt>
                <c:pt idx="2">
                  <c:v>0.27054060793202389</c:v>
                </c:pt>
                <c:pt idx="3">
                  <c:v>2.827735328072092E-2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5-419A-8550-35787EACFC94}"/>
            </c:ext>
          </c:extLst>
        </c:ser>
        <c:ser>
          <c:idx val="1"/>
          <c:order val="1"/>
          <c:tx>
            <c:strRef>
              <c:f>'N1 Base - image vs tiam'!$R$2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'N1 Base - image vs tiam'!$G$2:$G$5</c:f>
              <c:strCache>
                <c:ptCount val="4"/>
                <c:pt idx="0">
                  <c:v>direct electricity production in France</c:v>
                </c:pt>
                <c:pt idx="1">
                  <c:v>electricity injection from flexibilities</c:v>
                </c:pt>
                <c:pt idx="2">
                  <c:v>imports</c:v>
                </c:pt>
                <c:pt idx="3">
                  <c:v>losses</c:v>
                </c:pt>
              </c:strCache>
            </c:strRef>
          </c:cat>
          <c:val>
            <c:numRef>
              <c:f>'N1 Base - image vs tiam'!$AA$2:$AA$5</c:f>
              <c:numCache>
                <c:formatCode>General</c:formatCode>
                <c:ptCount val="4"/>
                <c:pt idx="0">
                  <c:v>1.5722722727198539E-2</c:v>
                </c:pt>
                <c:pt idx="1">
                  <c:v>8.8313653211830781E-2</c:v>
                </c:pt>
                <c:pt idx="2">
                  <c:v>0.49900686056968468</c:v>
                </c:pt>
                <c:pt idx="3">
                  <c:v>4.5122473416515103E-2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E5-419A-8550-35787EACF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646192"/>
        <c:axId val="498646672"/>
      </c:barChart>
      <c:catAx>
        <c:axId val="4986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46672"/>
        <c:crosses val="autoZero"/>
        <c:auto val="1"/>
        <c:lblAlgn val="ctr"/>
        <c:lblOffset val="100"/>
        <c:noMultiLvlLbl val="0"/>
      </c:catAx>
      <c:valAx>
        <c:axId val="4986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4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Absolute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'N1 Base - image vs tiam'!$G$2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('N1 Base - image vs tiam'!$D$2,'N1 Base - image vs tiam'!$R$2)</c:f>
              <c:strCache>
                <c:ptCount val="2"/>
                <c:pt idx="0">
                  <c:v>Base</c:v>
                </c:pt>
                <c:pt idx="1">
                  <c:v>Base</c:v>
                </c:pt>
              </c:strCache>
            </c:strRef>
          </c:cat>
          <c:val>
            <c:numRef>
              <c:f>('N1 Base - image vs tiam'!$M$2,'N1 Base - image vs tiam'!$AA$2)</c:f>
              <c:numCache>
                <c:formatCode>General</c:formatCode>
                <c:ptCount val="2"/>
                <c:pt idx="0">
                  <c:v>1.128767989748339E-2</c:v>
                </c:pt>
                <c:pt idx="1">
                  <c:v>1.5722722727198539E-2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6-4BC4-B5C3-865444884501}"/>
            </c:ext>
          </c:extLst>
        </c:ser>
        <c:ser>
          <c:idx val="1"/>
          <c:order val="1"/>
          <c:tx>
            <c:strRef>
              <c:f>'N1 Base - image vs tiam'!$G$3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('N1 Base - image vs tiam'!$D$2,'N1 Base - image vs tiam'!$R$2)</c:f>
              <c:strCache>
                <c:ptCount val="2"/>
                <c:pt idx="0">
                  <c:v>Base</c:v>
                </c:pt>
                <c:pt idx="1">
                  <c:v>Base</c:v>
                </c:pt>
              </c:strCache>
            </c:strRef>
          </c:cat>
          <c:val>
            <c:numRef>
              <c:f>('N1 Base - image vs tiam'!$M$3,'N1 Base - image vs tiam'!$AA$3)</c:f>
              <c:numCache>
                <c:formatCode>General</c:formatCode>
                <c:ptCount val="2"/>
                <c:pt idx="0">
                  <c:v>5.511784485982564E-2</c:v>
                </c:pt>
                <c:pt idx="1">
                  <c:v>8.8313653211830781E-2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F6-4BC4-B5C3-865444884501}"/>
            </c:ext>
          </c:extLst>
        </c:ser>
        <c:ser>
          <c:idx val="2"/>
          <c:order val="2"/>
          <c:tx>
            <c:strRef>
              <c:f>'N1 Base - image vs tiam'!$G$4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('N1 Base - image vs tiam'!$D$2,'N1 Base - image vs tiam'!$R$2)</c:f>
              <c:strCache>
                <c:ptCount val="2"/>
                <c:pt idx="0">
                  <c:v>Base</c:v>
                </c:pt>
                <c:pt idx="1">
                  <c:v>Base</c:v>
                </c:pt>
              </c:strCache>
            </c:strRef>
          </c:cat>
          <c:val>
            <c:numRef>
              <c:f>('N1 Base - image vs tiam'!$M$4,'N1 Base - image vs tiam'!$AA$4)</c:f>
              <c:numCache>
                <c:formatCode>General</c:formatCode>
                <c:ptCount val="2"/>
                <c:pt idx="0">
                  <c:v>0.27054060793202389</c:v>
                </c:pt>
                <c:pt idx="1">
                  <c:v>0.49900686056968468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F6-4BC4-B5C3-865444884501}"/>
            </c:ext>
          </c:extLst>
        </c:ser>
        <c:ser>
          <c:idx val="3"/>
          <c:order val="3"/>
          <c:tx>
            <c:strRef>
              <c:f>'N1 Base - image vs tiam'!$G$5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('N1 Base - image vs tiam'!$D$2,'N1 Base - image vs tiam'!$R$2)</c:f>
              <c:strCache>
                <c:ptCount val="2"/>
                <c:pt idx="0">
                  <c:v>Base</c:v>
                </c:pt>
                <c:pt idx="1">
                  <c:v>Base</c:v>
                </c:pt>
              </c:strCache>
            </c:strRef>
          </c:cat>
          <c:val>
            <c:numRef>
              <c:f>('N1 Base - image vs tiam'!$M$5,'N1 Base - image vs tiam'!$AA$5)</c:f>
              <c:numCache>
                <c:formatCode>General</c:formatCode>
                <c:ptCount val="2"/>
                <c:pt idx="0">
                  <c:v>2.827735328072092E-2</c:v>
                </c:pt>
                <c:pt idx="1">
                  <c:v>4.5122473416515103E-2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F6-4BC4-B5C3-865444884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888112"/>
        <c:axId val="496885712"/>
      </c:barChart>
      <c:catAx>
        <c:axId val="49688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885712"/>
        <c:crosses val="autoZero"/>
        <c:auto val="1"/>
        <c:lblAlgn val="ctr"/>
        <c:lblOffset val="100"/>
        <c:noMultiLvlLbl val="0"/>
      </c:catAx>
      <c:valAx>
        <c:axId val="4968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88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006780402449682E-2"/>
          <c:y val="0.79513779527559059"/>
          <c:w val="0.77520445394746906"/>
          <c:h val="0.144135133946245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Impact gCO2/kWh </a:t>
            </a:r>
            <a:r>
              <a:rPr lang="fr-FR" baseline="0"/>
              <a:t> - N1 : tiam vs image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'elec 1 kWh'!$C$4</c:f>
              <c:strCache>
                <c:ptCount val="1"/>
                <c:pt idx="0">
                  <c:v>tiam-ucl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B0F0"/>
              </a:solidFill>
              <a:ln w="9525">
                <a:solidFill>
                  <a:srgbClr val="00B0F0">
                    <a:alpha val="94000"/>
                  </a:srgbClr>
                </a:solidFill>
              </a:ln>
              <a:effectLst/>
            </c:spPr>
          </c:marker>
          <c:yVal>
            <c:numRef>
              <c:f>'elec 1 kWh'!$I$4:$I$5</c:f>
              <c:numCache>
                <c:formatCode>General</c:formatCode>
                <c:ptCount val="2"/>
                <c:pt idx="0">
                  <c:v>12.887523394299549</c:v>
                </c:pt>
                <c:pt idx="1">
                  <c:v>28.277353280720931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16-4884-A5B7-40FCD7F905D6}"/>
            </c:ext>
          </c:extLst>
        </c:ser>
        <c:ser>
          <c:idx val="4"/>
          <c:order val="1"/>
          <c:tx>
            <c:strRef>
              <c:f>'elec 1 kWh'!$C$9</c:f>
              <c:strCache>
                <c:ptCount val="1"/>
                <c:pt idx="0">
                  <c:v>image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'elec 1 kWh'!$I$9:$I$10</c:f>
              <c:numCache>
                <c:formatCode>General</c:formatCode>
                <c:ptCount val="2"/>
                <c:pt idx="0">
                  <c:v>14.424836817877109</c:v>
                </c:pt>
                <c:pt idx="1">
                  <c:v>45.12247341651512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16-4884-A5B7-40FCD7F905D6}"/>
            </c:ext>
          </c:extLst>
        </c:ser>
        <c:ser>
          <c:idx val="2"/>
          <c:order val="2"/>
          <c:tx>
            <c:strRef>
              <c:f>'elec 1 kWh'!$C$16</c:f>
              <c:strCache>
                <c:ptCount val="1"/>
                <c:pt idx="0">
                  <c:v>tiam-ucl prod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yVal>
            <c:numRef>
              <c:f>'elec 1 kWh'!$I$16:$I$17</c:f>
              <c:numCache>
                <c:formatCode>General</c:formatCode>
                <c:ptCount val="2"/>
                <c:pt idx="0">
                  <c:v>9.4866620280875154</c:v>
                </c:pt>
                <c:pt idx="1">
                  <c:v>11.287679999233651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16-4884-A5B7-40FCD7F905D6}"/>
            </c:ext>
          </c:extLst>
        </c:ser>
        <c:ser>
          <c:idx val="5"/>
          <c:order val="3"/>
          <c:tx>
            <c:strRef>
              <c:f>'elec 1 kWh'!$C$21</c:f>
              <c:strCache>
                <c:ptCount val="1"/>
                <c:pt idx="0">
                  <c:v>image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'elec 1 kWh'!$I$21:$I$22</c:f>
              <c:numCache>
                <c:formatCode>General</c:formatCode>
                <c:ptCount val="2"/>
                <c:pt idx="0">
                  <c:v>9.0008182856830743</c:v>
                </c:pt>
                <c:pt idx="1">
                  <c:v>15.722722928769331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16-4884-A5B7-40FCD7F90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003200"/>
        <c:axId val="1030000320"/>
      </c:scatterChart>
      <c:valAx>
        <c:axId val="103000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RCP 26 ou 45</a:t>
                </a:r>
                <a:r>
                  <a:rPr lang="fr-FR" baseline="0"/>
                  <a:t>                           Base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31231233595800523"/>
              <c:y val="0.894554110968687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000320"/>
        <c:crosses val="autoZero"/>
        <c:crossBetween val="midCat"/>
      </c:valAx>
      <c:valAx>
        <c:axId val="103000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00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Climate change impact (kgCO2-eq/kWh)</a:t>
            </a:r>
          </a:p>
          <a:p>
            <a:pPr>
              <a:defRPr/>
            </a:pPr>
            <a:r>
              <a:rPr lang="fr-FR"/>
              <a:t>'market</a:t>
            </a:r>
            <a:r>
              <a:rPr lang="fr-FR" baseline="0"/>
              <a:t> for electricity, high voltage, FE2050' - FR</a:t>
            </a:r>
            <a:endParaRPr lang="fr-FR"/>
          </a:p>
        </c:rich>
      </c:tx>
      <c:layout>
        <c:manualLayout>
          <c:xMode val="edge"/>
          <c:yMode val="edge"/>
          <c:x val="9.074906898773577E-2"/>
          <c:y val="3.7369376225741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'N1 - RCP45 vs Base'!$G$2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Base'!$J$2,'N1 - RCP45 vs Base'!$X$2)</c:f>
              <c:numCache>
                <c:formatCode>General</c:formatCode>
                <c:ptCount val="2"/>
                <c:pt idx="0">
                  <c:v>8.6307558605480082E-3</c:v>
                </c:pt>
                <c:pt idx="1">
                  <c:v>1.0269282289317691E-2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5-4E68-96A6-C71D72C94E03}"/>
            </c:ext>
          </c:extLst>
        </c:ser>
        <c:ser>
          <c:idx val="1"/>
          <c:order val="1"/>
          <c:tx>
            <c:strRef>
              <c:f>'N1 - RCP45 vs Base'!$G$3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Base'!$J$3,'N1 - RCP45 vs Base'!$X$3)</c:f>
              <c:numCache>
                <c:formatCode>General</c:formatCode>
                <c:ptCount val="2"/>
                <c:pt idx="0">
                  <c:v>1.3300306790061699E-3</c:v>
                </c:pt>
                <c:pt idx="1">
                  <c:v>2.423813805666811E-3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5-4E68-96A6-C71D72C94E03}"/>
            </c:ext>
          </c:extLst>
        </c:ser>
        <c:ser>
          <c:idx val="2"/>
          <c:order val="2"/>
          <c:tx>
            <c:strRef>
              <c:f>'N1 - RCP45 vs Base'!$G$4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Base'!$J$4,'N1 - RCP45 vs Base'!$X$4)</c:f>
              <c:numCache>
                <c:formatCode>General</c:formatCode>
                <c:ptCount val="2"/>
                <c:pt idx="0">
                  <c:v>5.2412578030263659E-4</c:v>
                </c:pt>
                <c:pt idx="1">
                  <c:v>1.251167244888981E-2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25-4E68-96A6-C71D72C94E03}"/>
            </c:ext>
          </c:extLst>
        </c:ser>
        <c:ser>
          <c:idx val="3"/>
          <c:order val="3"/>
          <c:tx>
            <c:strRef>
              <c:f>'N1 - RCP45 vs Base'!$G$5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Base'!$J$5,'N1 - RCP45 vs Base'!$X$5)</c:f>
              <c:numCache>
                <c:formatCode>General</c:formatCode>
                <c:ptCount val="2"/>
                <c:pt idx="0">
                  <c:v>4.026408275910699E-4</c:v>
                </c:pt>
                <c:pt idx="1">
                  <c:v>8.8346042747597744E-4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25-4E68-96A6-C71D72C94E03}"/>
            </c:ext>
          </c:extLst>
        </c:ser>
        <c:ser>
          <c:idx val="4"/>
          <c:order val="4"/>
          <c:tx>
            <c:strRef>
              <c:f>'N1 - RCP45 vs Base'!$G$6</c:f>
              <c:strCache>
                <c:ptCount val="1"/>
                <c:pt idx="0">
                  <c:v>network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Base'!$J$6,'N1 - RCP45 vs Base'!$X$6)</c:f>
              <c:numCache>
                <c:formatCode>General</c:formatCode>
                <c:ptCount val="2"/>
                <c:pt idx="0">
                  <c:v>6.3497027616850354E-4</c:v>
                </c:pt>
                <c:pt idx="1">
                  <c:v>8.2412398336450718E-4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25-4E68-96A6-C71D72C94E03}"/>
            </c:ext>
          </c:extLst>
        </c:ser>
        <c:ser>
          <c:idx val="5"/>
          <c:order val="5"/>
          <c:tx>
            <c:strRef>
              <c:f>'N1 - RCP45 vs Base'!$G$7</c:f>
              <c:strCache>
                <c:ptCount val="1"/>
                <c:pt idx="0">
                  <c:v>others : biosphere flows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Base'!$J$7,'N1 - RCP45 vs Base'!$X$7)</c:f>
              <c:numCache>
                <c:formatCode>General</c:formatCode>
                <c:ptCount val="2"/>
                <c:pt idx="0">
                  <c:v>1.3649999706831469E-3</c:v>
                </c:pt>
                <c:pt idx="1">
                  <c:v>1.3650003260061269E-3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25-4E68-96A6-C71D72C94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0944"/>
        <c:axId val="17069984"/>
      </c:barChart>
      <c:catAx>
        <c:axId val="1707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69984"/>
        <c:crosses val="autoZero"/>
        <c:auto val="1"/>
        <c:lblAlgn val="ctr"/>
        <c:lblOffset val="100"/>
        <c:noMultiLvlLbl val="0"/>
      </c:catAx>
      <c:valAx>
        <c:axId val="170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kgCO2-eq/kWh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7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Impact CO2/kWh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'elec 1 kWh'!$E$4</c:f>
              <c:strCache>
                <c:ptCount val="1"/>
                <c:pt idx="0">
                  <c:v>N1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yVal>
            <c:numRef>
              <c:f>'elec 1 kWh'!$I$4:$I$5</c:f>
              <c:numCache>
                <c:formatCode>General</c:formatCode>
                <c:ptCount val="2"/>
                <c:pt idx="0">
                  <c:v>12.887523394299549</c:v>
                </c:pt>
                <c:pt idx="1">
                  <c:v>28.277353280720931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3D-4956-A763-85E9C1042024}"/>
            </c:ext>
          </c:extLst>
        </c:ser>
        <c:ser>
          <c:idx val="5"/>
          <c:order val="1"/>
          <c:tx>
            <c:strRef>
              <c:f>'elec 1 kWh'!$E$16</c:f>
              <c:strCache>
                <c:ptCount val="1"/>
                <c:pt idx="0">
                  <c:v>N1 prod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yVal>
            <c:numRef>
              <c:f>'elec 1 kWh'!$I$16:$I$17</c:f>
              <c:numCache>
                <c:formatCode>General</c:formatCode>
                <c:ptCount val="2"/>
                <c:pt idx="0">
                  <c:v>9.4866620280875154</c:v>
                </c:pt>
                <c:pt idx="1">
                  <c:v>11.287679999233651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3D-4956-A763-85E9C1042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003200"/>
        <c:axId val="1030000320"/>
      </c:scatterChart>
      <c:valAx>
        <c:axId val="103000320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RCP 45</a:t>
                </a:r>
                <a:r>
                  <a:rPr lang="fr-FR" baseline="0"/>
                  <a:t>                          Base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37528925619834713"/>
              <c:y val="0.89921138703815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crossAx val="1030000320"/>
        <c:crosses val="autoZero"/>
        <c:crossBetween val="midCat"/>
      </c:valAx>
      <c:valAx>
        <c:axId val="103000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00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Origin</a:t>
            </a:r>
            <a:r>
              <a:rPr lang="fr-FR" baseline="0"/>
              <a:t> of electricity for 1 kWh supplied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'market for electricity, high voltage, FE2050' - FR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fr-FR" baseline="0"/>
              <a:t> </a:t>
            </a:r>
            <a:endParaRPr lang="fr-FR"/>
          </a:p>
        </c:rich>
      </c:tx>
      <c:layout>
        <c:manualLayout>
          <c:xMode val="edge"/>
          <c:yMode val="edge"/>
          <c:x val="0.15717770582483573"/>
          <c:y val="1.2326656394453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1938366733870912"/>
          <c:y val="0.32518372703412074"/>
          <c:w val="0.53428485382602864"/>
          <c:h val="0.3248208082445576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'N1 - RCP45 vs Base'!$G$2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('N1 - RCP45 vs Base'!$E$2,'N1 - RCP45 vs Base'!$S$2)</c15:sqref>
                  </c15:fullRef>
                </c:ext>
              </c:extLst>
              <c:f>'N1 - RCP45 vs Base'!$E$2</c:f>
              <c:strCache>
                <c:ptCount val="1"/>
                <c:pt idx="0">
                  <c:v>N1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('N1 - RCP45 vs Base'!$H$2,'N1 - RCP45 vs Base'!$V$2)</c15:sqref>
                  </c15:fullRef>
                </c:ext>
              </c:extLst>
              <c:f>'N1 - RCP45 vs Base'!$H$2</c:f>
              <c:numCache>
                <c:formatCode>General</c:formatCode>
                <c:ptCount val="1"/>
                <c:pt idx="0">
                  <c:v>0.90977795105681936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5-4088-8655-116A0A412C04}"/>
            </c:ext>
          </c:extLst>
        </c:ser>
        <c:ser>
          <c:idx val="1"/>
          <c:order val="1"/>
          <c:tx>
            <c:strRef>
              <c:f>'N1 - RCP45 vs Base'!$G$3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('N1 - RCP45 vs Base'!$E$2,'N1 - RCP45 vs Base'!$S$2)</c15:sqref>
                  </c15:fullRef>
                </c:ext>
              </c:extLst>
              <c:f>'N1 - RCP45 vs Base'!$E$2</c:f>
              <c:strCache>
                <c:ptCount val="1"/>
                <c:pt idx="0">
                  <c:v>N1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('N1 - RCP45 vs Base'!$H$3,'N1 - RCP45 vs Base'!$V$3)</c15:sqref>
                  </c15:fullRef>
                </c:ext>
              </c:extLst>
              <c:f>'N1 - RCP45 vs Base'!$H$3</c:f>
              <c:numCache>
                <c:formatCode>General</c:formatCode>
                <c:ptCount val="1"/>
                <c:pt idx="0">
                  <c:v>4.3975119343490222E-2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5-4088-8655-116A0A412C04}"/>
            </c:ext>
          </c:extLst>
        </c:ser>
        <c:ser>
          <c:idx val="2"/>
          <c:order val="2"/>
          <c:tx>
            <c:strRef>
              <c:f>'N1 - RCP45 vs Base'!$G$4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('N1 - RCP45 vs Base'!$E$2,'N1 - RCP45 vs Base'!$S$2)</c15:sqref>
                  </c15:fullRef>
                </c:ext>
              </c:extLst>
              <c:f>'N1 - RCP45 vs Base'!$E$2</c:f>
              <c:strCache>
                <c:ptCount val="1"/>
                <c:pt idx="0">
                  <c:v>N1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('N1 - RCP45 vs Base'!$H$4,'N1 - RCP45 vs Base'!$V$4)</c15:sqref>
                  </c15:fullRef>
                </c:ext>
              </c:extLst>
              <c:f>'N1 - RCP45 vs Base'!$H$4</c:f>
              <c:numCache>
                <c:formatCode>General</c:formatCode>
                <c:ptCount val="1"/>
                <c:pt idx="0">
                  <c:v>4.6246929599690588E-2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F5-4088-8655-116A0A412C04}"/>
            </c:ext>
          </c:extLst>
        </c:ser>
        <c:ser>
          <c:idx val="3"/>
          <c:order val="3"/>
          <c:tx>
            <c:strRef>
              <c:f>'N1 - RCP45 vs Base'!$G$5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('N1 - RCP45 vs Base'!$E$2,'N1 - RCP45 vs Base'!$S$2)</c15:sqref>
                  </c15:fullRef>
                </c:ext>
              </c:extLst>
              <c:f>'N1 - RCP45 vs Base'!$E$2</c:f>
              <c:strCache>
                <c:ptCount val="1"/>
                <c:pt idx="0">
                  <c:v>N1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('N1 - RCP45 vs Base'!$H$5,'N1 - RCP45 vs Base'!$V$5)</c15:sqref>
                  </c15:fullRef>
                </c:ext>
              </c:extLst>
              <c:f>'N1 - RCP45 vs Base'!$H$5</c:f>
              <c:numCache>
                <c:formatCode>General</c:formatCode>
                <c:ptCount val="1"/>
                <c:pt idx="0">
                  <c:v>3.1242684515255099E-2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F5-4088-8655-116A0A412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806512"/>
        <c:axId val="585807472"/>
      </c:barChart>
      <c:catAx>
        <c:axId val="58580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5807472"/>
        <c:crosses val="autoZero"/>
        <c:auto val="1"/>
        <c:lblAlgn val="ctr"/>
        <c:lblOffset val="100"/>
        <c:noMultiLvlLbl val="0"/>
      </c:catAx>
      <c:valAx>
        <c:axId val="585807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580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878918169472136"/>
          <c:y val="0.70843624810056638"/>
          <c:w val="0.65365854359445941"/>
          <c:h val="0.254318594791035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Absolute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'N1 - RCP45 vs Base'!$D$2</c:f>
              <c:strCache>
                <c:ptCount val="1"/>
                <c:pt idx="0">
                  <c:v>RCP45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'N1 - RCP45 vs Base'!$G$2:$G$5</c:f>
              <c:strCache>
                <c:ptCount val="4"/>
                <c:pt idx="0">
                  <c:v>direct electricity production in France</c:v>
                </c:pt>
                <c:pt idx="1">
                  <c:v>electricity injection from flexibilities</c:v>
                </c:pt>
                <c:pt idx="2">
                  <c:v>imports</c:v>
                </c:pt>
                <c:pt idx="3">
                  <c:v>losses</c:v>
                </c:pt>
              </c:strCache>
            </c:strRef>
          </c:cat>
          <c:val>
            <c:numRef>
              <c:f>'N1 - RCP45 vs Base'!$M$2:$M$5</c:f>
              <c:numCache>
                <c:formatCode>General</c:formatCode>
                <c:ptCount val="4"/>
                <c:pt idx="0">
                  <c:v>9.4866619382480318E-3</c:v>
                </c:pt>
                <c:pt idx="1">
                  <c:v>3.0245072642493209E-2</c:v>
                </c:pt>
                <c:pt idx="2">
                  <c:v>1.1333201681482941E-2</c:v>
                </c:pt>
                <c:pt idx="3">
                  <c:v>1.2887523394299541E-2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0-4119-86EB-FD9BCFC4D5C4}"/>
            </c:ext>
          </c:extLst>
        </c:ser>
        <c:ser>
          <c:idx val="1"/>
          <c:order val="1"/>
          <c:tx>
            <c:strRef>
              <c:f>'N1 - RCP45 vs Base'!$R$2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'N1 - RCP45 vs Base'!$G$2:$G$5</c:f>
              <c:strCache>
                <c:ptCount val="4"/>
                <c:pt idx="0">
                  <c:v>direct electricity production in France</c:v>
                </c:pt>
                <c:pt idx="1">
                  <c:v>electricity injection from flexibilities</c:v>
                </c:pt>
                <c:pt idx="2">
                  <c:v>imports</c:v>
                </c:pt>
                <c:pt idx="3">
                  <c:v>losses</c:v>
                </c:pt>
              </c:strCache>
            </c:strRef>
          </c:cat>
          <c:val>
            <c:numRef>
              <c:f>'N1 - RCP45 vs Base'!$AA$2:$AA$5</c:f>
              <c:numCache>
                <c:formatCode>General</c:formatCode>
                <c:ptCount val="4"/>
                <c:pt idx="0">
                  <c:v>1.128767989748339E-2</c:v>
                </c:pt>
                <c:pt idx="1">
                  <c:v>5.511784485982564E-2</c:v>
                </c:pt>
                <c:pt idx="2">
                  <c:v>0.27054060793202389</c:v>
                </c:pt>
                <c:pt idx="3">
                  <c:v>2.827735328072092E-2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70-4119-86EB-FD9BCFC4D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646192"/>
        <c:axId val="498646672"/>
      </c:barChart>
      <c:catAx>
        <c:axId val="4986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46672"/>
        <c:crosses val="autoZero"/>
        <c:auto val="1"/>
        <c:lblAlgn val="ctr"/>
        <c:lblOffset val="100"/>
        <c:noMultiLvlLbl val="0"/>
      </c:catAx>
      <c:valAx>
        <c:axId val="4986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4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Absolute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'N1 - RCP45 vs Base'!$G$2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Base'!$M$2,'N1 - RCP45 vs Base'!$AA$2)</c:f>
              <c:numCache>
                <c:formatCode>General</c:formatCode>
                <c:ptCount val="2"/>
                <c:pt idx="0">
                  <c:v>9.4866619382480318E-3</c:v>
                </c:pt>
                <c:pt idx="1">
                  <c:v>1.128767989748339E-2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6-45E0-AA97-0896230E238C}"/>
            </c:ext>
          </c:extLst>
        </c:ser>
        <c:ser>
          <c:idx val="1"/>
          <c:order val="1"/>
          <c:tx>
            <c:strRef>
              <c:f>'N1 - RCP45 vs Base'!$G$3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Base'!$M$3,'N1 - RCP45 vs Base'!$AA$3)</c:f>
              <c:numCache>
                <c:formatCode>General</c:formatCode>
                <c:ptCount val="2"/>
                <c:pt idx="0">
                  <c:v>3.0245072642493209E-2</c:v>
                </c:pt>
                <c:pt idx="1">
                  <c:v>5.511784485982564E-2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D6-45E0-AA97-0896230E238C}"/>
            </c:ext>
          </c:extLst>
        </c:ser>
        <c:ser>
          <c:idx val="2"/>
          <c:order val="2"/>
          <c:tx>
            <c:strRef>
              <c:f>'N1 - RCP45 vs Base'!$G$4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Base'!$M$4,'N1 - RCP45 vs Base'!$AA$4)</c:f>
              <c:numCache>
                <c:formatCode>General</c:formatCode>
                <c:ptCount val="2"/>
                <c:pt idx="0">
                  <c:v>1.1333201681482941E-2</c:v>
                </c:pt>
                <c:pt idx="1">
                  <c:v>0.27054060793202389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D6-45E0-AA97-0896230E238C}"/>
            </c:ext>
          </c:extLst>
        </c:ser>
        <c:ser>
          <c:idx val="3"/>
          <c:order val="3"/>
          <c:tx>
            <c:strRef>
              <c:f>'N1 - RCP45 vs Base'!$G$5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Base'!$M$5,'N1 - RCP45 vs Base'!$AA$5)</c:f>
              <c:numCache>
                <c:formatCode>General</c:formatCode>
                <c:ptCount val="2"/>
                <c:pt idx="0">
                  <c:v>1.2887523394299541E-2</c:v>
                </c:pt>
                <c:pt idx="1">
                  <c:v>2.827735328072092E-2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D6-45E0-AA97-0896230E2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888112"/>
        <c:axId val="496885712"/>
      </c:barChart>
      <c:catAx>
        <c:axId val="49688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885712"/>
        <c:crosses val="autoZero"/>
        <c:auto val="1"/>
        <c:lblAlgn val="ctr"/>
        <c:lblOffset val="100"/>
        <c:noMultiLvlLbl val="0"/>
      </c:catAx>
      <c:valAx>
        <c:axId val="4968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88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006780402449682E-2"/>
          <c:y val="0.79513779527559059"/>
          <c:w val="0.77520445394746906"/>
          <c:h val="0.144135133946245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38366733870912"/>
          <c:y val="0.11538835770528684"/>
          <c:w val="0.53428485382602864"/>
          <c:h val="0.534616141732283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'N1 - RCP45 vs Base'!$C$64</c:f>
              <c:strCache>
                <c:ptCount val="1"/>
                <c:pt idx="0">
                  <c:v>production directe d'électricité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('N1 - RCP45 vs Base'!$E$2,'N1 - RCP45 vs Base'!$S$2)</c15:sqref>
                  </c15:fullRef>
                </c:ext>
              </c:extLst>
              <c:f>'N1 - RCP45 vs Base'!$E$2</c:f>
              <c:strCache>
                <c:ptCount val="1"/>
                <c:pt idx="0">
                  <c:v>N1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('N1 - RCP45 vs Base'!$H$2,'N1 - RCP45 vs Base'!$V$2)</c15:sqref>
                  </c15:fullRef>
                </c:ext>
              </c:extLst>
              <c:f>'N1 - RCP45 vs Base'!$H$2</c:f>
              <c:numCache>
                <c:formatCode>General</c:formatCode>
                <c:ptCount val="1"/>
                <c:pt idx="0">
                  <c:v>0.90977795105681936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F-43B2-B88C-C1017A0CEBE4}"/>
            </c:ext>
          </c:extLst>
        </c:ser>
        <c:ser>
          <c:idx val="1"/>
          <c:order val="1"/>
          <c:tx>
            <c:strRef>
              <c:f>'N1 - RCP45 vs Base'!$C$63</c:f>
              <c:strCache>
                <c:ptCount val="1"/>
                <c:pt idx="0">
                  <c:v>injection d'électricité par les technologies de stockage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('N1 - RCP45 vs Base'!$E$2,'N1 - RCP45 vs Base'!$S$2)</c15:sqref>
                  </c15:fullRef>
                </c:ext>
              </c:extLst>
              <c:f>'N1 - RCP45 vs Base'!$E$2</c:f>
              <c:strCache>
                <c:ptCount val="1"/>
                <c:pt idx="0">
                  <c:v>N1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('N1 - RCP45 vs Base'!$H$3,'N1 - RCP45 vs Base'!$V$3)</c15:sqref>
                  </c15:fullRef>
                </c:ext>
              </c:extLst>
              <c:f>'N1 - RCP45 vs Base'!$H$3</c:f>
              <c:numCache>
                <c:formatCode>General</c:formatCode>
                <c:ptCount val="1"/>
                <c:pt idx="0">
                  <c:v>4.3975119343490222E-2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F-43B2-B88C-C1017A0CEBE4}"/>
            </c:ext>
          </c:extLst>
        </c:ser>
        <c:ser>
          <c:idx val="2"/>
          <c:order val="2"/>
          <c:tx>
            <c:strRef>
              <c:f>'N1 - RCP45 vs Base'!$C$62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('N1 - RCP45 vs Base'!$E$2,'N1 - RCP45 vs Base'!$S$2)</c15:sqref>
                  </c15:fullRef>
                </c:ext>
              </c:extLst>
              <c:f>'N1 - RCP45 vs Base'!$E$2</c:f>
              <c:strCache>
                <c:ptCount val="1"/>
                <c:pt idx="0">
                  <c:v>N1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('N1 - RCP45 vs Base'!$H$4,'N1 - RCP45 vs Base'!$V$4)</c15:sqref>
                  </c15:fullRef>
                </c:ext>
              </c:extLst>
              <c:f>'N1 - RCP45 vs Base'!$H$4</c:f>
              <c:numCache>
                <c:formatCode>General</c:formatCode>
                <c:ptCount val="1"/>
                <c:pt idx="0">
                  <c:v>4.6246929599690588E-2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7F-43B2-B88C-C1017A0CEBE4}"/>
            </c:ext>
          </c:extLst>
        </c:ser>
        <c:ser>
          <c:idx val="3"/>
          <c:order val="3"/>
          <c:tx>
            <c:strRef>
              <c:f>'N1 - RCP45 vs Base'!$C$61</c:f>
              <c:strCache>
                <c:ptCount val="1"/>
                <c:pt idx="0">
                  <c:v>pertes électriques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('N1 - RCP45 vs Base'!$E$2,'N1 - RCP45 vs Base'!$S$2)</c15:sqref>
                  </c15:fullRef>
                </c:ext>
              </c:extLst>
              <c:f>'N1 - RCP45 vs Base'!$E$2</c:f>
              <c:strCache>
                <c:ptCount val="1"/>
                <c:pt idx="0">
                  <c:v>N1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('N1 - RCP45 vs Base'!$H$5,'N1 - RCP45 vs Base'!$V$5)</c15:sqref>
                  </c15:fullRef>
                </c:ext>
              </c:extLst>
              <c:f>'N1 - RCP45 vs Base'!$H$5</c:f>
              <c:numCache>
                <c:formatCode>General</c:formatCode>
                <c:ptCount val="1"/>
                <c:pt idx="0">
                  <c:v>3.1242684515255099E-2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7F-43B2-B88C-C1017A0CE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806512"/>
        <c:axId val="585807472"/>
      </c:barChart>
      <c:catAx>
        <c:axId val="58580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5807472"/>
        <c:crosses val="autoZero"/>
        <c:auto val="1"/>
        <c:lblAlgn val="ctr"/>
        <c:lblOffset val="100"/>
        <c:noMultiLvlLbl val="0"/>
      </c:catAx>
      <c:valAx>
        <c:axId val="585807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580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786133827457265"/>
          <c:y val="0.70843624810056638"/>
          <c:w val="0.80142484547578152"/>
          <c:h val="0.254318594791035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83554118841941"/>
          <c:y val="4.6610169491525424E-2"/>
          <c:w val="0.81265128266733644"/>
          <c:h val="0.534114506873081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'N1 - RCP45 vs Base'!$P$58</c:f>
              <c:strCache>
                <c:ptCount val="1"/>
                <c:pt idx="0">
                  <c:v>production directe d'électricité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Base'!$J$2,'N1 - RCP45 vs Base'!$X$2)</c:f>
              <c:numCache>
                <c:formatCode>General</c:formatCode>
                <c:ptCount val="2"/>
                <c:pt idx="0">
                  <c:v>8.6307558605480082E-3</c:v>
                </c:pt>
                <c:pt idx="1">
                  <c:v>1.0269282289317691E-2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7-4ED6-B8DC-E53CE75C45BB}"/>
            </c:ext>
          </c:extLst>
        </c:ser>
        <c:ser>
          <c:idx val="1"/>
          <c:order val="1"/>
          <c:tx>
            <c:strRef>
              <c:f>'N1 - RCP45 vs Base'!$P$57</c:f>
              <c:strCache>
                <c:ptCount val="1"/>
                <c:pt idx="0">
                  <c:v>injection d'électricité par les technologies de stockage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Base'!$J$3,'N1 - RCP45 vs Base'!$X$3)</c:f>
              <c:numCache>
                <c:formatCode>General</c:formatCode>
                <c:ptCount val="2"/>
                <c:pt idx="0">
                  <c:v>1.3300306790061699E-3</c:v>
                </c:pt>
                <c:pt idx="1">
                  <c:v>2.423813805666811E-3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87-4ED6-B8DC-E53CE75C45BB}"/>
            </c:ext>
          </c:extLst>
        </c:ser>
        <c:ser>
          <c:idx val="2"/>
          <c:order val="2"/>
          <c:tx>
            <c:strRef>
              <c:f>'N1 - RCP45 vs Base'!$G$4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Base'!$J$4,'N1 - RCP45 vs Base'!$X$4)</c:f>
              <c:numCache>
                <c:formatCode>General</c:formatCode>
                <c:ptCount val="2"/>
                <c:pt idx="0">
                  <c:v>5.2412578030263659E-4</c:v>
                </c:pt>
                <c:pt idx="1">
                  <c:v>1.251167244888981E-2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87-4ED6-B8DC-E53CE75C45BB}"/>
            </c:ext>
          </c:extLst>
        </c:ser>
        <c:ser>
          <c:idx val="3"/>
          <c:order val="3"/>
          <c:tx>
            <c:strRef>
              <c:f>'N1 - RCP45 vs Base'!$P$55</c:f>
              <c:strCache>
                <c:ptCount val="1"/>
                <c:pt idx="0">
                  <c:v>pertes électriques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Base'!$J$5,'N1 - RCP45 vs Base'!$X$5)</c:f>
              <c:numCache>
                <c:formatCode>General</c:formatCode>
                <c:ptCount val="2"/>
                <c:pt idx="0">
                  <c:v>4.026408275910699E-4</c:v>
                </c:pt>
                <c:pt idx="1">
                  <c:v>8.8346042747597744E-4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87-4ED6-B8DC-E53CE75C45BB}"/>
            </c:ext>
          </c:extLst>
        </c:ser>
        <c:ser>
          <c:idx val="4"/>
          <c:order val="4"/>
          <c:tx>
            <c:strRef>
              <c:f>'N1 - RCP45 vs Base'!$P$54</c:f>
              <c:strCache>
                <c:ptCount val="1"/>
                <c:pt idx="0">
                  <c:v>infrastructure du réseau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Base'!$J$6,'N1 - RCP45 vs Base'!$X$6)</c:f>
              <c:numCache>
                <c:formatCode>General</c:formatCode>
                <c:ptCount val="2"/>
                <c:pt idx="0">
                  <c:v>6.3497027616850354E-4</c:v>
                </c:pt>
                <c:pt idx="1">
                  <c:v>8.2412398336450718E-4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87-4ED6-B8DC-E53CE75C45BB}"/>
            </c:ext>
          </c:extLst>
        </c:ser>
        <c:ser>
          <c:idx val="5"/>
          <c:order val="5"/>
          <c:tx>
            <c:strRef>
              <c:f>'N1 - RCP45 vs Base'!$P$53</c:f>
              <c:strCache>
                <c:ptCount val="1"/>
                <c:pt idx="0">
                  <c:v>autres: flux de biosphère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Base'!$J$7,'N1 - RCP45 vs Base'!$X$7)</c:f>
              <c:numCache>
                <c:formatCode>General</c:formatCode>
                <c:ptCount val="2"/>
                <c:pt idx="0">
                  <c:v>1.3649999706831469E-3</c:v>
                </c:pt>
                <c:pt idx="1">
                  <c:v>1.3650003260061269E-3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87-4ED6-B8DC-E53CE75C4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0944"/>
        <c:axId val="17069984"/>
      </c:barChart>
      <c:catAx>
        <c:axId val="1707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69984"/>
        <c:crosses val="autoZero"/>
        <c:auto val="1"/>
        <c:lblAlgn val="ctr"/>
        <c:lblOffset val="100"/>
        <c:noMultiLvlLbl val="0"/>
      </c:catAx>
      <c:valAx>
        <c:axId val="170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kgCO2-éq/kWh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7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205565323752005"/>
          <c:y val="0.70724643620290961"/>
          <c:w val="0.80246267760219292"/>
          <c:h val="0.27044873108333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Climate change impact (kgCO2-eq/kWh)</a:t>
            </a:r>
          </a:p>
          <a:p>
            <a:pPr>
              <a:defRPr/>
            </a:pPr>
            <a:r>
              <a:rPr lang="fr-FR"/>
              <a:t>'market</a:t>
            </a:r>
            <a:r>
              <a:rPr lang="fr-FR" baseline="0"/>
              <a:t> for electricity, high voltage, FE2050' - FR</a:t>
            </a:r>
            <a:endParaRPr lang="fr-FR"/>
          </a:p>
        </c:rich>
      </c:tx>
      <c:layout>
        <c:manualLayout>
          <c:xMode val="edge"/>
          <c:yMode val="edge"/>
          <c:x val="9.074906898773577E-2"/>
          <c:y val="3.7369376225741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'N1 - RCP45 vs Base'!$G$2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Base'!$J$2,'N1 - RCP45 vs Base'!$X$2)</c:f>
              <c:numCache>
                <c:formatCode>General</c:formatCode>
                <c:ptCount val="2"/>
                <c:pt idx="0">
                  <c:v>8.6307558605480082E-3</c:v>
                </c:pt>
                <c:pt idx="1">
                  <c:v>1.0269282289317691E-2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8-4354-849C-906BF5915562}"/>
            </c:ext>
          </c:extLst>
        </c:ser>
        <c:ser>
          <c:idx val="1"/>
          <c:order val="1"/>
          <c:tx>
            <c:strRef>
              <c:f>'N1 - RCP45 vs Base'!$G$3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Base'!$J$3,'N1 - RCP45 vs Base'!$X$3)</c:f>
              <c:numCache>
                <c:formatCode>General</c:formatCode>
                <c:ptCount val="2"/>
                <c:pt idx="0">
                  <c:v>1.3300306790061699E-3</c:v>
                </c:pt>
                <c:pt idx="1">
                  <c:v>2.423813805666811E-3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8-4354-849C-906BF5915562}"/>
            </c:ext>
          </c:extLst>
        </c:ser>
        <c:ser>
          <c:idx val="2"/>
          <c:order val="2"/>
          <c:tx>
            <c:strRef>
              <c:f>'N1 - RCP45 vs Base'!$G$4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Base'!$J$4,'N1 - RCP45 vs Base'!$X$4)</c:f>
              <c:numCache>
                <c:formatCode>General</c:formatCode>
                <c:ptCount val="2"/>
                <c:pt idx="0">
                  <c:v>5.2412578030263659E-4</c:v>
                </c:pt>
                <c:pt idx="1">
                  <c:v>1.251167244888981E-2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48-4354-849C-906BF5915562}"/>
            </c:ext>
          </c:extLst>
        </c:ser>
        <c:ser>
          <c:idx val="3"/>
          <c:order val="3"/>
          <c:tx>
            <c:strRef>
              <c:f>'N1 - RCP45 vs Base'!$G$5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Base'!$J$5,'N1 - RCP45 vs Base'!$X$5)</c:f>
              <c:numCache>
                <c:formatCode>General</c:formatCode>
                <c:ptCount val="2"/>
                <c:pt idx="0">
                  <c:v>4.026408275910699E-4</c:v>
                </c:pt>
                <c:pt idx="1">
                  <c:v>8.8346042747597744E-4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48-4354-849C-906BF5915562}"/>
            </c:ext>
          </c:extLst>
        </c:ser>
        <c:ser>
          <c:idx val="4"/>
          <c:order val="4"/>
          <c:tx>
            <c:strRef>
              <c:f>'N1 - RCP45 vs Base'!$G$6</c:f>
              <c:strCache>
                <c:ptCount val="1"/>
                <c:pt idx="0">
                  <c:v>network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Base'!$J$6,'N1 - RCP45 vs Base'!$X$6)</c:f>
              <c:numCache>
                <c:formatCode>General</c:formatCode>
                <c:ptCount val="2"/>
                <c:pt idx="0">
                  <c:v>6.3497027616850354E-4</c:v>
                </c:pt>
                <c:pt idx="1">
                  <c:v>8.2412398336450718E-4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48-4354-849C-906BF5915562}"/>
            </c:ext>
          </c:extLst>
        </c:ser>
        <c:ser>
          <c:idx val="5"/>
          <c:order val="5"/>
          <c:tx>
            <c:strRef>
              <c:f>'N1 - RCP45 vs Base'!$G$7</c:f>
              <c:strCache>
                <c:ptCount val="1"/>
                <c:pt idx="0">
                  <c:v>others : biosphere flows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Base'!$J$7,'N1 - RCP45 vs Base'!$X$7)</c:f>
              <c:numCache>
                <c:formatCode>General</c:formatCode>
                <c:ptCount val="2"/>
                <c:pt idx="0">
                  <c:v>1.3649999706831469E-3</c:v>
                </c:pt>
                <c:pt idx="1">
                  <c:v>1.3650003260061269E-3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48-4354-849C-906BF5915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0944"/>
        <c:axId val="17069984"/>
      </c:barChart>
      <c:catAx>
        <c:axId val="1707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69984"/>
        <c:crosses val="autoZero"/>
        <c:auto val="1"/>
        <c:lblAlgn val="ctr"/>
        <c:lblOffset val="100"/>
        <c:noMultiLvlLbl val="0"/>
      </c:catAx>
      <c:valAx>
        <c:axId val="17069984"/>
        <c:scaling>
          <c:orientation val="minMax"/>
          <c:max val="1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kgCO2-eq/kWh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7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Climate change impact (kgCO2-eq/kWh)</a:t>
            </a:r>
          </a:p>
          <a:p>
            <a:pPr>
              <a:defRPr/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'market for electricity, high voltage, FE2050' - FR</a:t>
            </a:r>
            <a:endParaRPr lang="fr-FR"/>
          </a:p>
        </c:rich>
      </c:tx>
      <c:layout>
        <c:manualLayout>
          <c:xMode val="edge"/>
          <c:yMode val="edge"/>
          <c:x val="0.10607879924953098"/>
          <c:y val="2.6192695743996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088376190738395"/>
          <c:y val="0.23554459790886795"/>
          <c:w val="0.73791024723308174"/>
          <c:h val="0.475394862527430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'RCP45 - N03 vs M0'!$G$2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M0'!$J$2,'RCP45 - N03 vs M0'!$X$2)</c:f>
              <c:numCache>
                <c:formatCode>General</c:formatCode>
                <c:ptCount val="2"/>
                <c:pt idx="0">
                  <c:v>6.9604571399973026E-3</c:v>
                </c:pt>
                <c:pt idx="1">
                  <c:v>1.062298832594458E-2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9-4829-A2E2-6E41804ECCC4}"/>
            </c:ext>
          </c:extLst>
        </c:ser>
        <c:ser>
          <c:idx val="1"/>
          <c:order val="1"/>
          <c:tx>
            <c:strRef>
              <c:f>'RCP45 - N03 vs M0'!$G$3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M0'!$J$3,'RCP45 - N03 vs M0'!$X$3)</c:f>
              <c:numCache>
                <c:formatCode>General</c:formatCode>
                <c:ptCount val="2"/>
                <c:pt idx="0">
                  <c:v>3.426125211802191E-4</c:v>
                </c:pt>
                <c:pt idx="1">
                  <c:v>3.6028255960408209E-3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9-4829-A2E2-6E41804ECCC4}"/>
            </c:ext>
          </c:extLst>
        </c:ser>
        <c:ser>
          <c:idx val="2"/>
          <c:order val="2"/>
          <c:tx>
            <c:strRef>
              <c:f>'RCP45 - N03 vs M0'!$G$4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M0'!$J$4,'RCP45 - N03 vs M0'!$X$4)</c:f>
              <c:numCache>
                <c:formatCode>General</c:formatCode>
                <c:ptCount val="2"/>
                <c:pt idx="0">
                  <c:v>4.0184814521954701E-4</c:v>
                </c:pt>
                <c:pt idx="1">
                  <c:v>6.4718751670110456E-4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E9-4829-A2E2-6E41804ECCC4}"/>
            </c:ext>
          </c:extLst>
        </c:ser>
        <c:ser>
          <c:idx val="3"/>
          <c:order val="3"/>
          <c:tx>
            <c:strRef>
              <c:f>'RCP45 - N03 vs M0'!$G$5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M0'!$J$5,'RCP45 - N03 vs M0'!$X$5)</c:f>
              <c:numCache>
                <c:formatCode>General</c:formatCode>
                <c:ptCount val="2"/>
                <c:pt idx="0">
                  <c:v>3.1298523257141108E-4</c:v>
                </c:pt>
                <c:pt idx="1">
                  <c:v>5.4415791823780445E-4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E9-4829-A2E2-6E41804ECCC4}"/>
            </c:ext>
          </c:extLst>
        </c:ser>
        <c:ser>
          <c:idx val="4"/>
          <c:order val="4"/>
          <c:tx>
            <c:strRef>
              <c:f>'RCP45 - N03 vs M0'!$G$6</c:f>
              <c:strCache>
                <c:ptCount val="1"/>
                <c:pt idx="0">
                  <c:v>network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M0'!$J$6,'RCP45 - N03 vs M0'!$X$6)</c:f>
              <c:numCache>
                <c:formatCode>General</c:formatCode>
                <c:ptCount val="2"/>
                <c:pt idx="0">
                  <c:v>6.3496960479894832E-4</c:v>
                </c:pt>
                <c:pt idx="1">
                  <c:v>6.3497133589339894E-4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E9-4829-A2E2-6E41804ECCC4}"/>
            </c:ext>
          </c:extLst>
        </c:ser>
        <c:ser>
          <c:idx val="5"/>
          <c:order val="5"/>
          <c:tx>
            <c:strRef>
              <c:f>'RCP45 - N03 vs M0'!$G$7</c:f>
              <c:strCache>
                <c:ptCount val="1"/>
                <c:pt idx="0">
                  <c:v>others : biosphere flows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M0'!$J$7,'RCP45 - N03 vs M0'!$X$7)</c:f>
              <c:numCache>
                <c:formatCode>General</c:formatCode>
                <c:ptCount val="2"/>
                <c:pt idx="0">
                  <c:v>1.364999937527164E-3</c:v>
                </c:pt>
                <c:pt idx="1">
                  <c:v>1.3649999629076169E-3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E9-4829-A2E2-6E41804EC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0944"/>
        <c:axId val="17069984"/>
      </c:barChart>
      <c:catAx>
        <c:axId val="1707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69984"/>
        <c:crosses val="autoZero"/>
        <c:auto val="1"/>
        <c:lblAlgn val="ctr"/>
        <c:lblOffset val="100"/>
        <c:noMultiLvlLbl val="0"/>
      </c:catAx>
      <c:valAx>
        <c:axId val="170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kgCO2-eq/kWh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7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1334508011673367E-2"/>
          <c:y val="0.78039886407641657"/>
          <c:w val="0.89170108928077285"/>
          <c:h val="0.141450884213243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Origin of electricity for 1 kWh supplied</a:t>
            </a:r>
          </a:p>
          <a:p>
            <a:pPr>
              <a:defRPr/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'market for electricity, high voltage, FE2050' - FR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282632071872075"/>
          <c:y val="0.34422857142857144"/>
          <c:w val="0.73547199493987037"/>
          <c:h val="0.300728608923884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'RCP45 - N03 vs M0'!$G$2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M0'!$H$2,'RCP45 - N03 vs M0'!$V$2)</c:f>
              <c:numCache>
                <c:formatCode>General</c:formatCode>
                <c:ptCount val="2"/>
                <c:pt idx="0">
                  <c:v>0.94045641483364362</c:v>
                </c:pt>
                <c:pt idx="1">
                  <c:v>0.86085528276763223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3-4A64-91F1-D710D6132B6F}"/>
            </c:ext>
          </c:extLst>
        </c:ser>
        <c:ser>
          <c:idx val="1"/>
          <c:order val="1"/>
          <c:tx>
            <c:strRef>
              <c:f>'RCP45 - N03 vs M0'!$G$3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M0'!$H$3,'RCP45 - N03 vs M0'!$V$3)</c:f>
              <c:numCache>
                <c:formatCode>General</c:formatCode>
                <c:ptCount val="2"/>
                <c:pt idx="0">
                  <c:v>2.4085503535129119E-2</c:v>
                </c:pt>
                <c:pt idx="1">
                  <c:v>8.2040494344195497E-2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63-4A64-91F1-D710D6132B6F}"/>
            </c:ext>
          </c:extLst>
        </c:ser>
        <c:ser>
          <c:idx val="2"/>
          <c:order val="2"/>
          <c:tx>
            <c:strRef>
              <c:f>'RCP45 - N03 vs M0'!$G$4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M0'!$H$4,'RCP45 - N03 vs M0'!$V$4)</c:f>
              <c:numCache>
                <c:formatCode>General</c:formatCode>
                <c:ptCount val="2"/>
                <c:pt idx="0">
                  <c:v>3.5458081631227323E-2</c:v>
                </c:pt>
                <c:pt idx="1">
                  <c:v>5.7104222888172101E-2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63-4A64-91F1-D710D6132B6F}"/>
            </c:ext>
          </c:extLst>
        </c:ser>
        <c:ser>
          <c:idx val="3"/>
          <c:order val="3"/>
          <c:tx>
            <c:strRef>
              <c:f>'RCP45 - N03 vs M0'!$G$5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M0'!$H$5,'RCP45 - N03 vs M0'!$V$5)</c:f>
              <c:numCache>
                <c:formatCode>General</c:formatCode>
                <c:ptCount val="2"/>
                <c:pt idx="0">
                  <c:v>3.1242684515255099E-2</c:v>
                </c:pt>
                <c:pt idx="1">
                  <c:v>3.1242684515255099E-2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63-4A64-91F1-D710D6132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806512"/>
        <c:axId val="585807472"/>
      </c:barChart>
      <c:catAx>
        <c:axId val="58580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5807472"/>
        <c:crosses val="autoZero"/>
        <c:auto val="1"/>
        <c:lblAlgn val="ctr"/>
        <c:lblOffset val="100"/>
        <c:noMultiLvlLbl val="0"/>
      </c:catAx>
      <c:valAx>
        <c:axId val="585807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580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Climate change impact (kgCO2-eq/kWh)</a:t>
            </a:r>
          </a:p>
          <a:p>
            <a:pPr>
              <a:defRPr/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depending on electricity origin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397196952322707"/>
          <c:y val="0.18196473551637279"/>
          <c:w val="0.80754906607547838"/>
          <c:h val="0.626403273898067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'RCP45 - N03 vs M0'!$E$2</c:f>
              <c:strCache>
                <c:ptCount val="1"/>
                <c:pt idx="0">
                  <c:v>N03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'RCP45 - N03 vs M0'!$G$2:$G$5</c:f>
              <c:strCache>
                <c:ptCount val="4"/>
                <c:pt idx="0">
                  <c:v>direct electricity production in France</c:v>
                </c:pt>
                <c:pt idx="1">
                  <c:v>electricity injection from flexibilities</c:v>
                </c:pt>
                <c:pt idx="2">
                  <c:v>imports</c:v>
                </c:pt>
                <c:pt idx="3">
                  <c:v>losses</c:v>
                </c:pt>
              </c:strCache>
            </c:strRef>
          </c:cat>
          <c:val>
            <c:numRef>
              <c:f>'RCP45 - N03 vs M0'!$M$2:$M$5</c:f>
              <c:numCache>
                <c:formatCode>General</c:formatCode>
                <c:ptCount val="4"/>
                <c:pt idx="0">
                  <c:v>7.4011480279269834E-3</c:v>
                </c:pt>
                <c:pt idx="1">
                  <c:v>1.422484361518591E-2</c:v>
                </c:pt>
                <c:pt idx="2">
                  <c:v>1.133304811576852E-2</c:v>
                </c:pt>
                <c:pt idx="3">
                  <c:v>1.0017872581294589E-2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D-4AA1-BC0E-CA588BF4769A}"/>
            </c:ext>
          </c:extLst>
        </c:ser>
        <c:ser>
          <c:idx val="1"/>
          <c:order val="1"/>
          <c:tx>
            <c:strRef>
              <c:f>'RCP45 - N03 vs M0'!$S$2</c:f>
              <c:strCache>
                <c:ptCount val="1"/>
                <c:pt idx="0">
                  <c:v>M0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'RCP45 - N03 vs M0'!$G$2:$G$5</c:f>
              <c:strCache>
                <c:ptCount val="4"/>
                <c:pt idx="0">
                  <c:v>direct electricity production in France</c:v>
                </c:pt>
                <c:pt idx="1">
                  <c:v>electricity injection from flexibilities</c:v>
                </c:pt>
                <c:pt idx="2">
                  <c:v>imports</c:v>
                </c:pt>
                <c:pt idx="3">
                  <c:v>losses</c:v>
                </c:pt>
              </c:strCache>
            </c:strRef>
          </c:cat>
          <c:val>
            <c:numRef>
              <c:f>'RCP45 - N03 vs M0'!$AA$2:$AA$5</c:f>
              <c:numCache>
                <c:formatCode>General</c:formatCode>
                <c:ptCount val="4"/>
                <c:pt idx="0">
                  <c:v>1.2340039654274861E-2</c:v>
                </c:pt>
                <c:pt idx="1">
                  <c:v>4.3915210711985758E-2</c:v>
                </c:pt>
                <c:pt idx="2">
                  <c:v>1.1333444077656039E-2</c:v>
                </c:pt>
                <c:pt idx="3">
                  <c:v>1.7417130655725321E-2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D-4AA1-BC0E-CA588BF47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646192"/>
        <c:axId val="498646672"/>
      </c:barChart>
      <c:catAx>
        <c:axId val="4986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46672"/>
        <c:crosses val="autoZero"/>
        <c:auto val="1"/>
        <c:lblAlgn val="ctr"/>
        <c:lblOffset val="100"/>
        <c:noMultiLvlLbl val="0"/>
      </c:catAx>
      <c:valAx>
        <c:axId val="4986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kgCO2-eq/kWh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4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844700965777334"/>
          <c:y val="0.32707592662530732"/>
          <c:w val="0.14588915220548887"/>
          <c:h val="7.6792318833205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Absolute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'RCP45 - N03 vs M0'!$G$2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M0'!$M$2,'RCP45 - N03 vs M0'!$AA$2)</c:f>
              <c:numCache>
                <c:formatCode>General</c:formatCode>
                <c:ptCount val="2"/>
                <c:pt idx="0">
                  <c:v>7.4011480279269834E-3</c:v>
                </c:pt>
                <c:pt idx="1">
                  <c:v>1.2340039654274861E-2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6-468C-A7DD-68ED52C85D36}"/>
            </c:ext>
          </c:extLst>
        </c:ser>
        <c:ser>
          <c:idx val="1"/>
          <c:order val="1"/>
          <c:tx>
            <c:strRef>
              <c:f>'RCP45 - N03 vs M0'!$G$3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M0'!$M$3,'RCP45 - N03 vs M0'!$AA$3)</c:f>
              <c:numCache>
                <c:formatCode>General</c:formatCode>
                <c:ptCount val="2"/>
                <c:pt idx="0">
                  <c:v>1.422484361518591E-2</c:v>
                </c:pt>
                <c:pt idx="1">
                  <c:v>4.3915210711985758E-2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6-468C-A7DD-68ED52C85D36}"/>
            </c:ext>
          </c:extLst>
        </c:ser>
        <c:ser>
          <c:idx val="2"/>
          <c:order val="2"/>
          <c:tx>
            <c:strRef>
              <c:f>'RCP45 - N03 vs M0'!$G$4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M0'!$M$4,'RCP45 - N03 vs M0'!$AA$4)</c:f>
              <c:numCache>
                <c:formatCode>General</c:formatCode>
                <c:ptCount val="2"/>
                <c:pt idx="0">
                  <c:v>1.133304811576852E-2</c:v>
                </c:pt>
                <c:pt idx="1">
                  <c:v>1.1333444077656039E-2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6-468C-A7DD-68ED52C85D36}"/>
            </c:ext>
          </c:extLst>
        </c:ser>
        <c:ser>
          <c:idx val="3"/>
          <c:order val="3"/>
          <c:tx>
            <c:strRef>
              <c:f>'RCP45 - N03 vs M0'!$G$5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M0'!$M$5,'RCP45 - N03 vs M0'!$AA$5)</c:f>
              <c:numCache>
                <c:formatCode>General</c:formatCode>
                <c:ptCount val="2"/>
                <c:pt idx="0">
                  <c:v>1.0017872581294589E-2</c:v>
                </c:pt>
                <c:pt idx="1">
                  <c:v>1.7417130655725321E-2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36-468C-A7DD-68ED52C85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888112"/>
        <c:axId val="496885712"/>
      </c:barChart>
      <c:catAx>
        <c:axId val="49688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885712"/>
        <c:crosses val="autoZero"/>
        <c:auto val="1"/>
        <c:lblAlgn val="ctr"/>
        <c:lblOffset val="100"/>
        <c:noMultiLvlLbl val="0"/>
      </c:catAx>
      <c:valAx>
        <c:axId val="4968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88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006780402449682E-2"/>
          <c:y val="0.79513779527559059"/>
          <c:w val="0.77520445394746906"/>
          <c:h val="0.144135133946245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Impact CO2/kWh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'elec 1 kWh'!$E$2</c:f>
              <c:strCache>
                <c:ptCount val="1"/>
                <c:pt idx="0">
                  <c:v>M0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92D050"/>
              </a:solidFill>
              <a:ln w="9525">
                <a:solidFill>
                  <a:srgbClr val="92D050">
                    <a:alpha val="94000"/>
                  </a:srgbClr>
                </a:solidFill>
              </a:ln>
              <a:effectLst/>
            </c:spPr>
          </c:marker>
          <c:yVal>
            <c:numRef>
              <c:f>'elec 1 kWh'!$I$2:$I$3</c:f>
              <c:numCache>
                <c:formatCode>General</c:formatCode>
                <c:ptCount val="2"/>
                <c:pt idx="0">
                  <c:v>17.41713065572533</c:v>
                </c:pt>
                <c:pt idx="1">
                  <c:v>37.567263802992052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2-43E5-B4C3-9F92D801807C}"/>
            </c:ext>
          </c:extLst>
        </c:ser>
        <c:ser>
          <c:idx val="1"/>
          <c:order val="1"/>
          <c:tx>
            <c:strRef>
              <c:f>'elec 1 kWh'!$E$6</c:f>
              <c:strCache>
                <c:ptCount val="1"/>
                <c:pt idx="0">
                  <c:v>N03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alpha val="99000"/>
                  </a:schemeClr>
                </a:solidFill>
              </a:ln>
              <a:effectLst/>
            </c:spPr>
          </c:marker>
          <c:yVal>
            <c:numRef>
              <c:f>'elec 1 kWh'!$I$6:$I$7</c:f>
              <c:numCache>
                <c:formatCode>General</c:formatCode>
                <c:ptCount val="2"/>
                <c:pt idx="0">
                  <c:v>10.017872581294601</c:v>
                </c:pt>
                <c:pt idx="1">
                  <c:v>21.744280567840271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52-43E5-B4C3-9F92D801807C}"/>
            </c:ext>
          </c:extLst>
        </c:ser>
        <c:ser>
          <c:idx val="2"/>
          <c:order val="2"/>
          <c:tx>
            <c:strRef>
              <c:f>'elec 1 kWh'!$E$14</c:f>
              <c:strCache>
                <c:ptCount val="1"/>
                <c:pt idx="0">
                  <c:v>M0 prod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'elec 1 kWh'!$I$14:$I$15</c:f>
              <c:numCache>
                <c:formatCode>General</c:formatCode>
                <c:ptCount val="2"/>
                <c:pt idx="0">
                  <c:v>12.34003978551082</c:v>
                </c:pt>
                <c:pt idx="1">
                  <c:v>14.367571172169779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52-43E5-B4C3-9F92D801807C}"/>
            </c:ext>
          </c:extLst>
        </c:ser>
        <c:ser>
          <c:idx val="3"/>
          <c:order val="3"/>
          <c:tx>
            <c:strRef>
              <c:f>'elec 1 kWh'!$E$18</c:f>
              <c:strCache>
                <c:ptCount val="1"/>
                <c:pt idx="0">
                  <c:v>N03 prod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6">
                  <a:alpha val="96000"/>
                </a:schemeClr>
              </a:solidFill>
              <a:ln w="9525">
                <a:solidFill>
                  <a:schemeClr val="accent6">
                    <a:alpha val="90000"/>
                  </a:schemeClr>
                </a:solidFill>
              </a:ln>
              <a:effectLst/>
            </c:spPr>
          </c:marker>
          <c:yVal>
            <c:numRef>
              <c:f>'elec 1 kWh'!$I$18:$I$19</c:f>
              <c:numCache>
                <c:formatCode>General</c:formatCode>
                <c:ptCount val="2"/>
                <c:pt idx="0">
                  <c:v>7.4011479488635192</c:v>
                </c:pt>
                <c:pt idx="1">
                  <c:v>9.1014985869846488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52-43E5-B4C3-9F92D8018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003200"/>
        <c:axId val="1030000320"/>
      </c:scatterChart>
      <c:valAx>
        <c:axId val="103000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RCP 45</a:t>
                </a:r>
                <a:r>
                  <a:rPr lang="fr-FR" baseline="0"/>
                  <a:t>                                    Base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36152777777777784"/>
              <c:y val="0.9061820179454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000320"/>
        <c:crosses val="autoZero"/>
        <c:crossBetween val="midCat"/>
      </c:valAx>
      <c:valAx>
        <c:axId val="103000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00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82632071872075"/>
          <c:y val="0.12708571428571427"/>
          <c:w val="0.73547199493987037"/>
          <c:h val="0.517871466066741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'RCP45 - N03 vs M0'!$X$58</c:f>
              <c:strCache>
                <c:ptCount val="1"/>
                <c:pt idx="0">
                  <c:v>production directe d'électricité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M0'!$H$2,'RCP45 - N03 vs M0'!$V$2)</c:f>
              <c:numCache>
                <c:formatCode>General</c:formatCode>
                <c:ptCount val="2"/>
                <c:pt idx="0">
                  <c:v>0.94045641483364362</c:v>
                </c:pt>
                <c:pt idx="1">
                  <c:v>0.86085528276763223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8-4BEC-AE9A-F964551B3CED}"/>
            </c:ext>
          </c:extLst>
        </c:ser>
        <c:ser>
          <c:idx val="1"/>
          <c:order val="1"/>
          <c:tx>
            <c:strRef>
              <c:f>'RCP45 - N03 vs M0'!$X$59</c:f>
              <c:strCache>
                <c:ptCount val="1"/>
                <c:pt idx="0">
                  <c:v>injection d'électricité par les technologies de stockage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M0'!$H$3,'RCP45 - N03 vs M0'!$V$3)</c:f>
              <c:numCache>
                <c:formatCode>General</c:formatCode>
                <c:ptCount val="2"/>
                <c:pt idx="0">
                  <c:v>2.4085503535129119E-2</c:v>
                </c:pt>
                <c:pt idx="1">
                  <c:v>8.2040494344195497E-2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8-4BEC-AE9A-F964551B3CED}"/>
            </c:ext>
          </c:extLst>
        </c:ser>
        <c:ser>
          <c:idx val="2"/>
          <c:order val="2"/>
          <c:tx>
            <c:strRef>
              <c:f>'RCP45 - N03 vs M0'!$G$4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M0'!$H$4,'RCP45 - N03 vs M0'!$V$4)</c:f>
              <c:numCache>
                <c:formatCode>General</c:formatCode>
                <c:ptCount val="2"/>
                <c:pt idx="0">
                  <c:v>3.5458081631227323E-2</c:v>
                </c:pt>
                <c:pt idx="1">
                  <c:v>5.7104222888172101E-2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8-4BEC-AE9A-F964551B3CED}"/>
            </c:ext>
          </c:extLst>
        </c:ser>
        <c:ser>
          <c:idx val="3"/>
          <c:order val="3"/>
          <c:tx>
            <c:strRef>
              <c:f>'RCP45 - N03 vs M0'!$X$61</c:f>
              <c:strCache>
                <c:ptCount val="1"/>
                <c:pt idx="0">
                  <c:v>pertes électriques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M0'!$H$5,'RCP45 - N03 vs M0'!$V$5)</c:f>
              <c:numCache>
                <c:formatCode>General</c:formatCode>
                <c:ptCount val="2"/>
                <c:pt idx="0">
                  <c:v>3.1242684515255099E-2</c:v>
                </c:pt>
                <c:pt idx="1">
                  <c:v>3.1242684515255099E-2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28-4BEC-AE9A-F964551B3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806512"/>
        <c:axId val="585807472"/>
      </c:barChart>
      <c:catAx>
        <c:axId val="58580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5807472"/>
        <c:crosses val="autoZero"/>
        <c:auto val="1"/>
        <c:lblAlgn val="ctr"/>
        <c:lblOffset val="100"/>
        <c:noMultiLvlLbl val="0"/>
      </c:catAx>
      <c:valAx>
        <c:axId val="585807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580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88376190738395"/>
          <c:y val="0.18308558151542528"/>
          <c:w val="0.73791024723308174"/>
          <c:h val="0.527853878920872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'RCP45 - N03 vs M0'!$G$60</c:f>
              <c:strCache>
                <c:ptCount val="1"/>
                <c:pt idx="0">
                  <c:v>production directe d'électricité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M0'!$J$2,'RCP45 - N03 vs M0'!$X$2)</c:f>
              <c:numCache>
                <c:formatCode>General</c:formatCode>
                <c:ptCount val="2"/>
                <c:pt idx="0">
                  <c:v>6.9604571399973026E-3</c:v>
                </c:pt>
                <c:pt idx="1">
                  <c:v>1.062298832594458E-2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B-47C3-A784-95EFC3747F3F}"/>
            </c:ext>
          </c:extLst>
        </c:ser>
        <c:ser>
          <c:idx val="1"/>
          <c:order val="1"/>
          <c:tx>
            <c:strRef>
              <c:f>'RCP45 - N03 vs M0'!$G$59</c:f>
              <c:strCache>
                <c:ptCount val="1"/>
                <c:pt idx="0">
                  <c:v>injection d'électricité par les technologies de stockage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M0'!$J$3,'RCP45 - N03 vs M0'!$X$3)</c:f>
              <c:numCache>
                <c:formatCode>General</c:formatCode>
                <c:ptCount val="2"/>
                <c:pt idx="0">
                  <c:v>3.426125211802191E-4</c:v>
                </c:pt>
                <c:pt idx="1">
                  <c:v>3.6028255960408209E-3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FB-47C3-A784-95EFC3747F3F}"/>
            </c:ext>
          </c:extLst>
        </c:ser>
        <c:ser>
          <c:idx val="2"/>
          <c:order val="2"/>
          <c:tx>
            <c:strRef>
              <c:f>'RCP45 - N03 vs M0'!$G$4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M0'!$J$4,'RCP45 - N03 vs M0'!$X$4)</c:f>
              <c:numCache>
                <c:formatCode>General</c:formatCode>
                <c:ptCount val="2"/>
                <c:pt idx="0">
                  <c:v>4.0184814521954701E-4</c:v>
                </c:pt>
                <c:pt idx="1">
                  <c:v>6.4718751670110456E-4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FB-47C3-A784-95EFC3747F3F}"/>
            </c:ext>
          </c:extLst>
        </c:ser>
        <c:ser>
          <c:idx val="3"/>
          <c:order val="3"/>
          <c:tx>
            <c:strRef>
              <c:f>'RCP45 - N03 vs M0'!$G$57</c:f>
              <c:strCache>
                <c:ptCount val="1"/>
                <c:pt idx="0">
                  <c:v>pertes électriques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M0'!$J$5,'RCP45 - N03 vs M0'!$X$5)</c:f>
              <c:numCache>
                <c:formatCode>General</c:formatCode>
                <c:ptCount val="2"/>
                <c:pt idx="0">
                  <c:v>3.1298523257141108E-4</c:v>
                </c:pt>
                <c:pt idx="1">
                  <c:v>5.4415791823780445E-4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FB-47C3-A784-95EFC3747F3F}"/>
            </c:ext>
          </c:extLst>
        </c:ser>
        <c:ser>
          <c:idx val="4"/>
          <c:order val="4"/>
          <c:tx>
            <c:strRef>
              <c:f>'RCP45 - N03 vs M0'!$G$56</c:f>
              <c:strCache>
                <c:ptCount val="1"/>
                <c:pt idx="0">
                  <c:v>infrastructure du réseau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M0'!$J$6,'RCP45 - N03 vs M0'!$X$6)</c:f>
              <c:numCache>
                <c:formatCode>General</c:formatCode>
                <c:ptCount val="2"/>
                <c:pt idx="0">
                  <c:v>6.3496960479894832E-4</c:v>
                </c:pt>
                <c:pt idx="1">
                  <c:v>6.3497133589339894E-4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FB-47C3-A784-95EFC3747F3F}"/>
            </c:ext>
          </c:extLst>
        </c:ser>
        <c:ser>
          <c:idx val="5"/>
          <c:order val="5"/>
          <c:tx>
            <c:strRef>
              <c:f>'RCP45 - N03 vs M0'!$G$55</c:f>
              <c:strCache>
                <c:ptCount val="1"/>
                <c:pt idx="0">
                  <c:v>autres: flux de biosphère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('RCP45 - N03 vs M0'!$E$2,'RCP45 -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('RCP45 - N03 vs M0'!$J$7,'RCP45 - N03 vs M0'!$X$7)</c:f>
              <c:numCache>
                <c:formatCode>General</c:formatCode>
                <c:ptCount val="2"/>
                <c:pt idx="0">
                  <c:v>1.364999937527164E-3</c:v>
                </c:pt>
                <c:pt idx="1">
                  <c:v>1.3649999629076169E-3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FB-47C3-A784-95EFC3747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0944"/>
        <c:axId val="17069984"/>
      </c:barChart>
      <c:catAx>
        <c:axId val="1707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69984"/>
        <c:crosses val="autoZero"/>
        <c:auto val="1"/>
        <c:lblAlgn val="ctr"/>
        <c:lblOffset val="100"/>
        <c:noMultiLvlLbl val="0"/>
      </c:catAx>
      <c:valAx>
        <c:axId val="170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kgCO2-eq/kWh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7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1334508011673367E-2"/>
          <c:y val="0.78039886407641657"/>
          <c:w val="0.89170108928077285"/>
          <c:h val="0.141450884213243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97196952322707"/>
          <c:y val="9.0952284377456727E-2"/>
          <c:w val="0.80754906607547838"/>
          <c:h val="0.71741591915798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'RCP45 - N03 vs M0'!$E$2</c:f>
              <c:strCache>
                <c:ptCount val="1"/>
                <c:pt idx="0">
                  <c:v>N03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'RCP45 - N03 vs M0'!$X$58:$X$61</c:f>
              <c:strCache>
                <c:ptCount val="4"/>
                <c:pt idx="0">
                  <c:v>production directe d'électricité</c:v>
                </c:pt>
                <c:pt idx="1">
                  <c:v>injection d'électricité par les technologies de stockage</c:v>
                </c:pt>
                <c:pt idx="2">
                  <c:v>imports</c:v>
                </c:pt>
                <c:pt idx="3">
                  <c:v>pertes électriques</c:v>
                </c:pt>
              </c:strCache>
            </c:strRef>
          </c:cat>
          <c:val>
            <c:numRef>
              <c:f>'RCP45 - N03 vs M0'!$M$2:$M$5</c:f>
              <c:numCache>
                <c:formatCode>General</c:formatCode>
                <c:ptCount val="4"/>
                <c:pt idx="0">
                  <c:v>7.4011480279269834E-3</c:v>
                </c:pt>
                <c:pt idx="1">
                  <c:v>1.422484361518591E-2</c:v>
                </c:pt>
                <c:pt idx="2">
                  <c:v>1.133304811576852E-2</c:v>
                </c:pt>
                <c:pt idx="3">
                  <c:v>1.0017872581294589E-2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2-4DFA-8B73-4C990511C92D}"/>
            </c:ext>
          </c:extLst>
        </c:ser>
        <c:ser>
          <c:idx val="1"/>
          <c:order val="1"/>
          <c:tx>
            <c:strRef>
              <c:f>'RCP45 - N03 vs M0'!$S$2</c:f>
              <c:strCache>
                <c:ptCount val="1"/>
                <c:pt idx="0">
                  <c:v>M0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'RCP45 - N03 vs M0'!$X$58:$X$61</c:f>
              <c:strCache>
                <c:ptCount val="4"/>
                <c:pt idx="0">
                  <c:v>production directe d'électricité</c:v>
                </c:pt>
                <c:pt idx="1">
                  <c:v>injection d'électricité par les technologies de stockage</c:v>
                </c:pt>
                <c:pt idx="2">
                  <c:v>imports</c:v>
                </c:pt>
                <c:pt idx="3">
                  <c:v>pertes électriques</c:v>
                </c:pt>
              </c:strCache>
            </c:strRef>
          </c:cat>
          <c:val>
            <c:numRef>
              <c:f>'RCP45 - N03 vs M0'!$AA$2:$AA$5</c:f>
              <c:numCache>
                <c:formatCode>General</c:formatCode>
                <c:ptCount val="4"/>
                <c:pt idx="0">
                  <c:v>1.2340039654274861E-2</c:v>
                </c:pt>
                <c:pt idx="1">
                  <c:v>4.3915210711985758E-2</c:v>
                </c:pt>
                <c:pt idx="2">
                  <c:v>1.1333444077656039E-2</c:v>
                </c:pt>
                <c:pt idx="3">
                  <c:v>1.7417130655725321E-2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C2-4DFA-8B73-4C990511C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646192"/>
        <c:axId val="498646672"/>
      </c:barChart>
      <c:catAx>
        <c:axId val="4986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46672"/>
        <c:crosses val="autoZero"/>
        <c:auto val="1"/>
        <c:lblAlgn val="ctr"/>
        <c:lblOffset val="100"/>
        <c:noMultiLvlLbl val="0"/>
      </c:catAx>
      <c:valAx>
        <c:axId val="4986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kgCO2-eq/kWh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4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844700965777334"/>
          <c:y val="0.32707592662530732"/>
          <c:w val="0.14588915220548887"/>
          <c:h val="7.6792318833205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Climate change impact (kgCO2-eq/kWh)</a:t>
            </a:r>
          </a:p>
          <a:p>
            <a:pPr>
              <a:defRPr/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'market for electricity, high voltage, FE2050' - FR</a:t>
            </a:r>
          </a:p>
        </c:rich>
      </c:tx>
      <c:layout>
        <c:manualLayout>
          <c:xMode val="edge"/>
          <c:yMode val="edge"/>
          <c:x val="0.13674736811744689"/>
          <c:y val="2.2450882066282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148986761270226"/>
          <c:y val="0.21429366932266691"/>
          <c:w val="0.75286689163854514"/>
          <c:h val="0.492633930412872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- N03 vs M0'!$G$2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M0'!$J$2,'Base - N03 vs M0'!$X$2)</c:f>
              <c:numCache>
                <c:formatCode>General</c:formatCode>
                <c:ptCount val="2"/>
                <c:pt idx="0">
                  <c:v>8.5595628134413817E-3</c:v>
                </c:pt>
                <c:pt idx="1">
                  <c:v>1.236839941812084E-2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9-4D6A-AD2D-768E416652DB}"/>
            </c:ext>
          </c:extLst>
        </c:ser>
        <c:ser>
          <c:idx val="1"/>
          <c:order val="1"/>
          <c:tx>
            <c:strRef>
              <c:f>'Base - N03 vs M0'!$G$3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M0'!$J$3,'Base - N03 vs M0'!$X$3)</c:f>
              <c:numCache>
                <c:formatCode>General</c:formatCode>
                <c:ptCount val="2"/>
                <c:pt idx="0">
                  <c:v>7.2340166433419587E-4</c:v>
                </c:pt>
                <c:pt idx="1">
                  <c:v>6.3870097424183273E-3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9-4D6A-AD2D-768E416652DB}"/>
            </c:ext>
          </c:extLst>
        </c:ser>
        <c:ser>
          <c:idx val="2"/>
          <c:order val="2"/>
          <c:tx>
            <c:strRef>
              <c:f>'Base - N03 vs M0'!$G$4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M0'!$J$4,'Base - N03 vs M0'!$X$4)</c:f>
              <c:numCache>
                <c:formatCode>General</c:formatCode>
                <c:ptCount val="2"/>
                <c:pt idx="0">
                  <c:v>9.5928442604028483E-3</c:v>
                </c:pt>
                <c:pt idx="1">
                  <c:v>1.544902651954695E-2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F9-4D6A-AD2D-768E416652DB}"/>
            </c:ext>
          </c:extLst>
        </c:ser>
        <c:ser>
          <c:idx val="3"/>
          <c:order val="3"/>
          <c:tx>
            <c:strRef>
              <c:f>'Base - N03 vs M0'!$G$5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M0'!$J$5,'Base - N03 vs M0'!$X$5)</c:f>
              <c:numCache>
                <c:formatCode>General</c:formatCode>
                <c:ptCount val="2"/>
                <c:pt idx="0">
                  <c:v>6.7934969779222612E-4</c:v>
                </c:pt>
                <c:pt idx="1">
                  <c:v>1.173702171098243E-3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F9-4D6A-AD2D-768E416652DB}"/>
            </c:ext>
          </c:extLst>
        </c:ser>
        <c:ser>
          <c:idx val="4"/>
          <c:order val="4"/>
          <c:tx>
            <c:strRef>
              <c:f>'Base - N03 vs M0'!$G$6</c:f>
              <c:strCache>
                <c:ptCount val="1"/>
                <c:pt idx="0">
                  <c:v>network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M0'!$J$6,'Base - N03 vs M0'!$X$6)</c:f>
              <c:numCache>
                <c:formatCode>General</c:formatCode>
                <c:ptCount val="2"/>
                <c:pt idx="0">
                  <c:v>8.2412247664768643E-4</c:v>
                </c:pt>
                <c:pt idx="1">
                  <c:v>8.2412612588840994E-4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F9-4D6A-AD2D-768E416652DB}"/>
            </c:ext>
          </c:extLst>
        </c:ser>
        <c:ser>
          <c:idx val="5"/>
          <c:order val="5"/>
          <c:tx>
            <c:strRef>
              <c:f>'Base - N03 vs M0'!$G$7</c:f>
              <c:strCache>
                <c:ptCount val="1"/>
                <c:pt idx="0">
                  <c:v>others : biosphere flows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M0'!$J$7,'Base - N03 vs M0'!$X$7)</c:f>
              <c:numCache>
                <c:formatCode>General</c:formatCode>
                <c:ptCount val="2"/>
                <c:pt idx="0">
                  <c:v>1.364999655221952E-3</c:v>
                </c:pt>
                <c:pt idx="1">
                  <c:v>1.3649998259192551E-3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F9-4D6A-AD2D-768E41665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0944"/>
        <c:axId val="17069984"/>
      </c:barChart>
      <c:catAx>
        <c:axId val="1707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69984"/>
        <c:crosses val="autoZero"/>
        <c:auto val="1"/>
        <c:lblAlgn val="ctr"/>
        <c:lblOffset val="100"/>
        <c:noMultiLvlLbl val="0"/>
      </c:catAx>
      <c:valAx>
        <c:axId val="170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kgCO2-eq/kWh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7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Amount FR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'Base - N03 vs M0'!$G$2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M0'!$H$2,'Base - N03 vs M0'!$V$2)</c:f>
              <c:numCache>
                <c:formatCode>General</c:formatCode>
                <c:ptCount val="2"/>
                <c:pt idx="0">
                  <c:v>0.94045641483364362</c:v>
                </c:pt>
                <c:pt idx="1">
                  <c:v>0.86085528276763223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1-4105-8E5F-F311D493E0FA}"/>
            </c:ext>
          </c:extLst>
        </c:ser>
        <c:ser>
          <c:idx val="1"/>
          <c:order val="1"/>
          <c:tx>
            <c:strRef>
              <c:f>'Base - N03 vs M0'!$G$3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M0'!$H$3,'Base - N03 vs M0'!$V$3)</c:f>
              <c:numCache>
                <c:formatCode>General</c:formatCode>
                <c:ptCount val="2"/>
                <c:pt idx="0">
                  <c:v>2.4085503535129119E-2</c:v>
                </c:pt>
                <c:pt idx="1">
                  <c:v>8.2040494344195497E-2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1-4105-8E5F-F311D493E0FA}"/>
            </c:ext>
          </c:extLst>
        </c:ser>
        <c:ser>
          <c:idx val="2"/>
          <c:order val="2"/>
          <c:tx>
            <c:strRef>
              <c:f>'Base - N03 vs M0'!$G$4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M0'!$H$4,'Base - N03 vs M0'!$V$4)</c:f>
              <c:numCache>
                <c:formatCode>General</c:formatCode>
                <c:ptCount val="2"/>
                <c:pt idx="0">
                  <c:v>3.5458081631227323E-2</c:v>
                </c:pt>
                <c:pt idx="1">
                  <c:v>5.7104222888172101E-2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11-4105-8E5F-F311D493E0FA}"/>
            </c:ext>
          </c:extLst>
        </c:ser>
        <c:ser>
          <c:idx val="3"/>
          <c:order val="3"/>
          <c:tx>
            <c:strRef>
              <c:f>'Base - N03 vs M0'!$G$5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M0'!$H$5,'Base - N03 vs M0'!$V$5)</c:f>
              <c:numCache>
                <c:formatCode>General</c:formatCode>
                <c:ptCount val="2"/>
                <c:pt idx="0">
                  <c:v>3.1242684515255099E-2</c:v>
                </c:pt>
                <c:pt idx="1">
                  <c:v>3.1242684515255099E-2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11-4105-8E5F-F311D493E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806512"/>
        <c:axId val="585807472"/>
      </c:barChart>
      <c:catAx>
        <c:axId val="58580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5807472"/>
        <c:crosses val="autoZero"/>
        <c:auto val="1"/>
        <c:lblAlgn val="ctr"/>
        <c:lblOffset val="100"/>
        <c:noMultiLvlLbl val="0"/>
      </c:catAx>
      <c:valAx>
        <c:axId val="585807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580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Climate change impact (kgCO2-eq/kWh)</a:t>
            </a:r>
          </a:p>
          <a:p>
            <a:pPr>
              <a:defRPr/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depending on electricity origin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3457401319980633"/>
          <c:y val="0.26397076735688185"/>
          <c:w val="0.83694702239889918"/>
          <c:h val="0.59384503246472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- N03 vs M0'!$E$2</c:f>
              <c:strCache>
                <c:ptCount val="1"/>
                <c:pt idx="0">
                  <c:v>N03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'Base - N03 vs M0'!$G$2:$G$5</c:f>
              <c:strCache>
                <c:ptCount val="4"/>
                <c:pt idx="0">
                  <c:v>direct electricity production in France</c:v>
                </c:pt>
                <c:pt idx="1">
                  <c:v>electricity injection from flexibilities</c:v>
                </c:pt>
                <c:pt idx="2">
                  <c:v>imports</c:v>
                </c:pt>
                <c:pt idx="3">
                  <c:v>losses</c:v>
                </c:pt>
              </c:strCache>
            </c:strRef>
          </c:cat>
          <c:val>
            <c:numRef>
              <c:f>'Base - N03 vs M0'!$M$2:$M$5</c:f>
              <c:numCache>
                <c:formatCode>General</c:formatCode>
                <c:ptCount val="4"/>
                <c:pt idx="0">
                  <c:v>9.1014986749337803E-3</c:v>
                </c:pt>
                <c:pt idx="1">
                  <c:v>3.0034732854104639E-2</c:v>
                </c:pt>
                <c:pt idx="2">
                  <c:v>0.27054041897051179</c:v>
                </c:pt>
                <c:pt idx="3">
                  <c:v>2.174428056784029E-2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6-42A5-8F7B-B7DBA5257D47}"/>
            </c:ext>
          </c:extLst>
        </c:ser>
        <c:ser>
          <c:idx val="1"/>
          <c:order val="1"/>
          <c:tx>
            <c:strRef>
              <c:f>'Base - N03 vs M0'!$S$2</c:f>
              <c:strCache>
                <c:ptCount val="1"/>
                <c:pt idx="0">
                  <c:v>M0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'Base - N03 vs M0'!$G$2:$G$5</c:f>
              <c:strCache>
                <c:ptCount val="4"/>
                <c:pt idx="0">
                  <c:v>direct electricity production in France</c:v>
                </c:pt>
                <c:pt idx="1">
                  <c:v>electricity injection from flexibilities</c:v>
                </c:pt>
                <c:pt idx="2">
                  <c:v>imports</c:v>
                </c:pt>
                <c:pt idx="3">
                  <c:v>losses</c:v>
                </c:pt>
              </c:strCache>
            </c:strRef>
          </c:cat>
          <c:val>
            <c:numRef>
              <c:f>'Base - N03 vs M0'!$AA$2:$AA$5</c:f>
              <c:numCache>
                <c:formatCode>General</c:formatCode>
                <c:ptCount val="4"/>
                <c:pt idx="0">
                  <c:v>1.4367571025825259E-2</c:v>
                </c:pt>
                <c:pt idx="1">
                  <c:v>7.7851916830511139E-2</c:v>
                </c:pt>
                <c:pt idx="2">
                  <c:v>0.2705408766318555</c:v>
                </c:pt>
                <c:pt idx="3">
                  <c:v>3.7567263802992031E-2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6-42A5-8F7B-B7DBA5257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646192"/>
        <c:axId val="498646672"/>
      </c:barChart>
      <c:catAx>
        <c:axId val="4986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46672"/>
        <c:crosses val="autoZero"/>
        <c:auto val="1"/>
        <c:lblAlgn val="ctr"/>
        <c:lblOffset val="100"/>
        <c:noMultiLvlLbl val="0"/>
      </c:catAx>
      <c:valAx>
        <c:axId val="4986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kgCO2-eq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4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02269449328543"/>
          <c:y val="0.27811138711193373"/>
          <c:w val="0.14588915220548887"/>
          <c:h val="7.3290390181712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Absolute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- N03 vs M0'!$G$2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M0'!$M$2,'Base - N03 vs M0'!$AA$2)</c:f>
              <c:numCache>
                <c:formatCode>General</c:formatCode>
                <c:ptCount val="2"/>
                <c:pt idx="0">
                  <c:v>9.1014986749337803E-3</c:v>
                </c:pt>
                <c:pt idx="1">
                  <c:v>1.4367571025825259E-2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F-4B17-812D-06C3D0BF390C}"/>
            </c:ext>
          </c:extLst>
        </c:ser>
        <c:ser>
          <c:idx val="1"/>
          <c:order val="1"/>
          <c:tx>
            <c:strRef>
              <c:f>'Base - N03 vs M0'!$G$3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M0'!$M$3,'Base - N03 vs M0'!$AA$3)</c:f>
              <c:numCache>
                <c:formatCode>General</c:formatCode>
                <c:ptCount val="2"/>
                <c:pt idx="0">
                  <c:v>3.0034732854104639E-2</c:v>
                </c:pt>
                <c:pt idx="1">
                  <c:v>7.7851916830511139E-2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8F-4B17-812D-06C3D0BF390C}"/>
            </c:ext>
          </c:extLst>
        </c:ser>
        <c:ser>
          <c:idx val="2"/>
          <c:order val="2"/>
          <c:tx>
            <c:strRef>
              <c:f>'Base - N03 vs M0'!$G$4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M0'!$M$4,'Base - N03 vs M0'!$AA$4)</c:f>
              <c:numCache>
                <c:formatCode>General</c:formatCode>
                <c:ptCount val="2"/>
                <c:pt idx="0">
                  <c:v>0.27054041897051179</c:v>
                </c:pt>
                <c:pt idx="1">
                  <c:v>0.2705408766318555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8F-4B17-812D-06C3D0BF390C}"/>
            </c:ext>
          </c:extLst>
        </c:ser>
        <c:ser>
          <c:idx val="3"/>
          <c:order val="3"/>
          <c:tx>
            <c:strRef>
              <c:f>'Base - N03 vs M0'!$G$5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M0'!$M$5,'Base - N03 vs M0'!$AA$5)</c:f>
              <c:numCache>
                <c:formatCode>General</c:formatCode>
                <c:ptCount val="2"/>
                <c:pt idx="0">
                  <c:v>2.174428056784029E-2</c:v>
                </c:pt>
                <c:pt idx="1">
                  <c:v>3.7567263802992031E-2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8F-4B17-812D-06C3D0BF3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888112"/>
        <c:axId val="496885712"/>
      </c:barChart>
      <c:catAx>
        <c:axId val="49688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885712"/>
        <c:crosses val="autoZero"/>
        <c:auto val="1"/>
        <c:lblAlgn val="ctr"/>
        <c:lblOffset val="100"/>
        <c:noMultiLvlLbl val="0"/>
      </c:catAx>
      <c:valAx>
        <c:axId val="4968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88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006780402449682E-2"/>
          <c:y val="0.79513779527559059"/>
          <c:w val="0.77520445394746906"/>
          <c:h val="0.144135133946245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Impact CO2/kWh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'elec 1 kWh'!$E$2</c:f>
              <c:strCache>
                <c:ptCount val="1"/>
                <c:pt idx="0">
                  <c:v>M0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92D050"/>
              </a:solidFill>
              <a:ln w="9525">
                <a:solidFill>
                  <a:srgbClr val="92D050">
                    <a:alpha val="94000"/>
                  </a:srgbClr>
                </a:solidFill>
              </a:ln>
              <a:effectLst/>
            </c:spPr>
          </c:marker>
          <c:yVal>
            <c:numRef>
              <c:f>'elec 1 kWh'!$I$2:$I$3</c:f>
              <c:numCache>
                <c:formatCode>General</c:formatCode>
                <c:ptCount val="2"/>
                <c:pt idx="0">
                  <c:v>17.41713065572533</c:v>
                </c:pt>
                <c:pt idx="1">
                  <c:v>37.567263802992052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7-40CE-9A60-86550F04B96C}"/>
            </c:ext>
          </c:extLst>
        </c:ser>
        <c:ser>
          <c:idx val="1"/>
          <c:order val="1"/>
          <c:tx>
            <c:strRef>
              <c:f>'elec 1 kWh'!$E$6</c:f>
              <c:strCache>
                <c:ptCount val="1"/>
                <c:pt idx="0">
                  <c:v>N03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alpha val="99000"/>
                  </a:schemeClr>
                </a:solidFill>
              </a:ln>
              <a:effectLst/>
            </c:spPr>
          </c:marker>
          <c:yVal>
            <c:numRef>
              <c:f>'elec 1 kWh'!$I$6:$I$7</c:f>
              <c:numCache>
                <c:formatCode>General</c:formatCode>
                <c:ptCount val="2"/>
                <c:pt idx="0">
                  <c:v>10.017872581294601</c:v>
                </c:pt>
                <c:pt idx="1">
                  <c:v>21.744280567840271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7-40CE-9A60-86550F04B96C}"/>
            </c:ext>
          </c:extLst>
        </c:ser>
        <c:ser>
          <c:idx val="2"/>
          <c:order val="2"/>
          <c:tx>
            <c:strRef>
              <c:f>'elec 1 kWh'!$E$14</c:f>
              <c:strCache>
                <c:ptCount val="1"/>
                <c:pt idx="0">
                  <c:v>M0 prod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'elec 1 kWh'!$I$14:$I$15</c:f>
              <c:numCache>
                <c:formatCode>General</c:formatCode>
                <c:ptCount val="2"/>
                <c:pt idx="0">
                  <c:v>12.34003978551082</c:v>
                </c:pt>
                <c:pt idx="1">
                  <c:v>14.367571172169779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87-40CE-9A60-86550F04B96C}"/>
            </c:ext>
          </c:extLst>
        </c:ser>
        <c:ser>
          <c:idx val="3"/>
          <c:order val="3"/>
          <c:tx>
            <c:strRef>
              <c:f>'elec 1 kWh'!$E$18</c:f>
              <c:strCache>
                <c:ptCount val="1"/>
                <c:pt idx="0">
                  <c:v>N03 prod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6">
                  <a:alpha val="96000"/>
                </a:schemeClr>
              </a:solidFill>
              <a:ln w="9525">
                <a:solidFill>
                  <a:schemeClr val="accent6">
                    <a:alpha val="90000"/>
                  </a:schemeClr>
                </a:solidFill>
              </a:ln>
              <a:effectLst/>
            </c:spPr>
          </c:marker>
          <c:yVal>
            <c:numRef>
              <c:f>'elec 1 kWh'!$I$18:$I$19</c:f>
              <c:numCache>
                <c:formatCode>General</c:formatCode>
                <c:ptCount val="2"/>
                <c:pt idx="0">
                  <c:v>7.4011479488635192</c:v>
                </c:pt>
                <c:pt idx="1">
                  <c:v>9.1014985869846488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87-40CE-9A60-86550F04B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003200"/>
        <c:axId val="1030000320"/>
      </c:scatterChart>
      <c:valAx>
        <c:axId val="103000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RCP 45</a:t>
                </a:r>
                <a:r>
                  <a:rPr lang="fr-FR" baseline="0"/>
                  <a:t>                                    Base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36152777777777784"/>
              <c:y val="0.9061820179454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000320"/>
        <c:crosses val="autoZero"/>
        <c:crossBetween val="midCat"/>
      </c:valAx>
      <c:valAx>
        <c:axId val="103000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00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48986761270226"/>
          <c:y val="6.8362935891830359E-2"/>
          <c:w val="0.75286689163854514"/>
          <c:h val="0.574953831322574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- N03 vs M0'!$G$66</c:f>
              <c:strCache>
                <c:ptCount val="1"/>
                <c:pt idx="0">
                  <c:v>production directe d'électricité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M0'!$J$2,'Base - N03 vs M0'!$X$2)</c:f>
              <c:numCache>
                <c:formatCode>General</c:formatCode>
                <c:ptCount val="2"/>
                <c:pt idx="0">
                  <c:v>8.5595628134413817E-3</c:v>
                </c:pt>
                <c:pt idx="1">
                  <c:v>1.236839941812084E-2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1-432B-A146-5112BE5EDD99}"/>
            </c:ext>
          </c:extLst>
        </c:ser>
        <c:ser>
          <c:idx val="1"/>
          <c:order val="1"/>
          <c:tx>
            <c:strRef>
              <c:f>'Base - N03 vs M0'!$G$65</c:f>
              <c:strCache>
                <c:ptCount val="1"/>
                <c:pt idx="0">
                  <c:v>injection d'électricité par les technologies de stockage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M0'!$J$3,'Base - N03 vs M0'!$X$3)</c:f>
              <c:numCache>
                <c:formatCode>General</c:formatCode>
                <c:ptCount val="2"/>
                <c:pt idx="0">
                  <c:v>7.2340166433419587E-4</c:v>
                </c:pt>
                <c:pt idx="1">
                  <c:v>6.3870097424183273E-3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1-432B-A146-5112BE5EDD99}"/>
            </c:ext>
          </c:extLst>
        </c:ser>
        <c:ser>
          <c:idx val="2"/>
          <c:order val="2"/>
          <c:tx>
            <c:strRef>
              <c:f>'Base - N03 vs M0'!$G$4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M0'!$J$4,'Base - N03 vs M0'!$X$4)</c:f>
              <c:numCache>
                <c:formatCode>General</c:formatCode>
                <c:ptCount val="2"/>
                <c:pt idx="0">
                  <c:v>9.5928442604028483E-3</c:v>
                </c:pt>
                <c:pt idx="1">
                  <c:v>1.544902651954695E-2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1-432B-A146-5112BE5EDD99}"/>
            </c:ext>
          </c:extLst>
        </c:ser>
        <c:ser>
          <c:idx val="3"/>
          <c:order val="3"/>
          <c:tx>
            <c:strRef>
              <c:f>'Base - N03 vs M0'!$G$63</c:f>
              <c:strCache>
                <c:ptCount val="1"/>
                <c:pt idx="0">
                  <c:v>pertes électriques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M0'!$J$5,'Base - N03 vs M0'!$X$5)</c:f>
              <c:numCache>
                <c:formatCode>General</c:formatCode>
                <c:ptCount val="2"/>
                <c:pt idx="0">
                  <c:v>6.7934969779222612E-4</c:v>
                </c:pt>
                <c:pt idx="1">
                  <c:v>1.173702171098243E-3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61-432B-A146-5112BE5EDD99}"/>
            </c:ext>
          </c:extLst>
        </c:ser>
        <c:ser>
          <c:idx val="4"/>
          <c:order val="4"/>
          <c:tx>
            <c:strRef>
              <c:f>'Base - N03 vs M0'!$G$62</c:f>
              <c:strCache>
                <c:ptCount val="1"/>
                <c:pt idx="0">
                  <c:v>infrastructure du réseau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M0'!$J$6,'Base - N03 vs M0'!$X$6)</c:f>
              <c:numCache>
                <c:formatCode>General</c:formatCode>
                <c:ptCount val="2"/>
                <c:pt idx="0">
                  <c:v>8.2412247664768643E-4</c:v>
                </c:pt>
                <c:pt idx="1">
                  <c:v>8.2412612588840994E-4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61-432B-A146-5112BE5EDD99}"/>
            </c:ext>
          </c:extLst>
        </c:ser>
        <c:ser>
          <c:idx val="5"/>
          <c:order val="5"/>
          <c:tx>
            <c:strRef>
              <c:f>'Base - N03 vs M0'!$G$61</c:f>
              <c:strCache>
                <c:ptCount val="1"/>
                <c:pt idx="0">
                  <c:v>autres: flux de biosphère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('Base - N03 vs M0'!$E$2,'Base - N03 vs M0'!$S$2)</c:f>
              <c:strCache>
                <c:ptCount val="2"/>
                <c:pt idx="0">
                  <c:v>N03</c:v>
                </c:pt>
                <c:pt idx="1">
                  <c:v>M0</c:v>
                </c:pt>
              </c:strCache>
            </c:strRef>
          </c:cat>
          <c:val>
            <c:numRef>
              <c:f>('Base - N03 vs M0'!$J$7,'Base - N03 vs M0'!$X$7)</c:f>
              <c:numCache>
                <c:formatCode>General</c:formatCode>
                <c:ptCount val="2"/>
                <c:pt idx="0">
                  <c:v>1.364999655221952E-3</c:v>
                </c:pt>
                <c:pt idx="1">
                  <c:v>1.3649998259192551E-3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61-432B-A146-5112BE5ED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0944"/>
        <c:axId val="17069984"/>
      </c:barChart>
      <c:catAx>
        <c:axId val="1707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69984"/>
        <c:crosses val="autoZero"/>
        <c:auto val="1"/>
        <c:lblAlgn val="ctr"/>
        <c:lblOffset val="100"/>
        <c:noMultiLvlLbl val="0"/>
      </c:catAx>
      <c:valAx>
        <c:axId val="170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kgCO2-eq/kWh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7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938612049390526"/>
          <c:y val="0.71874746906636666"/>
          <c:w val="0.75835809261288534"/>
          <c:h val="0.259823959505061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8070229085442"/>
          <c:y val="9.3447015834348363E-2"/>
          <c:w val="0.83694702239889918"/>
          <c:h val="0.68161585161172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- N03 vs M0'!$E$2</c:f>
              <c:strCache>
                <c:ptCount val="1"/>
                <c:pt idx="0">
                  <c:v>N03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'Base - N03 vs M0'!$U$61:$U$64</c:f>
              <c:strCache>
                <c:ptCount val="4"/>
                <c:pt idx="0">
                  <c:v>production directe d'électricité</c:v>
                </c:pt>
                <c:pt idx="1">
                  <c:v>injection d'électricité par les technologies de stockage</c:v>
                </c:pt>
                <c:pt idx="2">
                  <c:v>imports</c:v>
                </c:pt>
                <c:pt idx="3">
                  <c:v>pertes électriques</c:v>
                </c:pt>
              </c:strCache>
            </c:strRef>
          </c:cat>
          <c:val>
            <c:numRef>
              <c:f>'Base - N03 vs M0'!$M$2:$M$5</c:f>
              <c:numCache>
                <c:formatCode>General</c:formatCode>
                <c:ptCount val="4"/>
                <c:pt idx="0">
                  <c:v>9.1014986749337803E-3</c:v>
                </c:pt>
                <c:pt idx="1">
                  <c:v>3.0034732854104639E-2</c:v>
                </c:pt>
                <c:pt idx="2">
                  <c:v>0.27054041897051179</c:v>
                </c:pt>
                <c:pt idx="3">
                  <c:v>2.174428056784029E-2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F-4B1A-899C-65E498737BB0}"/>
            </c:ext>
          </c:extLst>
        </c:ser>
        <c:ser>
          <c:idx val="1"/>
          <c:order val="1"/>
          <c:tx>
            <c:strRef>
              <c:f>'Base - N03 vs M0'!$S$2</c:f>
              <c:strCache>
                <c:ptCount val="1"/>
                <c:pt idx="0">
                  <c:v>M0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'Base - N03 vs M0'!$U$61:$U$64</c:f>
              <c:strCache>
                <c:ptCount val="4"/>
                <c:pt idx="0">
                  <c:v>production directe d'électricité</c:v>
                </c:pt>
                <c:pt idx="1">
                  <c:v>injection d'électricité par les technologies de stockage</c:v>
                </c:pt>
                <c:pt idx="2">
                  <c:v>imports</c:v>
                </c:pt>
                <c:pt idx="3">
                  <c:v>pertes électriques</c:v>
                </c:pt>
              </c:strCache>
            </c:strRef>
          </c:cat>
          <c:val>
            <c:numRef>
              <c:f>'Base - N03 vs M0'!$AA$2:$AA$5</c:f>
              <c:numCache>
                <c:formatCode>General</c:formatCode>
                <c:ptCount val="4"/>
                <c:pt idx="0">
                  <c:v>1.4367571025825259E-2</c:v>
                </c:pt>
                <c:pt idx="1">
                  <c:v>7.7851916830511139E-2</c:v>
                </c:pt>
                <c:pt idx="2">
                  <c:v>0.2705408766318555</c:v>
                </c:pt>
                <c:pt idx="3">
                  <c:v>3.7567263802992031E-2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DF-4B1A-899C-65E498737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646192"/>
        <c:axId val="498646672"/>
      </c:barChart>
      <c:catAx>
        <c:axId val="4986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46672"/>
        <c:crosses val="autoZero"/>
        <c:auto val="1"/>
        <c:lblAlgn val="ctr"/>
        <c:lblOffset val="100"/>
        <c:noMultiLvlLbl val="0"/>
      </c:catAx>
      <c:valAx>
        <c:axId val="4986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kgCO2-eq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4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02269449328543"/>
          <c:y val="0.27811138711193373"/>
          <c:w val="0.14588915220548887"/>
          <c:h val="7.3290390181712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Climate change impact (kgCO2-eq/kWh)</a:t>
            </a:r>
          </a:p>
          <a:p>
            <a:pPr>
              <a:defRPr/>
            </a:pPr>
            <a:r>
              <a:rPr lang="fr-FR"/>
              <a:t>'market</a:t>
            </a:r>
            <a:r>
              <a:rPr lang="fr-FR" baseline="0"/>
              <a:t> for electricity, high voltage, FE2050' - FR</a:t>
            </a:r>
            <a:endParaRPr lang="fr-FR"/>
          </a:p>
        </c:rich>
      </c:tx>
      <c:layout>
        <c:manualLayout>
          <c:xMode val="edge"/>
          <c:yMode val="edge"/>
          <c:x val="9.074906898773577E-2"/>
          <c:y val="3.7369376225741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'N1 - RCP45 vs Base'!$G$2</c:f>
              <c:strCache>
                <c:ptCount val="1"/>
                <c:pt idx="0">
                  <c:v>direct electricity production in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Base'!$J$2,'N1 - RCP45 vs Base'!$X$2)</c:f>
              <c:numCache>
                <c:formatCode>General</c:formatCode>
                <c:ptCount val="2"/>
                <c:pt idx="0">
                  <c:v>8.6307558605480082E-3</c:v>
                </c:pt>
                <c:pt idx="1">
                  <c:v>1.0269282289317691E-2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C-4E7E-953F-F4E806B36B10}"/>
            </c:ext>
          </c:extLst>
        </c:ser>
        <c:ser>
          <c:idx val="1"/>
          <c:order val="1"/>
          <c:tx>
            <c:strRef>
              <c:f>'N1 - RCP45 vs Base'!$G$3</c:f>
              <c:strCache>
                <c:ptCount val="1"/>
                <c:pt idx="0">
                  <c:v>electricity injection from flexibilities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Base'!$J$3,'N1 - RCP45 vs Base'!$X$3)</c:f>
              <c:numCache>
                <c:formatCode>General</c:formatCode>
                <c:ptCount val="2"/>
                <c:pt idx="0">
                  <c:v>1.3300306790061699E-3</c:v>
                </c:pt>
                <c:pt idx="1">
                  <c:v>2.423813805666811E-3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C-4E7E-953F-F4E806B36B10}"/>
            </c:ext>
          </c:extLst>
        </c:ser>
        <c:ser>
          <c:idx val="2"/>
          <c:order val="2"/>
          <c:tx>
            <c:strRef>
              <c:f>'N1 - RCP45 vs Base'!$G$4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Base'!$J$4,'N1 - RCP45 vs Base'!$X$4)</c:f>
              <c:numCache>
                <c:formatCode>General</c:formatCode>
                <c:ptCount val="2"/>
                <c:pt idx="0">
                  <c:v>5.2412578030263659E-4</c:v>
                </c:pt>
                <c:pt idx="1">
                  <c:v>1.251167244888981E-2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CC-4E7E-953F-F4E806B36B10}"/>
            </c:ext>
          </c:extLst>
        </c:ser>
        <c:ser>
          <c:idx val="3"/>
          <c:order val="3"/>
          <c:tx>
            <c:strRef>
              <c:f>'N1 - RCP45 vs Base'!$G$5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Base'!$J$5,'N1 - RCP45 vs Base'!$X$5)</c:f>
              <c:numCache>
                <c:formatCode>General</c:formatCode>
                <c:ptCount val="2"/>
                <c:pt idx="0">
                  <c:v>4.026408275910699E-4</c:v>
                </c:pt>
                <c:pt idx="1">
                  <c:v>8.8346042747597744E-4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CC-4E7E-953F-F4E806B36B10}"/>
            </c:ext>
          </c:extLst>
        </c:ser>
        <c:ser>
          <c:idx val="4"/>
          <c:order val="4"/>
          <c:tx>
            <c:strRef>
              <c:f>'N1 - RCP45 vs Base'!$G$6</c:f>
              <c:strCache>
                <c:ptCount val="1"/>
                <c:pt idx="0">
                  <c:v>network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Base'!$J$6,'N1 - RCP45 vs Base'!$X$6)</c:f>
              <c:numCache>
                <c:formatCode>General</c:formatCode>
                <c:ptCount val="2"/>
                <c:pt idx="0">
                  <c:v>6.3497027616850354E-4</c:v>
                </c:pt>
                <c:pt idx="1">
                  <c:v>8.2412398336450718E-4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CC-4E7E-953F-F4E806B36B10}"/>
            </c:ext>
          </c:extLst>
        </c:ser>
        <c:ser>
          <c:idx val="5"/>
          <c:order val="5"/>
          <c:tx>
            <c:strRef>
              <c:f>'N1 - RCP45 vs Base'!$G$7</c:f>
              <c:strCache>
                <c:ptCount val="1"/>
                <c:pt idx="0">
                  <c:v>others : biosphere flows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('N1 - RCP45 vs Base'!$D$2,'N1 - RCP45 vs Base'!$R$2)</c:f>
              <c:strCache>
                <c:ptCount val="2"/>
                <c:pt idx="0">
                  <c:v>RCP45</c:v>
                </c:pt>
                <c:pt idx="1">
                  <c:v>Base</c:v>
                </c:pt>
              </c:strCache>
            </c:strRef>
          </c:cat>
          <c:val>
            <c:numRef>
              <c:f>('N1 - RCP45 vs Base'!$J$7,'N1 - RCP45 vs Base'!$X$7)</c:f>
              <c:numCache>
                <c:formatCode>General</c:formatCode>
                <c:ptCount val="2"/>
                <c:pt idx="0">
                  <c:v>1.3649999706831469E-3</c:v>
                </c:pt>
                <c:pt idx="1">
                  <c:v>1.3650003260061269E-3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CC-4E7E-953F-F4E806B36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0944"/>
        <c:axId val="17069984"/>
      </c:barChart>
      <c:catAx>
        <c:axId val="1707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69984"/>
        <c:crosses val="autoZero"/>
        <c:auto val="1"/>
        <c:lblAlgn val="ctr"/>
        <c:lblOffset val="100"/>
        <c:noMultiLvlLbl val="0"/>
      </c:catAx>
      <c:valAx>
        <c:axId val="17069984"/>
        <c:scaling>
          <c:orientation val="minMax"/>
          <c:max val="1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kgCO2-eq/kWh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7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1</xdr:row>
      <xdr:rowOff>152400</xdr:rowOff>
    </xdr:from>
    <xdr:to>
      <xdr:col>29</xdr:col>
      <xdr:colOff>2559050</xdr:colOff>
      <xdr:row>27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D61EB5B-8351-8E59-FD0A-7DA788F98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107950</xdr:colOff>
      <xdr:row>0</xdr:row>
      <xdr:rowOff>63500</xdr:rowOff>
    </xdr:from>
    <xdr:to>
      <xdr:col>18</xdr:col>
      <xdr:colOff>412750</xdr:colOff>
      <xdr:row>18</xdr:row>
      <xdr:rowOff>25400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C71BC2B-5304-4DE6-BE38-8C764DE62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127000</xdr:colOff>
      <xdr:row>18</xdr:row>
      <xdr:rowOff>69850</xdr:rowOff>
    </xdr:from>
    <xdr:to>
      <xdr:col>18</xdr:col>
      <xdr:colOff>431800</xdr:colOff>
      <xdr:row>36</xdr:row>
      <xdr:rowOff>31750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F22B987-80E4-41D4-9B61-2B29B17B3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946150</xdr:colOff>
      <xdr:row>12</xdr:row>
      <xdr:rowOff>0</xdr:rowOff>
    </xdr:from>
    <xdr:to>
      <xdr:col>18</xdr:col>
      <xdr:colOff>565150</xdr:colOff>
      <xdr:row>26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4807CB6-F355-C639-D786-44D6E42B2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885825</xdr:colOff>
      <xdr:row>11</xdr:row>
      <xdr:rowOff>114300</xdr:rowOff>
    </xdr:from>
    <xdr:to>
      <xdr:col>21</xdr:col>
      <xdr:colOff>79375</xdr:colOff>
      <xdr:row>26</xdr:row>
      <xdr:rowOff>95250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236111B-C193-EC2A-A80F-C9BB079F1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358775</xdr:colOff>
      <xdr:row>10</xdr:row>
      <xdr:rowOff>142874</xdr:rowOff>
    </xdr:from>
    <xdr:to>
      <xdr:col>15</xdr:col>
      <xdr:colOff>292100</xdr:colOff>
      <xdr:row>29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FFE25B9-97B5-47A4-9345-72C678A3E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485775</xdr:colOff>
      <xdr:row>10</xdr:row>
      <xdr:rowOff>152400</xdr:rowOff>
    </xdr:from>
    <xdr:to>
      <xdr:col>21</xdr:col>
      <xdr:colOff>546100</xdr:colOff>
      <xdr:row>28</xdr:row>
      <xdr:rowOff>171450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3CC4DDF-35A8-4FF7-B6D6-DEBCF3550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752474</xdr:colOff>
      <xdr:row>10</xdr:row>
      <xdr:rowOff>149224</xdr:rowOff>
    </xdr:from>
    <xdr:to>
      <xdr:col>28</xdr:col>
      <xdr:colOff>323849</xdr:colOff>
      <xdr:row>31</xdr:row>
      <xdr:rowOff>63499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DE49A20-AD08-4AB3-8C8D-04426B883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746124</xdr:colOff>
      <xdr:row>31</xdr:row>
      <xdr:rowOff>130174</xdr:rowOff>
    </xdr:from>
    <xdr:to>
      <xdr:col>28</xdr:col>
      <xdr:colOff>311149</xdr:colOff>
      <xdr:row>47</xdr:row>
      <xdr:rowOff>25399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9A69B1F1-CBBA-45C9-A3E4-4754C94B7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273050</xdr:colOff>
      <xdr:row>10</xdr:row>
      <xdr:rowOff>152400</xdr:rowOff>
    </xdr:from>
    <xdr:to>
      <xdr:col>9</xdr:col>
      <xdr:colOff>146050</xdr:colOff>
      <xdr:row>28</xdr:row>
      <xdr:rowOff>114300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B827589-F28D-4C59-9A74-5E387A296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69851</xdr:colOff>
      <xdr:row>9</xdr:row>
      <xdr:rowOff>101600</xdr:rowOff>
    </xdr:from>
    <xdr:to>
      <xdr:col>15</xdr:col>
      <xdr:colOff>247651</xdr:colOff>
      <xdr:row>28</xdr:row>
      <xdr:rowOff>19050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B233B65-64CD-475F-8D79-CA78133E4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50800</xdr:rowOff>
    </xdr:from>
    <xdr:to>
      <xdr:col>7</xdr:col>
      <xdr:colOff>647700</xdr:colOff>
      <xdr:row>28</xdr:row>
      <xdr:rowOff>38100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2ECC9E6-C3B8-4E04-A73F-2E4654B0E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171451</xdr:colOff>
      <xdr:row>9</xdr:row>
      <xdr:rowOff>158750</xdr:rowOff>
    </xdr:from>
    <xdr:to>
      <xdr:col>22</xdr:col>
      <xdr:colOff>82550</xdr:colOff>
      <xdr:row>33</xdr:row>
      <xdr:rowOff>82550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E70F2EA-2603-C8E7-92A9-759618092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752474</xdr:colOff>
      <xdr:row>10</xdr:row>
      <xdr:rowOff>149224</xdr:rowOff>
    </xdr:from>
    <xdr:to>
      <xdr:col>28</xdr:col>
      <xdr:colOff>323849</xdr:colOff>
      <xdr:row>31</xdr:row>
      <xdr:rowOff>63499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7FF49FA5-8A81-56B8-CDF0-BE2705E75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746124</xdr:colOff>
      <xdr:row>31</xdr:row>
      <xdr:rowOff>130174</xdr:rowOff>
    </xdr:from>
    <xdr:to>
      <xdr:col>28</xdr:col>
      <xdr:colOff>311149</xdr:colOff>
      <xdr:row>47</xdr:row>
      <xdr:rowOff>25399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E5F821EE-BF82-7839-DE9E-50BEA4962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6350</xdr:colOff>
      <xdr:row>50</xdr:row>
      <xdr:rowOff>133350</xdr:rowOff>
    </xdr:from>
    <xdr:to>
      <xdr:col>14</xdr:col>
      <xdr:colOff>63499</xdr:colOff>
      <xdr:row>66</xdr:row>
      <xdr:rowOff>101600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2AC2B86-F9A9-40A6-85AA-9C847C78B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0</xdr:colOff>
      <xdr:row>51</xdr:row>
      <xdr:rowOff>0</xdr:rowOff>
    </xdr:from>
    <xdr:to>
      <xdr:col>26</xdr:col>
      <xdr:colOff>6350</xdr:colOff>
      <xdr:row>67</xdr:row>
      <xdr:rowOff>50800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2B06F66-59CE-4D11-8A5D-60E3A9C62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15</xdr:col>
      <xdr:colOff>177800</xdr:colOff>
      <xdr:row>59</xdr:row>
      <xdr:rowOff>6350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096D590-F48C-479E-B515-57B8C3BB9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463550</xdr:colOff>
      <xdr:row>10</xdr:row>
      <xdr:rowOff>158750</xdr:rowOff>
    </xdr:from>
    <xdr:to>
      <xdr:col>15</xdr:col>
      <xdr:colOff>603250</xdr:colOff>
      <xdr:row>31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E7C4EE2-8002-42D0-9544-D40C58D09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511175</xdr:colOff>
      <xdr:row>10</xdr:row>
      <xdr:rowOff>152400</xdr:rowOff>
    </xdr:from>
    <xdr:to>
      <xdr:col>22</xdr:col>
      <xdr:colOff>333375</xdr:colOff>
      <xdr:row>28</xdr:row>
      <xdr:rowOff>171450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505CF10-BE3E-4F26-8A26-B2FA6D4BF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479424</xdr:colOff>
      <xdr:row>10</xdr:row>
      <xdr:rowOff>92075</xdr:rowOff>
    </xdr:from>
    <xdr:to>
      <xdr:col>29</xdr:col>
      <xdr:colOff>50799</xdr:colOff>
      <xdr:row>25</xdr:row>
      <xdr:rowOff>120651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5A67D29-D063-4BE0-8615-4B5A38955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746124</xdr:colOff>
      <xdr:row>31</xdr:row>
      <xdr:rowOff>130174</xdr:rowOff>
    </xdr:from>
    <xdr:to>
      <xdr:col>28</xdr:col>
      <xdr:colOff>311149</xdr:colOff>
      <xdr:row>47</xdr:row>
      <xdr:rowOff>25399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93DE79AB-72B6-4174-8520-1B80BAA89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</xdr:row>
      <xdr:rowOff>139700</xdr:rowOff>
    </xdr:from>
    <xdr:to>
      <xdr:col>7</xdr:col>
      <xdr:colOff>609600</xdr:colOff>
      <xdr:row>28</xdr:row>
      <xdr:rowOff>101600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48DE742-C137-45BA-B2A2-ACD9630CE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361950</xdr:colOff>
      <xdr:row>47</xdr:row>
      <xdr:rowOff>101600</xdr:rowOff>
    </xdr:from>
    <xdr:to>
      <xdr:col>22</xdr:col>
      <xdr:colOff>180975</xdr:colOff>
      <xdr:row>65</xdr:row>
      <xdr:rowOff>120650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DF332A6-4373-433C-A63D-F1AA24982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46</xdr:row>
      <xdr:rowOff>0</xdr:rowOff>
    </xdr:from>
    <xdr:to>
      <xdr:col>15</xdr:col>
      <xdr:colOff>139700</xdr:colOff>
      <xdr:row>67</xdr:row>
      <xdr:rowOff>6350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6BDAC511-CB5E-4028-94A5-C52984483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0</xdr:colOff>
      <xdr:row>50</xdr:row>
      <xdr:rowOff>25400</xdr:rowOff>
    </xdr:from>
    <xdr:to>
      <xdr:col>32</xdr:col>
      <xdr:colOff>365125</xdr:colOff>
      <xdr:row>65</xdr:row>
      <xdr:rowOff>53976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98BCAC0-8152-4B55-A56F-BB95EC027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266701</xdr:colOff>
      <xdr:row>10</xdr:row>
      <xdr:rowOff>142874</xdr:rowOff>
    </xdr:from>
    <xdr:to>
      <xdr:col>15</xdr:col>
      <xdr:colOff>292101</xdr:colOff>
      <xdr:row>29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F4460D7-D12F-4CF8-B543-4A3BBEF7F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485775</xdr:colOff>
      <xdr:row>10</xdr:row>
      <xdr:rowOff>152400</xdr:rowOff>
    </xdr:from>
    <xdr:to>
      <xdr:col>21</xdr:col>
      <xdr:colOff>546100</xdr:colOff>
      <xdr:row>28</xdr:row>
      <xdr:rowOff>171450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AF152AC-A253-48A8-B7E4-3F74F23DB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663574</xdr:colOff>
      <xdr:row>12</xdr:row>
      <xdr:rowOff>73025</xdr:rowOff>
    </xdr:from>
    <xdr:to>
      <xdr:col>28</xdr:col>
      <xdr:colOff>234949</xdr:colOff>
      <xdr:row>26</xdr:row>
      <xdr:rowOff>101600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9F2D633-9D08-4E37-93AD-EF9AF1FD5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746124</xdr:colOff>
      <xdr:row>31</xdr:row>
      <xdr:rowOff>130174</xdr:rowOff>
    </xdr:from>
    <xdr:to>
      <xdr:col>28</xdr:col>
      <xdr:colOff>311149</xdr:colOff>
      <xdr:row>47</xdr:row>
      <xdr:rowOff>25399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85CAF2A-5C0A-4859-BF99-96E372A07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</xdr:row>
      <xdr:rowOff>139700</xdr:rowOff>
    </xdr:from>
    <xdr:to>
      <xdr:col>7</xdr:col>
      <xdr:colOff>609600</xdr:colOff>
      <xdr:row>28</xdr:row>
      <xdr:rowOff>101600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B800DA5-AEDA-4490-986F-D882981FD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50</xdr:row>
      <xdr:rowOff>0</xdr:rowOff>
    </xdr:from>
    <xdr:to>
      <xdr:col>16</xdr:col>
      <xdr:colOff>0</xdr:colOff>
      <xdr:row>69</xdr:row>
      <xdr:rowOff>57150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64F16958-5916-46F8-9C4E-84F7403B3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292100</xdr:colOff>
      <xdr:row>54</xdr:row>
      <xdr:rowOff>146050</xdr:rowOff>
    </xdr:from>
    <xdr:to>
      <xdr:col>25</xdr:col>
      <xdr:colOff>650875</xdr:colOff>
      <xdr:row>68</xdr:row>
      <xdr:rowOff>174625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93DBC9AB-6276-4E97-8E65-D1DEE2E11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6350</xdr:colOff>
      <xdr:row>28</xdr:row>
      <xdr:rowOff>6350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301CBC2-5E82-4943-9A13-CB3567791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A5DD-62F6-4558-8288-10578A686DAB}">
  <dimension ref="A1:AI22"/>
  <sheetViews>
    <sheetView tabSelected="1" topLeftCell="C9" workbookViewId="0">
      <selection activeCell="E25" sqref="E25"/>
    </sheetView>
  </sheetViews>
  <sheetFormatPr baseColWidth="10" defaultRowHeight="14.5" x14ac:dyDescent="0.35"/>
  <cols>
    <col min="7" max="7" width="10.90625" customWidth="1"/>
    <col min="8" max="12" width="10.90625" hidden="1" customWidth="1"/>
    <col min="13" max="13" width="9.81640625" customWidth="1"/>
    <col min="14" max="26" width="10.90625" hidden="1" customWidth="1"/>
    <col min="27" max="27" width="10.1796875" customWidth="1"/>
    <col min="28" max="28" width="10.90625" hidden="1" customWidth="1"/>
    <col min="30" max="30" width="42.81640625" customWidth="1"/>
  </cols>
  <sheetData>
    <row r="1" spans="1:35" x14ac:dyDescent="0.35">
      <c r="A1" s="30"/>
      <c r="B1" s="31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1" t="s">
        <v>27</v>
      </c>
      <c r="I1" s="31" t="s">
        <v>28</v>
      </c>
      <c r="J1" s="31" t="s">
        <v>6</v>
      </c>
      <c r="K1" s="31" t="s">
        <v>29</v>
      </c>
      <c r="L1" s="31" t="s">
        <v>30</v>
      </c>
      <c r="M1" s="31" t="s">
        <v>31</v>
      </c>
      <c r="N1" s="31" t="s">
        <v>32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27</v>
      </c>
      <c r="W1" s="1" t="s">
        <v>28</v>
      </c>
      <c r="X1" s="1" t="s">
        <v>6</v>
      </c>
      <c r="Y1" s="1" t="s">
        <v>29</v>
      </c>
      <c r="Z1" s="1" t="s">
        <v>30</v>
      </c>
      <c r="AA1" s="1" t="s">
        <v>31</v>
      </c>
      <c r="AB1" s="1" t="s">
        <v>32</v>
      </c>
      <c r="AF1" s="60" t="s">
        <v>18</v>
      </c>
      <c r="AG1" s="60" t="s">
        <v>19</v>
      </c>
    </row>
    <row r="2" spans="1:35" x14ac:dyDescent="0.35">
      <c r="A2" s="31">
        <v>0</v>
      </c>
      <c r="B2" s="30" t="s">
        <v>12</v>
      </c>
      <c r="C2" s="30" t="s">
        <v>16</v>
      </c>
      <c r="D2" s="30" t="s">
        <v>18</v>
      </c>
      <c r="E2" s="30" t="s">
        <v>23</v>
      </c>
      <c r="F2" s="30">
        <v>2050</v>
      </c>
      <c r="G2" s="30" t="s">
        <v>55</v>
      </c>
      <c r="H2" s="30">
        <v>0.1238413121453323</v>
      </c>
      <c r="I2" s="30" t="s">
        <v>52</v>
      </c>
      <c r="J2" s="30">
        <v>7.1700762271516597E-4</v>
      </c>
      <c r="K2" s="30" t="s">
        <v>25</v>
      </c>
      <c r="L2" s="30">
        <v>2.5356249419708279E-2</v>
      </c>
      <c r="M2" s="30">
        <v>5.7897288900955069E-3</v>
      </c>
      <c r="N2" s="30">
        <v>0.20474790665938511</v>
      </c>
      <c r="O2" s="1">
        <v>0</v>
      </c>
      <c r="P2" t="s">
        <v>13</v>
      </c>
      <c r="Q2" t="s">
        <v>16</v>
      </c>
      <c r="R2" t="s">
        <v>19</v>
      </c>
      <c r="S2" t="s">
        <v>23</v>
      </c>
      <c r="T2">
        <v>2050</v>
      </c>
      <c r="U2" t="s">
        <v>55</v>
      </c>
      <c r="V2">
        <v>0.1238413121453323</v>
      </c>
      <c r="W2" t="s">
        <v>52</v>
      </c>
      <c r="X2">
        <v>5.314383849955674E-4</v>
      </c>
      <c r="Y2" t="s">
        <v>25</v>
      </c>
      <c r="Z2">
        <v>4.123665724871816E-2</v>
      </c>
      <c r="AA2">
        <v>4.291285159930356E-3</v>
      </c>
      <c r="AB2">
        <v>0.33297981533274967</v>
      </c>
      <c r="AD2" s="30" t="s">
        <v>55</v>
      </c>
      <c r="AE2" s="30" t="s">
        <v>125</v>
      </c>
      <c r="AF2" s="30">
        <f>M2*1000</f>
        <v>5.7897288900955068</v>
      </c>
      <c r="AG2">
        <f>AA2*1000</f>
        <v>4.2912851599303563</v>
      </c>
      <c r="AH2" s="46">
        <f>(AF2-AG2)/AG2</f>
        <v>0.34918297766757334</v>
      </c>
      <c r="AI2">
        <f>(AF2-AG2)</f>
        <v>1.4984437301651505</v>
      </c>
    </row>
    <row r="3" spans="1:35" x14ac:dyDescent="0.35">
      <c r="A3" s="31">
        <v>1</v>
      </c>
      <c r="B3" s="30" t="s">
        <v>12</v>
      </c>
      <c r="C3" s="30" t="s">
        <v>16</v>
      </c>
      <c r="D3" s="30" t="s">
        <v>18</v>
      </c>
      <c r="E3" s="30" t="s">
        <v>23</v>
      </c>
      <c r="F3" s="30">
        <v>2050</v>
      </c>
      <c r="G3" s="30" t="s">
        <v>56</v>
      </c>
      <c r="H3" s="30">
        <v>0.1200885451119403</v>
      </c>
      <c r="I3" s="30" t="s">
        <v>52</v>
      </c>
      <c r="J3" s="30">
        <v>5.485924628432213E-4</v>
      </c>
      <c r="K3" s="30" t="s">
        <v>25</v>
      </c>
      <c r="L3" s="30">
        <v>1.9400417620316801E-2</v>
      </c>
      <c r="M3" s="30">
        <v>4.5682330677905359E-3</v>
      </c>
      <c r="N3" s="30">
        <v>0.16155094228373509</v>
      </c>
      <c r="O3" s="1">
        <v>1</v>
      </c>
      <c r="P3" t="s">
        <v>13</v>
      </c>
      <c r="Q3" t="s">
        <v>16</v>
      </c>
      <c r="R3" t="s">
        <v>19</v>
      </c>
      <c r="S3" t="s">
        <v>23</v>
      </c>
      <c r="T3">
        <v>2050</v>
      </c>
      <c r="U3" t="s">
        <v>56</v>
      </c>
      <c r="V3">
        <v>0.1200885451119403</v>
      </c>
      <c r="W3" t="s">
        <v>52</v>
      </c>
      <c r="X3">
        <v>3.8453148011346788E-4</v>
      </c>
      <c r="Y3" t="s">
        <v>25</v>
      </c>
      <c r="Z3">
        <v>2.9837500064873221E-2</v>
      </c>
      <c r="AA3">
        <v>3.2020662733071468E-3</v>
      </c>
      <c r="AB3">
        <v>0.2484624993754421</v>
      </c>
      <c r="AD3" s="30" t="s">
        <v>56</v>
      </c>
      <c r="AE3" s="30" t="s">
        <v>126</v>
      </c>
      <c r="AF3" s="30">
        <f t="shared" ref="AF3:AF17" si="0">M3*1000</f>
        <v>4.5682330677905361</v>
      </c>
      <c r="AG3">
        <f t="shared" ref="AG3:AG17" si="1">AA3*1000</f>
        <v>3.202066273307147</v>
      </c>
      <c r="AH3" s="46">
        <f t="shared" ref="AH3:AH10" si="2">(AF3-AG3)/AG3</f>
        <v>0.42665162987785055</v>
      </c>
      <c r="AI3">
        <f t="shared" ref="AI3:AI9" si="3">(AF3-AG3)</f>
        <v>1.3661667944833891</v>
      </c>
    </row>
    <row r="4" spans="1:35" x14ac:dyDescent="0.35">
      <c r="A4" s="31">
        <v>2</v>
      </c>
      <c r="B4" s="30" t="s">
        <v>12</v>
      </c>
      <c r="C4" s="30" t="s">
        <v>16</v>
      </c>
      <c r="D4" s="30" t="s">
        <v>18</v>
      </c>
      <c r="E4" s="30" t="s">
        <v>23</v>
      </c>
      <c r="F4" s="30">
        <v>2050</v>
      </c>
      <c r="G4" s="30" t="s">
        <v>33</v>
      </c>
      <c r="H4" s="30">
        <v>7.0702130932249987E-2</v>
      </c>
      <c r="I4" s="30" t="s">
        <v>52</v>
      </c>
      <c r="J4" s="30">
        <v>2.7127980098588588E-4</v>
      </c>
      <c r="K4" s="30" t="s">
        <v>25</v>
      </c>
      <c r="L4" s="30">
        <v>9.5935357985162065E-3</v>
      </c>
      <c r="M4" s="30">
        <v>3.8369395293875739E-3</v>
      </c>
      <c r="N4" s="30">
        <v>0.13568948590402699</v>
      </c>
      <c r="O4" s="1">
        <v>2</v>
      </c>
      <c r="P4" t="s">
        <v>13</v>
      </c>
      <c r="Q4" t="s">
        <v>16</v>
      </c>
      <c r="R4" t="s">
        <v>19</v>
      </c>
      <c r="S4" t="s">
        <v>23</v>
      </c>
      <c r="T4">
        <v>2050</v>
      </c>
      <c r="U4" t="s">
        <v>33</v>
      </c>
      <c r="V4">
        <v>7.0702130932249987E-2</v>
      </c>
      <c r="W4" t="s">
        <v>52</v>
      </c>
      <c r="X4">
        <v>1.4731852505711209E-4</v>
      </c>
      <c r="Y4" t="s">
        <v>25</v>
      </c>
      <c r="Z4">
        <v>1.143109661568292E-2</v>
      </c>
      <c r="AA4">
        <v>2.0836504234685569E-3</v>
      </c>
      <c r="AB4">
        <v>0.1616796617719588</v>
      </c>
      <c r="AD4" s="30" t="s">
        <v>33</v>
      </c>
      <c r="AE4" s="30" t="s">
        <v>130</v>
      </c>
      <c r="AF4" s="30">
        <f t="shared" si="0"/>
        <v>3.8369395293875739</v>
      </c>
      <c r="AG4">
        <f t="shared" si="1"/>
        <v>2.0836504234685571</v>
      </c>
      <c r="AH4" s="46">
        <f t="shared" si="2"/>
        <v>0.84145069929743632</v>
      </c>
      <c r="AI4">
        <f t="shared" si="3"/>
        <v>1.7532891059190168</v>
      </c>
    </row>
    <row r="5" spans="1:35" x14ac:dyDescent="0.35">
      <c r="A5" s="31">
        <v>3</v>
      </c>
      <c r="B5" s="30" t="s">
        <v>12</v>
      </c>
      <c r="C5" s="30" t="s">
        <v>16</v>
      </c>
      <c r="D5" s="30" t="s">
        <v>18</v>
      </c>
      <c r="E5" s="30" t="s">
        <v>23</v>
      </c>
      <c r="F5" s="30">
        <v>2050</v>
      </c>
      <c r="G5" s="30" t="s">
        <v>34</v>
      </c>
      <c r="H5" s="30">
        <v>1.346707255845492E-2</v>
      </c>
      <c r="I5" s="30" t="s">
        <v>52</v>
      </c>
      <c r="J5" s="30">
        <v>7.8503034537038326E-5</v>
      </c>
      <c r="K5" s="30" t="s">
        <v>25</v>
      </c>
      <c r="L5" s="30">
        <v>2.776180421049536E-3</v>
      </c>
      <c r="M5" s="30">
        <v>5.8292575610838608E-3</v>
      </c>
      <c r="N5" s="30">
        <v>0.2061457981309078</v>
      </c>
      <c r="O5" s="1">
        <v>3</v>
      </c>
      <c r="P5" t="s">
        <v>13</v>
      </c>
      <c r="Q5" t="s">
        <v>16</v>
      </c>
      <c r="R5" t="s">
        <v>19</v>
      </c>
      <c r="S5" t="s">
        <v>23</v>
      </c>
      <c r="T5">
        <v>2050</v>
      </c>
      <c r="U5" t="s">
        <v>34</v>
      </c>
      <c r="V5">
        <v>1.346707255845492E-2</v>
      </c>
      <c r="W5" t="s">
        <v>52</v>
      </c>
      <c r="X5">
        <v>3.7078889077747248E-5</v>
      </c>
      <c r="Y5" t="s">
        <v>25</v>
      </c>
      <c r="Z5">
        <v>2.8771151712630918E-3</v>
      </c>
      <c r="AA5">
        <v>2.7532998665302589E-3</v>
      </c>
      <c r="AB5">
        <v>0.21364072694898911</v>
      </c>
      <c r="AD5" s="30" t="s">
        <v>34</v>
      </c>
      <c r="AE5" s="30" t="s">
        <v>131</v>
      </c>
      <c r="AF5" s="30">
        <f t="shared" si="0"/>
        <v>5.8292575610838604</v>
      </c>
      <c r="AG5">
        <f t="shared" si="1"/>
        <v>2.7532998665302588</v>
      </c>
      <c r="AH5" s="46">
        <f t="shared" si="2"/>
        <v>1.1171894975718573</v>
      </c>
      <c r="AI5">
        <f t="shared" si="3"/>
        <v>3.0759576945536016</v>
      </c>
    </row>
    <row r="6" spans="1:35" x14ac:dyDescent="0.35">
      <c r="A6" s="31">
        <v>4</v>
      </c>
      <c r="B6" s="30" t="s">
        <v>12</v>
      </c>
      <c r="C6" s="30" t="s">
        <v>16</v>
      </c>
      <c r="D6" s="30" t="s">
        <v>18</v>
      </c>
      <c r="E6" s="30" t="s">
        <v>23</v>
      </c>
      <c r="F6" s="30">
        <v>2050</v>
      </c>
      <c r="G6" s="30" t="s">
        <v>35</v>
      </c>
      <c r="H6" s="30">
        <v>0.19353555708011469</v>
      </c>
      <c r="I6" s="30" t="s">
        <v>52</v>
      </c>
      <c r="J6" s="30">
        <v>3.383995605052436E-3</v>
      </c>
      <c r="K6" s="30" t="s">
        <v>25</v>
      </c>
      <c r="L6" s="30">
        <v>0.1196715821123044</v>
      </c>
      <c r="M6" s="30">
        <v>1.7485136354822999E-2</v>
      </c>
      <c r="N6" s="30">
        <v>0.61834416330414144</v>
      </c>
      <c r="O6" s="1">
        <v>4</v>
      </c>
      <c r="P6" t="s">
        <v>13</v>
      </c>
      <c r="Q6" t="s">
        <v>16</v>
      </c>
      <c r="R6" t="s">
        <v>19</v>
      </c>
      <c r="S6" t="s">
        <v>23</v>
      </c>
      <c r="T6">
        <v>2050</v>
      </c>
      <c r="U6" t="s">
        <v>35</v>
      </c>
      <c r="V6">
        <v>0.19353555708011469</v>
      </c>
      <c r="W6" t="s">
        <v>52</v>
      </c>
      <c r="X6">
        <v>2.8979635553002701E-3</v>
      </c>
      <c r="Y6" t="s">
        <v>25</v>
      </c>
      <c r="Z6">
        <v>0.2248658230628009</v>
      </c>
      <c r="AA6">
        <v>1.4973804292203781E-2</v>
      </c>
      <c r="AB6">
        <v>1.1618837719299151</v>
      </c>
      <c r="AD6" s="30" t="s">
        <v>35</v>
      </c>
      <c r="AE6" s="30" t="s">
        <v>127</v>
      </c>
      <c r="AF6" s="30">
        <f t="shared" si="0"/>
        <v>17.485136354822998</v>
      </c>
      <c r="AG6">
        <f t="shared" si="1"/>
        <v>14.973804292203781</v>
      </c>
      <c r="AH6" s="46">
        <f t="shared" si="2"/>
        <v>0.1677150317723039</v>
      </c>
      <c r="AI6">
        <f t="shared" si="3"/>
        <v>2.5113320626192177</v>
      </c>
    </row>
    <row r="7" spans="1:35" x14ac:dyDescent="0.35">
      <c r="A7" s="31">
        <v>5</v>
      </c>
      <c r="B7" s="30" t="s">
        <v>12</v>
      </c>
      <c r="C7" s="30" t="s">
        <v>16</v>
      </c>
      <c r="D7" s="30" t="s">
        <v>18</v>
      </c>
      <c r="E7" s="30" t="s">
        <v>23</v>
      </c>
      <c r="F7" s="30">
        <v>2050</v>
      </c>
      <c r="G7" s="30" t="s">
        <v>36</v>
      </c>
      <c r="H7" s="30">
        <v>0.1572141332383965</v>
      </c>
      <c r="I7" s="30" t="s">
        <v>52</v>
      </c>
      <c r="J7" s="30">
        <v>1.8769279804633811E-3</v>
      </c>
      <c r="K7" s="30" t="s">
        <v>25</v>
      </c>
      <c r="L7" s="30">
        <v>6.6375659766681264E-2</v>
      </c>
      <c r="M7" s="30">
        <v>1.19386720633904E-2</v>
      </c>
      <c r="N7" s="30">
        <v>0.42219906314676231</v>
      </c>
      <c r="O7" s="1">
        <v>5</v>
      </c>
      <c r="P7" t="s">
        <v>13</v>
      </c>
      <c r="Q7" t="s">
        <v>16</v>
      </c>
      <c r="R7" t="s">
        <v>19</v>
      </c>
      <c r="S7" t="s">
        <v>23</v>
      </c>
      <c r="T7">
        <v>2050</v>
      </c>
      <c r="U7" t="s">
        <v>36</v>
      </c>
      <c r="V7">
        <v>0.1572141332383965</v>
      </c>
      <c r="W7" t="s">
        <v>52</v>
      </c>
      <c r="X7">
        <v>1.659428971055755E-3</v>
      </c>
      <c r="Y7" t="s">
        <v>25</v>
      </c>
      <c r="Z7">
        <v>0.1287624410280224</v>
      </c>
      <c r="AA7">
        <v>1.055521495983716E-2</v>
      </c>
      <c r="AB7">
        <v>0.81902586221538687</v>
      </c>
      <c r="AD7" s="30" t="s">
        <v>36</v>
      </c>
      <c r="AE7" s="30" t="s">
        <v>128</v>
      </c>
      <c r="AF7" s="30">
        <f t="shared" si="0"/>
        <v>11.938672063390399</v>
      </c>
      <c r="AG7">
        <f t="shared" si="1"/>
        <v>10.55521495983716</v>
      </c>
      <c r="AH7" s="46">
        <f t="shared" si="2"/>
        <v>0.13106858636392774</v>
      </c>
      <c r="AI7">
        <f t="shared" si="3"/>
        <v>1.3834571035532388</v>
      </c>
    </row>
    <row r="8" spans="1:35" x14ac:dyDescent="0.35">
      <c r="A8" s="31">
        <v>6</v>
      </c>
      <c r="B8" s="30" t="s">
        <v>12</v>
      </c>
      <c r="C8" s="30" t="s">
        <v>16</v>
      </c>
      <c r="D8" s="30" t="s">
        <v>18</v>
      </c>
      <c r="E8" s="30" t="s">
        <v>23</v>
      </c>
      <c r="F8" s="30">
        <v>2050</v>
      </c>
      <c r="G8" s="30" t="s">
        <v>37</v>
      </c>
      <c r="H8" s="30">
        <v>0.21471188530380569</v>
      </c>
      <c r="I8" s="30" t="s">
        <v>52</v>
      </c>
      <c r="J8" s="30">
        <v>2.7687909547365178E-3</v>
      </c>
      <c r="K8" s="30" t="s">
        <v>25</v>
      </c>
      <c r="L8" s="30">
        <v>9.7915491851362113E-2</v>
      </c>
      <c r="M8" s="30">
        <v>1.2895378152070289E-2</v>
      </c>
      <c r="N8" s="30">
        <v>0.45603200639227293</v>
      </c>
      <c r="O8" s="1">
        <v>6</v>
      </c>
      <c r="P8" t="s">
        <v>13</v>
      </c>
      <c r="Q8" t="s">
        <v>16</v>
      </c>
      <c r="R8" t="s">
        <v>19</v>
      </c>
      <c r="S8" t="s">
        <v>23</v>
      </c>
      <c r="T8">
        <v>2050</v>
      </c>
      <c r="U8" t="s">
        <v>37</v>
      </c>
      <c r="V8">
        <v>0.21471188530380569</v>
      </c>
      <c r="W8" t="s">
        <v>52</v>
      </c>
      <c r="X8">
        <v>2.4086797097988199E-3</v>
      </c>
      <c r="Y8" t="s">
        <v>25</v>
      </c>
      <c r="Z8">
        <v>0.18690012317372279</v>
      </c>
      <c r="AA8">
        <v>1.1218194588486189E-2</v>
      </c>
      <c r="AB8">
        <v>0.87046938696136555</v>
      </c>
      <c r="AD8" s="30" t="s">
        <v>37</v>
      </c>
      <c r="AE8" s="30" t="s">
        <v>129</v>
      </c>
      <c r="AF8" s="30">
        <f t="shared" si="0"/>
        <v>12.89537815207029</v>
      </c>
      <c r="AG8">
        <f t="shared" si="1"/>
        <v>11.21819458848619</v>
      </c>
      <c r="AH8" s="46">
        <f t="shared" si="2"/>
        <v>0.14950565800538701</v>
      </c>
      <c r="AI8">
        <f t="shared" si="3"/>
        <v>1.6771835635840997</v>
      </c>
    </row>
    <row r="9" spans="1:35" x14ac:dyDescent="0.35">
      <c r="A9" s="31">
        <v>7</v>
      </c>
      <c r="B9" s="30" t="s">
        <v>12</v>
      </c>
      <c r="C9" s="30" t="s">
        <v>16</v>
      </c>
      <c r="D9" s="30" t="s">
        <v>18</v>
      </c>
      <c r="E9" s="30" t="s">
        <v>23</v>
      </c>
      <c r="F9" s="30">
        <v>2050</v>
      </c>
      <c r="G9" s="30" t="s">
        <v>38</v>
      </c>
      <c r="H9" s="30">
        <v>1.313468462121163E-2</v>
      </c>
      <c r="I9" s="30" t="s">
        <v>52</v>
      </c>
      <c r="J9" s="30">
        <v>6.0279911475999014E-4</v>
      </c>
      <c r="K9" s="30" t="s">
        <v>25</v>
      </c>
      <c r="L9" s="30">
        <v>2.1317381042552149E-2</v>
      </c>
      <c r="M9" s="30">
        <v>4.5893687754520587E-2</v>
      </c>
      <c r="N9" s="30">
        <v>1.6229838520923461</v>
      </c>
      <c r="O9" s="1">
        <v>7</v>
      </c>
      <c r="P9" t="s">
        <v>13</v>
      </c>
      <c r="Q9" t="s">
        <v>16</v>
      </c>
      <c r="R9" t="s">
        <v>19</v>
      </c>
      <c r="S9" t="s">
        <v>23</v>
      </c>
      <c r="T9">
        <v>2050</v>
      </c>
      <c r="U9" t="s">
        <v>38</v>
      </c>
      <c r="V9">
        <v>1.313468462121163E-2</v>
      </c>
      <c r="W9" t="s">
        <v>52</v>
      </c>
      <c r="X9">
        <v>5.3832070734530961E-4</v>
      </c>
      <c r="Y9" t="s">
        <v>25</v>
      </c>
      <c r="Z9">
        <v>4.1770687111491213E-2</v>
      </c>
      <c r="AA9">
        <v>4.0984669435911537E-2</v>
      </c>
      <c r="AB9">
        <v>3.1801819621945371</v>
      </c>
      <c r="AD9" s="30" t="s">
        <v>38</v>
      </c>
      <c r="AE9" s="30" t="s">
        <v>132</v>
      </c>
      <c r="AF9" s="30">
        <f t="shared" si="0"/>
        <v>45.893687754520585</v>
      </c>
      <c r="AG9">
        <f t="shared" si="1"/>
        <v>40.984669435911535</v>
      </c>
      <c r="AH9" s="46">
        <f t="shared" si="2"/>
        <v>0.11977694065058571</v>
      </c>
      <c r="AI9">
        <f t="shared" si="3"/>
        <v>4.9090183186090499</v>
      </c>
    </row>
    <row r="10" spans="1:35" x14ac:dyDescent="0.35">
      <c r="A10" s="31">
        <v>8</v>
      </c>
      <c r="B10" s="30" t="s">
        <v>12</v>
      </c>
      <c r="C10" s="30" t="s">
        <v>16</v>
      </c>
      <c r="D10" s="30" t="s">
        <v>18</v>
      </c>
      <c r="E10" s="30" t="s">
        <v>23</v>
      </c>
      <c r="F10" s="30">
        <v>2050</v>
      </c>
      <c r="G10" s="30" t="s">
        <v>39</v>
      </c>
      <c r="H10" s="30">
        <v>2.412493094341404E-3</v>
      </c>
      <c r="I10" s="30" t="s">
        <v>52</v>
      </c>
      <c r="J10" s="30">
        <v>0</v>
      </c>
      <c r="K10" s="30" t="s">
        <v>25</v>
      </c>
      <c r="L10" s="30">
        <v>0</v>
      </c>
      <c r="M10" s="30">
        <v>0</v>
      </c>
      <c r="N10" s="30">
        <v>0</v>
      </c>
      <c r="O10" s="1">
        <v>8</v>
      </c>
      <c r="P10" t="s">
        <v>13</v>
      </c>
      <c r="Q10" t="s">
        <v>16</v>
      </c>
      <c r="R10" t="s">
        <v>19</v>
      </c>
      <c r="S10" t="s">
        <v>23</v>
      </c>
      <c r="T10">
        <v>2050</v>
      </c>
      <c r="U10" t="s">
        <v>39</v>
      </c>
      <c r="V10">
        <v>2.412493094341404E-3</v>
      </c>
      <c r="W10" t="s">
        <v>52</v>
      </c>
      <c r="X10">
        <v>0</v>
      </c>
      <c r="Y10" t="s">
        <v>25</v>
      </c>
      <c r="Z10">
        <v>0</v>
      </c>
      <c r="AA10">
        <v>0</v>
      </c>
      <c r="AB10">
        <v>0</v>
      </c>
      <c r="AD10" s="30" t="s">
        <v>39</v>
      </c>
      <c r="AE10" s="30"/>
      <c r="AF10" s="30">
        <f t="shared" si="0"/>
        <v>0</v>
      </c>
      <c r="AG10">
        <f t="shared" si="1"/>
        <v>0</v>
      </c>
      <c r="AH10" s="46"/>
    </row>
    <row r="11" spans="1:35" x14ac:dyDescent="0.35">
      <c r="A11" s="31">
        <v>9</v>
      </c>
      <c r="B11" s="30" t="s">
        <v>12</v>
      </c>
      <c r="C11" s="30" t="s">
        <v>16</v>
      </c>
      <c r="D11" s="30" t="s">
        <v>18</v>
      </c>
      <c r="E11" s="30" t="s">
        <v>23</v>
      </c>
      <c r="F11" s="30">
        <v>2050</v>
      </c>
      <c r="G11" s="30" t="s">
        <v>41</v>
      </c>
      <c r="H11" s="30">
        <v>6.7013697097184535E-4</v>
      </c>
      <c r="I11" s="30" t="s">
        <v>52</v>
      </c>
      <c r="J11" s="30">
        <v>2.138571322405724E-5</v>
      </c>
      <c r="K11" s="30" t="s">
        <v>25</v>
      </c>
      <c r="L11" s="30">
        <v>7.5628411937116115E-4</v>
      </c>
      <c r="M11" s="30">
        <v>3.1912450962141778E-2</v>
      </c>
      <c r="N11" s="30">
        <v>1.128551553086802</v>
      </c>
      <c r="O11" s="1">
        <v>9</v>
      </c>
      <c r="P11" t="s">
        <v>13</v>
      </c>
      <c r="Q11" t="s">
        <v>16</v>
      </c>
      <c r="R11" t="s">
        <v>19</v>
      </c>
      <c r="S11" t="s">
        <v>23</v>
      </c>
      <c r="T11">
        <v>2050</v>
      </c>
      <c r="U11" t="s">
        <v>41</v>
      </c>
      <c r="V11">
        <v>6.7013697097184535E-4</v>
      </c>
      <c r="W11" t="s">
        <v>52</v>
      </c>
      <c r="X11">
        <v>2.599563780395851E-5</v>
      </c>
      <c r="Y11" t="s">
        <v>25</v>
      </c>
      <c r="Z11">
        <v>2.017116633554045E-3</v>
      </c>
      <c r="AA11">
        <v>3.8791529090327827E-2</v>
      </c>
      <c r="AB11">
        <v>3.01000649259626</v>
      </c>
      <c r="AD11" s="30" t="s">
        <v>41</v>
      </c>
      <c r="AE11" s="30" t="s">
        <v>134</v>
      </c>
      <c r="AF11" s="30">
        <f t="shared" si="0"/>
        <v>31.912450962141779</v>
      </c>
      <c r="AG11">
        <f t="shared" si="1"/>
        <v>38.791529090327828</v>
      </c>
    </row>
    <row r="12" spans="1:35" x14ac:dyDescent="0.35">
      <c r="A12" s="31">
        <v>10</v>
      </c>
      <c r="B12" s="30" t="s">
        <v>12</v>
      </c>
      <c r="C12" s="30" t="s">
        <v>16</v>
      </c>
      <c r="D12" s="30" t="s">
        <v>18</v>
      </c>
      <c r="E12" s="30" t="s">
        <v>23</v>
      </c>
      <c r="F12" s="30">
        <v>2050</v>
      </c>
      <c r="G12" s="30" t="s">
        <v>42</v>
      </c>
      <c r="H12" s="30">
        <v>2.1842904673904678E-2</v>
      </c>
      <c r="I12" s="30" t="s">
        <v>52</v>
      </c>
      <c r="J12" s="30">
        <v>8.0356859267378435E-4</v>
      </c>
      <c r="K12" s="30" t="s">
        <v>25</v>
      </c>
      <c r="L12" s="30">
        <v>2.8417390577414652E-2</v>
      </c>
      <c r="M12" s="30">
        <v>3.6788540932186239E-2</v>
      </c>
      <c r="N12" s="30">
        <v>1.300989543362536</v>
      </c>
      <c r="O12" s="1">
        <v>10</v>
      </c>
      <c r="P12" t="s">
        <v>13</v>
      </c>
      <c r="Q12" t="s">
        <v>16</v>
      </c>
      <c r="R12" t="s">
        <v>19</v>
      </c>
      <c r="S12" t="s">
        <v>23</v>
      </c>
      <c r="T12">
        <v>2050</v>
      </c>
      <c r="U12" t="s">
        <v>42</v>
      </c>
      <c r="V12">
        <v>2.1842904673904678E-2</v>
      </c>
      <c r="W12" t="s">
        <v>52</v>
      </c>
      <c r="X12">
        <v>3.683396154162597E-4</v>
      </c>
      <c r="Y12" t="s">
        <v>25</v>
      </c>
      <c r="Z12">
        <v>2.8581101593125709E-2</v>
      </c>
      <c r="AA12">
        <v>1.686312424630541E-2</v>
      </c>
      <c r="AB12">
        <v>1.308484472180617</v>
      </c>
      <c r="AD12" s="30" t="s">
        <v>42</v>
      </c>
      <c r="AE12" s="30" t="s">
        <v>135</v>
      </c>
      <c r="AF12" s="30">
        <f t="shared" si="0"/>
        <v>36.788540932186237</v>
      </c>
      <c r="AG12">
        <f t="shared" si="1"/>
        <v>16.863124246305411</v>
      </c>
    </row>
    <row r="13" spans="1:35" x14ac:dyDescent="0.35">
      <c r="A13" s="31">
        <v>11</v>
      </c>
      <c r="B13" s="30" t="s">
        <v>12</v>
      </c>
      <c r="C13" s="30" t="s">
        <v>16</v>
      </c>
      <c r="D13" s="30" t="s">
        <v>18</v>
      </c>
      <c r="E13" s="30" t="s">
        <v>23</v>
      </c>
      <c r="F13" s="30">
        <v>2050</v>
      </c>
      <c r="G13" s="30" t="s">
        <v>43</v>
      </c>
      <c r="H13" s="30">
        <v>8.2453348769044171E-3</v>
      </c>
      <c r="I13" s="30" t="s">
        <v>52</v>
      </c>
      <c r="J13" s="30">
        <v>8.5565654635787474E-4</v>
      </c>
      <c r="K13" s="30" t="s">
        <v>25</v>
      </c>
      <c r="L13" s="30">
        <v>3.0259428379432119E-2</v>
      </c>
      <c r="M13" s="30">
        <v>0.10377462639566171</v>
      </c>
      <c r="N13" s="30">
        <v>3.6698847082839832</v>
      </c>
      <c r="O13" s="1">
        <v>11</v>
      </c>
      <c r="P13" t="s">
        <v>13</v>
      </c>
      <c r="Q13" t="s">
        <v>16</v>
      </c>
      <c r="R13" t="s">
        <v>19</v>
      </c>
      <c r="S13" t="s">
        <v>23</v>
      </c>
      <c r="T13">
        <v>2050</v>
      </c>
      <c r="U13" t="s">
        <v>43</v>
      </c>
      <c r="V13">
        <v>8.2453348769044171E-3</v>
      </c>
      <c r="W13" t="s">
        <v>52</v>
      </c>
      <c r="X13">
        <v>4.6641202295915393E-4</v>
      </c>
      <c r="Y13" t="s">
        <v>25</v>
      </c>
      <c r="Z13">
        <v>3.619097391244766E-2</v>
      </c>
      <c r="AA13">
        <v>5.6566777447159433E-2</v>
      </c>
      <c r="AB13">
        <v>4.3892667129652114</v>
      </c>
      <c r="AD13" s="30" t="s">
        <v>43</v>
      </c>
      <c r="AE13" s="30" t="s">
        <v>136</v>
      </c>
      <c r="AF13" s="30">
        <f t="shared" si="0"/>
        <v>103.77462639566171</v>
      </c>
      <c r="AG13">
        <f t="shared" si="1"/>
        <v>56.566777447159431</v>
      </c>
    </row>
    <row r="14" spans="1:35" x14ac:dyDescent="0.35">
      <c r="A14" s="31">
        <v>12</v>
      </c>
      <c r="B14" s="30" t="s">
        <v>12</v>
      </c>
      <c r="C14" s="30" t="s">
        <v>16</v>
      </c>
      <c r="D14" s="30" t="s">
        <v>18</v>
      </c>
      <c r="E14" s="30" t="s">
        <v>23</v>
      </c>
      <c r="F14" s="30">
        <v>2050</v>
      </c>
      <c r="G14" s="30" t="s">
        <v>44</v>
      </c>
      <c r="H14" s="30">
        <v>2.748444958968138E-3</v>
      </c>
      <c r="I14" s="30" t="s">
        <v>52</v>
      </c>
      <c r="J14" s="30">
        <v>1.1326613663669641E-4</v>
      </c>
      <c r="K14" s="30" t="s">
        <v>25</v>
      </c>
      <c r="L14" s="30">
        <v>4.0055423685610471E-3</v>
      </c>
      <c r="M14" s="30">
        <v>4.1210989605999053E-2</v>
      </c>
      <c r="N14" s="30">
        <v>1.4573849679947259</v>
      </c>
      <c r="O14" s="1">
        <v>12</v>
      </c>
      <c r="P14" t="s">
        <v>13</v>
      </c>
      <c r="Q14" t="s">
        <v>16</v>
      </c>
      <c r="R14" t="s">
        <v>19</v>
      </c>
      <c r="S14" t="s">
        <v>23</v>
      </c>
      <c r="T14">
        <v>2050</v>
      </c>
      <c r="U14" t="s">
        <v>44</v>
      </c>
      <c r="V14">
        <v>2.748444958968138E-3</v>
      </c>
      <c r="W14" t="s">
        <v>52</v>
      </c>
      <c r="X14">
        <v>5.9707653543755662E-5</v>
      </c>
      <c r="Y14" t="s">
        <v>25</v>
      </c>
      <c r="Z14">
        <v>4.6329811956085949E-3</v>
      </c>
      <c r="AA14">
        <v>2.172415836414348E-2</v>
      </c>
      <c r="AB14">
        <v>1.6856736317353711</v>
      </c>
      <c r="AD14" s="30" t="s">
        <v>44</v>
      </c>
      <c r="AE14" s="30" t="s">
        <v>137</v>
      </c>
      <c r="AF14" s="30">
        <f t="shared" si="0"/>
        <v>41.210989605999053</v>
      </c>
      <c r="AG14">
        <f t="shared" si="1"/>
        <v>21.724158364143481</v>
      </c>
    </row>
    <row r="15" spans="1:35" x14ac:dyDescent="0.35">
      <c r="A15" s="31">
        <v>13</v>
      </c>
      <c r="B15" s="30" t="s">
        <v>12</v>
      </c>
      <c r="C15" s="30" t="s">
        <v>16</v>
      </c>
      <c r="D15" s="30" t="s">
        <v>18</v>
      </c>
      <c r="E15" s="30" t="s">
        <v>23</v>
      </c>
      <c r="F15" s="30">
        <v>2050</v>
      </c>
      <c r="G15" s="30" t="s">
        <v>45</v>
      </c>
      <c r="H15" s="30">
        <v>1.113843483371298E-2</v>
      </c>
      <c r="I15" s="30" t="s">
        <v>52</v>
      </c>
      <c r="J15" s="30">
        <v>6.5132252999845601E-4</v>
      </c>
      <c r="K15" s="30" t="s">
        <v>25</v>
      </c>
      <c r="L15" s="30">
        <v>2.3033362547495481E-2</v>
      </c>
      <c r="M15" s="30">
        <v>5.8475229215067252E-2</v>
      </c>
      <c r="N15" s="30">
        <v>2.0679173412928562</v>
      </c>
      <c r="O15" s="1">
        <v>13</v>
      </c>
      <c r="P15" t="s">
        <v>13</v>
      </c>
      <c r="Q15" t="s">
        <v>16</v>
      </c>
      <c r="R15" t="s">
        <v>19</v>
      </c>
      <c r="S15" t="s">
        <v>23</v>
      </c>
      <c r="T15">
        <v>2050</v>
      </c>
      <c r="U15" t="s">
        <v>45</v>
      </c>
      <c r="V15">
        <v>1.113843483371298E-2</v>
      </c>
      <c r="W15" t="s">
        <v>52</v>
      </c>
      <c r="X15">
        <v>4.3557138708700052E-4</v>
      </c>
      <c r="Y15" t="s">
        <v>25</v>
      </c>
      <c r="Z15">
        <v>3.3797912427430687E-2</v>
      </c>
      <c r="AA15">
        <v>3.9105259723623442E-2</v>
      </c>
      <c r="AB15">
        <v>3.0343502414839918</v>
      </c>
      <c r="AD15" s="30" t="s">
        <v>45</v>
      </c>
      <c r="AE15" s="30" t="s">
        <v>138</v>
      </c>
      <c r="AF15" s="30">
        <f t="shared" si="0"/>
        <v>58.475229215067252</v>
      </c>
      <c r="AG15">
        <f t="shared" si="1"/>
        <v>39.10525972362344</v>
      </c>
    </row>
    <row r="16" spans="1:35" x14ac:dyDescent="0.35">
      <c r="A16" s="31">
        <v>14</v>
      </c>
      <c r="B16" s="30" t="s">
        <v>12</v>
      </c>
      <c r="C16" s="30" t="s">
        <v>16</v>
      </c>
      <c r="D16" s="30" t="s">
        <v>18</v>
      </c>
      <c r="E16" s="30" t="s">
        <v>23</v>
      </c>
      <c r="F16" s="30">
        <v>2050</v>
      </c>
      <c r="G16" s="30" t="s">
        <v>46</v>
      </c>
      <c r="H16" s="30">
        <v>4.6246929599690588E-2</v>
      </c>
      <c r="I16" s="30" t="s">
        <v>52</v>
      </c>
      <c r="J16" s="30">
        <v>1.251167244888981E-2</v>
      </c>
      <c r="K16" s="30" t="s">
        <v>25</v>
      </c>
      <c r="L16" s="30">
        <v>0.44246264226645537</v>
      </c>
      <c r="M16" s="30">
        <v>0.27054060793202389</v>
      </c>
      <c r="N16" s="30">
        <v>9.5673949837615968</v>
      </c>
      <c r="O16" s="1">
        <v>14</v>
      </c>
      <c r="P16" t="s">
        <v>13</v>
      </c>
      <c r="Q16" t="s">
        <v>16</v>
      </c>
      <c r="R16" t="s">
        <v>19</v>
      </c>
      <c r="S16" t="s">
        <v>23</v>
      </c>
      <c r="T16">
        <v>2050</v>
      </c>
      <c r="U16" t="s">
        <v>46</v>
      </c>
      <c r="V16">
        <v>4.6246929599690588E-2</v>
      </c>
      <c r="W16" t="s">
        <v>52</v>
      </c>
      <c r="X16">
        <v>5.2412578030263659E-4</v>
      </c>
      <c r="Y16" t="s">
        <v>25</v>
      </c>
      <c r="Z16">
        <v>4.066923987385114E-2</v>
      </c>
      <c r="AA16">
        <v>1.1333201681482941E-2</v>
      </c>
      <c r="AB16">
        <v>0.87939329650380149</v>
      </c>
      <c r="AD16" s="30" t="s">
        <v>46</v>
      </c>
      <c r="AE16" s="30" t="s">
        <v>74</v>
      </c>
      <c r="AF16" s="30">
        <f t="shared" si="0"/>
        <v>270.54060793202387</v>
      </c>
      <c r="AG16">
        <f t="shared" si="1"/>
        <v>11.33320168148294</v>
      </c>
    </row>
    <row r="17" spans="1:33" x14ac:dyDescent="0.35">
      <c r="A17" s="31">
        <v>15</v>
      </c>
      <c r="B17" s="30" t="s">
        <v>12</v>
      </c>
      <c r="C17" s="30" t="s">
        <v>16</v>
      </c>
      <c r="D17" s="30" t="s">
        <v>18</v>
      </c>
      <c r="E17" s="30" t="s">
        <v>23</v>
      </c>
      <c r="F17" s="30">
        <v>2050</v>
      </c>
      <c r="G17" s="30" t="s">
        <v>24</v>
      </c>
      <c r="H17" s="30">
        <v>3.1242684515255099E-2</v>
      </c>
      <c r="I17" s="30" t="s">
        <v>52</v>
      </c>
      <c r="J17" s="30">
        <v>8.8346042747597744E-4</v>
      </c>
      <c r="K17" s="30" t="s">
        <v>25</v>
      </c>
      <c r="L17" s="30">
        <v>3.1242684515255081E-2</v>
      </c>
      <c r="M17" s="30">
        <v>2.827735328072092E-2</v>
      </c>
      <c r="N17" s="30">
        <v>0.99999999999999967</v>
      </c>
      <c r="O17" s="1">
        <v>15</v>
      </c>
      <c r="P17" t="s">
        <v>13</v>
      </c>
      <c r="Q17" t="s">
        <v>16</v>
      </c>
      <c r="R17" t="s">
        <v>19</v>
      </c>
      <c r="S17" t="s">
        <v>23</v>
      </c>
      <c r="T17">
        <v>2050</v>
      </c>
      <c r="U17" t="s">
        <v>24</v>
      </c>
      <c r="V17">
        <v>3.1242684515255099E-2</v>
      </c>
      <c r="W17" t="s">
        <v>52</v>
      </c>
      <c r="X17">
        <v>4.026408275910699E-4</v>
      </c>
      <c r="Y17" t="s">
        <v>25</v>
      </c>
      <c r="Z17">
        <v>3.1242684515255061E-2</v>
      </c>
      <c r="AA17">
        <v>1.2887523394299541E-2</v>
      </c>
      <c r="AB17">
        <v>0.99999999999999889</v>
      </c>
      <c r="AD17" s="30" t="s">
        <v>24</v>
      </c>
      <c r="AE17" s="30" t="s">
        <v>133</v>
      </c>
      <c r="AF17" s="30">
        <f t="shared" si="0"/>
        <v>28.27735328072092</v>
      </c>
      <c r="AG17">
        <f t="shared" si="1"/>
        <v>12.88752339429954</v>
      </c>
    </row>
    <row r="18" spans="1:33" x14ac:dyDescent="0.35">
      <c r="A18" s="31">
        <v>16</v>
      </c>
      <c r="B18" s="30" t="s">
        <v>12</v>
      </c>
      <c r="C18" s="30" t="s">
        <v>16</v>
      </c>
      <c r="D18" s="30" t="s">
        <v>18</v>
      </c>
      <c r="E18" s="30" t="s">
        <v>23</v>
      </c>
      <c r="F18" s="30">
        <v>2050</v>
      </c>
      <c r="G18" s="30" t="s">
        <v>47</v>
      </c>
      <c r="H18" s="30">
        <v>5.6500000000000001E-9</v>
      </c>
      <c r="I18" s="30" t="s">
        <v>53</v>
      </c>
      <c r="J18" s="30">
        <v>7.5603519590436527E-4</v>
      </c>
      <c r="K18" s="30" t="s">
        <v>25</v>
      </c>
      <c r="L18" s="30">
        <v>2.6736420074357479E-2</v>
      </c>
      <c r="M18" s="30">
        <v>133811.5390981177</v>
      </c>
      <c r="N18" s="30">
        <v>4732109.7476738887</v>
      </c>
      <c r="O18" s="1">
        <v>16</v>
      </c>
      <c r="P18" t="s">
        <v>13</v>
      </c>
      <c r="Q18" t="s">
        <v>16</v>
      </c>
      <c r="R18" t="s">
        <v>19</v>
      </c>
      <c r="S18" t="s">
        <v>23</v>
      </c>
      <c r="T18">
        <v>2050</v>
      </c>
      <c r="U18" t="s">
        <v>47</v>
      </c>
      <c r="V18">
        <v>5.6500000000000001E-9</v>
      </c>
      <c r="W18" t="s">
        <v>53</v>
      </c>
      <c r="X18">
        <v>5.7973161432182051E-4</v>
      </c>
      <c r="Y18" t="s">
        <v>25</v>
      </c>
      <c r="Z18">
        <v>4.498394273163836E-2</v>
      </c>
      <c r="AA18">
        <v>102607.36536669391</v>
      </c>
      <c r="AB18">
        <v>7961759.7755112136</v>
      </c>
    </row>
    <row r="19" spans="1:33" x14ac:dyDescent="0.35">
      <c r="A19" s="31">
        <v>17</v>
      </c>
      <c r="B19" s="30" t="s">
        <v>12</v>
      </c>
      <c r="C19" s="30" t="s">
        <v>16</v>
      </c>
      <c r="D19" s="30" t="s">
        <v>18</v>
      </c>
      <c r="E19" s="30" t="s">
        <v>23</v>
      </c>
      <c r="F19" s="30">
        <v>2050</v>
      </c>
      <c r="G19" s="30" t="s">
        <v>48</v>
      </c>
      <c r="H19" s="30">
        <v>3.8600000000000001E-10</v>
      </c>
      <c r="I19" s="30" t="s">
        <v>53</v>
      </c>
      <c r="J19" s="30">
        <v>6.7519427944309616E-5</v>
      </c>
      <c r="K19" s="30" t="s">
        <v>25</v>
      </c>
      <c r="L19" s="30">
        <v>2.387756282351338E-3</v>
      </c>
      <c r="M19" s="30">
        <v>174920.7977831855</v>
      </c>
      <c r="N19" s="30">
        <v>6185897.1045371443</v>
      </c>
      <c r="O19" s="1">
        <v>17</v>
      </c>
      <c r="P19" t="s">
        <v>13</v>
      </c>
      <c r="Q19" t="s">
        <v>16</v>
      </c>
      <c r="R19" t="s">
        <v>19</v>
      </c>
      <c r="S19" t="s">
        <v>23</v>
      </c>
      <c r="T19">
        <v>2050</v>
      </c>
      <c r="U19" t="s">
        <v>48</v>
      </c>
      <c r="V19">
        <v>3.8600000000000001E-10</v>
      </c>
      <c r="W19" t="s">
        <v>53</v>
      </c>
      <c r="X19">
        <v>5.4895870982488439E-5</v>
      </c>
      <c r="Y19" t="s">
        <v>25</v>
      </c>
      <c r="Z19">
        <v>4.259613682390688E-3</v>
      </c>
      <c r="AA19">
        <v>142217.28233805299</v>
      </c>
      <c r="AB19">
        <v>11035268.60722976</v>
      </c>
    </row>
    <row r="20" spans="1:33" x14ac:dyDescent="0.35">
      <c r="A20" s="31">
        <v>18</v>
      </c>
      <c r="B20" s="30" t="s">
        <v>12</v>
      </c>
      <c r="C20" s="30" t="s">
        <v>16</v>
      </c>
      <c r="D20" s="30" t="s">
        <v>18</v>
      </c>
      <c r="E20" s="30" t="s">
        <v>23</v>
      </c>
      <c r="F20" s="30">
        <v>2050</v>
      </c>
      <c r="G20" s="30" t="s">
        <v>49</v>
      </c>
      <c r="H20" s="30">
        <v>3.47E-12</v>
      </c>
      <c r="I20" s="30" t="s">
        <v>53</v>
      </c>
      <c r="J20" s="30">
        <v>5.6935951583231363E-7</v>
      </c>
      <c r="K20" s="30" t="s">
        <v>25</v>
      </c>
      <c r="L20" s="30">
        <v>2.0134823446170761E-5</v>
      </c>
      <c r="M20" s="30">
        <v>164080.55211305869</v>
      </c>
      <c r="N20" s="30">
        <v>5802542.779876302</v>
      </c>
      <c r="O20" s="1">
        <v>18</v>
      </c>
      <c r="P20" t="s">
        <v>13</v>
      </c>
      <c r="Q20" t="s">
        <v>16</v>
      </c>
      <c r="R20" t="s">
        <v>19</v>
      </c>
      <c r="S20" t="s">
        <v>23</v>
      </c>
      <c r="T20">
        <v>2050</v>
      </c>
      <c r="U20" t="s">
        <v>49</v>
      </c>
      <c r="V20">
        <v>3.47E-12</v>
      </c>
      <c r="W20" t="s">
        <v>53</v>
      </c>
      <c r="X20">
        <v>3.4279086419465413E-7</v>
      </c>
      <c r="Y20" t="s">
        <v>25</v>
      </c>
      <c r="Z20">
        <v>2.6598660868098091E-5</v>
      </c>
      <c r="AA20">
        <v>98786.992563300897</v>
      </c>
      <c r="AB20">
        <v>7665320.1348985853</v>
      </c>
    </row>
    <row r="21" spans="1:33" x14ac:dyDescent="0.35">
      <c r="A21" s="31">
        <v>19</v>
      </c>
      <c r="B21" s="30" t="s">
        <v>12</v>
      </c>
      <c r="C21" s="30" t="s">
        <v>16</v>
      </c>
      <c r="D21" s="30" t="s">
        <v>18</v>
      </c>
      <c r="E21" s="30" t="s">
        <v>23</v>
      </c>
      <c r="F21" s="30">
        <v>2050</v>
      </c>
      <c r="G21" s="30" t="s">
        <v>50</v>
      </c>
      <c r="H21" s="30">
        <v>5.0000000000000004E-6</v>
      </c>
      <c r="I21" s="30" t="s">
        <v>54</v>
      </c>
      <c r="J21" s="30"/>
      <c r="K21" s="30"/>
      <c r="L21" s="30"/>
      <c r="M21" s="30"/>
      <c r="N21" s="30"/>
      <c r="O21" s="1">
        <v>19</v>
      </c>
      <c r="P21" t="s">
        <v>13</v>
      </c>
      <c r="Q21" t="s">
        <v>16</v>
      </c>
      <c r="R21" t="s">
        <v>19</v>
      </c>
      <c r="S21" t="s">
        <v>23</v>
      </c>
      <c r="T21">
        <v>2050</v>
      </c>
      <c r="U21" t="s">
        <v>50</v>
      </c>
      <c r="V21">
        <v>5.0000000000000004E-6</v>
      </c>
      <c r="W21" t="s">
        <v>54</v>
      </c>
    </row>
    <row r="22" spans="1:33" x14ac:dyDescent="0.35">
      <c r="A22" s="31">
        <v>20</v>
      </c>
      <c r="B22" s="30" t="s">
        <v>12</v>
      </c>
      <c r="C22" s="30" t="s">
        <v>16</v>
      </c>
      <c r="D22" s="30" t="s">
        <v>18</v>
      </c>
      <c r="E22" s="30" t="s">
        <v>23</v>
      </c>
      <c r="F22" s="30">
        <v>2050</v>
      </c>
      <c r="G22" s="30" t="s">
        <v>51</v>
      </c>
      <c r="H22" s="30">
        <v>4.16E-6</v>
      </c>
      <c r="I22" s="30" t="s">
        <v>54</v>
      </c>
      <c r="J22" s="30"/>
      <c r="K22" s="30"/>
      <c r="L22" s="30"/>
      <c r="M22" s="30"/>
      <c r="N22" s="30"/>
      <c r="O22" s="1">
        <v>20</v>
      </c>
      <c r="P22" t="s">
        <v>13</v>
      </c>
      <c r="Q22" t="s">
        <v>16</v>
      </c>
      <c r="R22" t="s">
        <v>19</v>
      </c>
      <c r="S22" t="s">
        <v>23</v>
      </c>
      <c r="T22">
        <v>2050</v>
      </c>
      <c r="U22" t="s">
        <v>51</v>
      </c>
      <c r="V22">
        <v>4.16E-6</v>
      </c>
      <c r="W22" t="s">
        <v>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workbookViewId="0">
      <selection activeCell="I37" sqref="I37"/>
    </sheetView>
  </sheetViews>
  <sheetFormatPr baseColWidth="10" defaultColWidth="8.7265625" defaultRowHeight="14.5" x14ac:dyDescent="0.35"/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</row>
    <row r="2" spans="1:10" x14ac:dyDescent="0.35">
      <c r="A2" s="1">
        <v>2</v>
      </c>
      <c r="B2" t="s">
        <v>10</v>
      </c>
      <c r="C2" t="s">
        <v>16</v>
      </c>
      <c r="D2" t="s">
        <v>19</v>
      </c>
      <c r="E2" t="s">
        <v>21</v>
      </c>
      <c r="F2" s="2">
        <v>2050</v>
      </c>
      <c r="G2" t="s">
        <v>24</v>
      </c>
      <c r="H2" s="5">
        <v>1.7417130655725331E-2</v>
      </c>
      <c r="I2" s="5">
        <f>H2*1000</f>
        <v>17.41713065572533</v>
      </c>
      <c r="J2" t="s">
        <v>25</v>
      </c>
    </row>
    <row r="3" spans="1:10" x14ac:dyDescent="0.35">
      <c r="A3" s="1">
        <v>0</v>
      </c>
      <c r="B3" t="s">
        <v>8</v>
      </c>
      <c r="C3" t="s">
        <v>16</v>
      </c>
      <c r="D3" t="s">
        <v>18</v>
      </c>
      <c r="E3" t="s">
        <v>21</v>
      </c>
      <c r="F3" s="2">
        <v>2050</v>
      </c>
      <c r="G3" t="s">
        <v>24</v>
      </c>
      <c r="H3" s="3">
        <v>3.7567263802992051E-2</v>
      </c>
      <c r="I3" s="3">
        <f t="shared" ref="I3:I10" si="0">H3*1000</f>
        <v>37.567263802992052</v>
      </c>
      <c r="J3" t="s">
        <v>25</v>
      </c>
    </row>
    <row r="4" spans="1:10" x14ac:dyDescent="0.35">
      <c r="A4" s="1">
        <v>5</v>
      </c>
      <c r="B4" t="s">
        <v>13</v>
      </c>
      <c r="C4" t="s">
        <v>16</v>
      </c>
      <c r="D4" t="s">
        <v>19</v>
      </c>
      <c r="E4" t="s">
        <v>23</v>
      </c>
      <c r="F4" s="2">
        <v>2050</v>
      </c>
      <c r="G4" t="s">
        <v>24</v>
      </c>
      <c r="H4" s="7">
        <v>1.2887523394299549E-2</v>
      </c>
      <c r="I4" s="7">
        <f t="shared" si="0"/>
        <v>12.887523394299549</v>
      </c>
      <c r="J4" t="s">
        <v>25</v>
      </c>
    </row>
    <row r="5" spans="1:10" x14ac:dyDescent="0.35">
      <c r="A5" s="1">
        <v>4</v>
      </c>
      <c r="B5" t="s">
        <v>12</v>
      </c>
      <c r="C5" t="s">
        <v>16</v>
      </c>
      <c r="D5" t="s">
        <v>18</v>
      </c>
      <c r="E5" t="s">
        <v>23</v>
      </c>
      <c r="F5" s="2">
        <v>2050</v>
      </c>
      <c r="G5" t="s">
        <v>24</v>
      </c>
      <c r="H5" s="6">
        <v>2.8277353280720931E-2</v>
      </c>
      <c r="I5" s="6">
        <f t="shared" si="0"/>
        <v>28.277353280720931</v>
      </c>
      <c r="J5" t="s">
        <v>25</v>
      </c>
    </row>
    <row r="6" spans="1:10" x14ac:dyDescent="0.35">
      <c r="A6" s="1">
        <v>3</v>
      </c>
      <c r="B6" t="s">
        <v>11</v>
      </c>
      <c r="C6" t="s">
        <v>16</v>
      </c>
      <c r="D6" t="s">
        <v>19</v>
      </c>
      <c r="E6" t="s">
        <v>22</v>
      </c>
      <c r="F6" s="2">
        <v>2050</v>
      </c>
      <c r="G6" t="s">
        <v>24</v>
      </c>
      <c r="H6" s="2">
        <v>1.00178725812946E-2</v>
      </c>
      <c r="I6" s="2">
        <f t="shared" si="0"/>
        <v>10.017872581294601</v>
      </c>
      <c r="J6" t="s">
        <v>25</v>
      </c>
    </row>
    <row r="7" spans="1:10" x14ac:dyDescent="0.35">
      <c r="A7" s="1">
        <v>1</v>
      </c>
      <c r="B7" t="s">
        <v>9</v>
      </c>
      <c r="C7" t="s">
        <v>16</v>
      </c>
      <c r="D7" t="s">
        <v>18</v>
      </c>
      <c r="E7" t="s">
        <v>22</v>
      </c>
      <c r="F7" s="2">
        <v>2050</v>
      </c>
      <c r="G7" t="s">
        <v>24</v>
      </c>
      <c r="H7" s="4">
        <v>2.1744280567840269E-2</v>
      </c>
      <c r="I7" s="4">
        <f t="shared" si="0"/>
        <v>21.744280567840271</v>
      </c>
      <c r="J7" t="s">
        <v>25</v>
      </c>
    </row>
    <row r="9" spans="1:10" x14ac:dyDescent="0.35">
      <c r="A9" s="1">
        <v>7</v>
      </c>
      <c r="B9" t="s">
        <v>15</v>
      </c>
      <c r="C9" t="s">
        <v>17</v>
      </c>
      <c r="D9" t="s">
        <v>20</v>
      </c>
      <c r="E9" t="s">
        <v>23</v>
      </c>
      <c r="F9" s="2">
        <v>2050</v>
      </c>
      <c r="G9" t="s">
        <v>24</v>
      </c>
      <c r="H9" s="9">
        <v>1.442483681787711E-2</v>
      </c>
      <c r="I9" s="9">
        <f t="shared" si="0"/>
        <v>14.424836817877109</v>
      </c>
      <c r="J9" t="s">
        <v>25</v>
      </c>
    </row>
    <row r="10" spans="1:10" x14ac:dyDescent="0.35">
      <c r="A10" s="1">
        <v>6</v>
      </c>
      <c r="B10" t="s">
        <v>14</v>
      </c>
      <c r="C10" t="s">
        <v>17</v>
      </c>
      <c r="D10" t="s">
        <v>18</v>
      </c>
      <c r="E10" t="s">
        <v>23</v>
      </c>
      <c r="F10" s="2">
        <v>2050</v>
      </c>
      <c r="G10" t="s">
        <v>24</v>
      </c>
      <c r="H10" s="8">
        <v>4.5122473416515117E-2</v>
      </c>
      <c r="I10" s="8">
        <f t="shared" si="0"/>
        <v>45.12247341651512</v>
      </c>
      <c r="J10" t="s">
        <v>25</v>
      </c>
    </row>
    <row r="13" spans="1:10" x14ac:dyDescent="0.35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/>
      <c r="J13" s="1" t="s">
        <v>7</v>
      </c>
    </row>
    <row r="14" spans="1:10" x14ac:dyDescent="0.35">
      <c r="A14" s="1">
        <v>2</v>
      </c>
      <c r="B14" t="s">
        <v>10</v>
      </c>
      <c r="C14" t="s">
        <v>16</v>
      </c>
      <c r="D14" t="s">
        <v>19</v>
      </c>
      <c r="E14" t="s">
        <v>64</v>
      </c>
      <c r="F14" s="2">
        <v>2050</v>
      </c>
      <c r="G14" t="s">
        <v>26</v>
      </c>
      <c r="H14" s="12">
        <v>1.234003978551082E-2</v>
      </c>
      <c r="I14" s="12">
        <f>H14*1000</f>
        <v>12.34003978551082</v>
      </c>
      <c r="J14" t="s">
        <v>25</v>
      </c>
    </row>
    <row r="15" spans="1:10" x14ac:dyDescent="0.35">
      <c r="A15" s="1">
        <v>0</v>
      </c>
      <c r="B15" t="s">
        <v>8</v>
      </c>
      <c r="C15" t="s">
        <v>16</v>
      </c>
      <c r="D15" t="s">
        <v>18</v>
      </c>
      <c r="E15" t="s">
        <v>21</v>
      </c>
      <c r="F15" s="2">
        <v>2050</v>
      </c>
      <c r="G15" t="s">
        <v>26</v>
      </c>
      <c r="H15" s="10">
        <v>1.4367571172169779E-2</v>
      </c>
      <c r="I15" s="10">
        <f t="shared" ref="I15:I19" si="1">H15*1000</f>
        <v>14.367571172169779</v>
      </c>
      <c r="J15" t="s">
        <v>25</v>
      </c>
    </row>
    <row r="16" spans="1:10" x14ac:dyDescent="0.35">
      <c r="A16" s="1">
        <v>5</v>
      </c>
      <c r="B16" t="s">
        <v>13</v>
      </c>
      <c r="C16" t="s">
        <v>92</v>
      </c>
      <c r="D16" t="s">
        <v>19</v>
      </c>
      <c r="E16" t="s">
        <v>65</v>
      </c>
      <c r="F16" s="2">
        <v>2050</v>
      </c>
      <c r="G16" t="s">
        <v>26</v>
      </c>
      <c r="H16" s="14">
        <v>9.4866620280875148E-3</v>
      </c>
      <c r="I16" s="14">
        <f t="shared" si="1"/>
        <v>9.4866620280875154</v>
      </c>
      <c r="J16" t="s">
        <v>25</v>
      </c>
    </row>
    <row r="17" spans="1:11" x14ac:dyDescent="0.35">
      <c r="A17" s="1">
        <v>4</v>
      </c>
      <c r="B17" t="s">
        <v>12</v>
      </c>
      <c r="C17" t="s">
        <v>16</v>
      </c>
      <c r="D17" t="s">
        <v>18</v>
      </c>
      <c r="E17" t="s">
        <v>23</v>
      </c>
      <c r="F17" s="2">
        <v>2050</v>
      </c>
      <c r="G17" t="s">
        <v>26</v>
      </c>
      <c r="H17" s="13">
        <v>1.1287679999233651E-2</v>
      </c>
      <c r="I17" s="13">
        <f t="shared" si="1"/>
        <v>11.287679999233651</v>
      </c>
      <c r="J17" t="s">
        <v>25</v>
      </c>
    </row>
    <row r="18" spans="1:11" x14ac:dyDescent="0.35">
      <c r="A18" s="1">
        <v>3</v>
      </c>
      <c r="B18" t="s">
        <v>11</v>
      </c>
      <c r="C18" t="s">
        <v>16</v>
      </c>
      <c r="D18" t="s">
        <v>19</v>
      </c>
      <c r="E18" t="s">
        <v>66</v>
      </c>
      <c r="F18" s="2">
        <v>2050</v>
      </c>
      <c r="G18" t="s">
        <v>26</v>
      </c>
      <c r="H18" s="2">
        <v>7.4011479488635193E-3</v>
      </c>
      <c r="I18" s="2">
        <f t="shared" si="1"/>
        <v>7.4011479488635192</v>
      </c>
      <c r="J18" t="s">
        <v>25</v>
      </c>
    </row>
    <row r="19" spans="1:11" x14ac:dyDescent="0.35">
      <c r="A19" s="1">
        <v>1</v>
      </c>
      <c r="B19" t="s">
        <v>9</v>
      </c>
      <c r="C19" t="s">
        <v>16</v>
      </c>
      <c r="D19" t="s">
        <v>18</v>
      </c>
      <c r="E19" t="s">
        <v>22</v>
      </c>
      <c r="F19" s="2">
        <v>2050</v>
      </c>
      <c r="G19" t="s">
        <v>26</v>
      </c>
      <c r="H19" s="11">
        <v>9.1014985869846479E-3</v>
      </c>
      <c r="I19" s="11">
        <f t="shared" si="1"/>
        <v>9.1014985869846488</v>
      </c>
      <c r="J19" t="s">
        <v>25</v>
      </c>
    </row>
    <row r="20" spans="1:11" x14ac:dyDescent="0.35">
      <c r="A20" s="1"/>
      <c r="F20" s="2"/>
    </row>
    <row r="21" spans="1:11" x14ac:dyDescent="0.35">
      <c r="A21" s="1">
        <v>7</v>
      </c>
      <c r="B21" t="s">
        <v>15</v>
      </c>
      <c r="C21" t="s">
        <v>17</v>
      </c>
      <c r="D21" t="s">
        <v>20</v>
      </c>
      <c r="E21" t="s">
        <v>23</v>
      </c>
      <c r="F21" s="2">
        <v>2050</v>
      </c>
      <c r="G21" t="s">
        <v>26</v>
      </c>
      <c r="H21" s="15">
        <v>9.0008182856830751E-3</v>
      </c>
      <c r="I21" s="15">
        <f t="shared" ref="I21:I25" si="2">H21*1000</f>
        <v>9.0008182856830743</v>
      </c>
      <c r="J21" t="s">
        <v>25</v>
      </c>
    </row>
    <row r="22" spans="1:11" x14ac:dyDescent="0.35">
      <c r="A22" s="1">
        <v>6</v>
      </c>
      <c r="B22" t="s">
        <v>14</v>
      </c>
      <c r="C22" t="s">
        <v>93</v>
      </c>
      <c r="D22" t="s">
        <v>18</v>
      </c>
      <c r="E22" t="s">
        <v>23</v>
      </c>
      <c r="F22" s="2">
        <v>2050</v>
      </c>
      <c r="G22" t="s">
        <v>26</v>
      </c>
      <c r="H22" s="8">
        <v>1.572272292876933E-2</v>
      </c>
      <c r="I22" s="8">
        <f t="shared" si="2"/>
        <v>15.722722928769331</v>
      </c>
      <c r="J22" t="s">
        <v>25</v>
      </c>
    </row>
    <row r="24" spans="1:11" x14ac:dyDescent="0.35">
      <c r="A24" s="1">
        <v>6</v>
      </c>
      <c r="B24" t="s">
        <v>14</v>
      </c>
      <c r="C24" t="s">
        <v>93</v>
      </c>
      <c r="D24" t="s">
        <v>18</v>
      </c>
      <c r="E24" t="s">
        <v>23</v>
      </c>
      <c r="F24" s="2">
        <v>2050</v>
      </c>
      <c r="G24" t="s">
        <v>26</v>
      </c>
      <c r="H24" s="8">
        <v>1.572272292876933E-2</v>
      </c>
      <c r="I24" s="8">
        <f t="shared" si="2"/>
        <v>15.722722928769331</v>
      </c>
      <c r="J24" t="s">
        <v>25</v>
      </c>
    </row>
    <row r="25" spans="1:11" x14ac:dyDescent="0.35">
      <c r="A25" s="1">
        <v>7</v>
      </c>
      <c r="B25" t="s">
        <v>15</v>
      </c>
      <c r="C25" t="s">
        <v>17</v>
      </c>
      <c r="D25" t="s">
        <v>20</v>
      </c>
      <c r="E25" t="s">
        <v>23</v>
      </c>
      <c r="F25" s="2">
        <v>2050</v>
      </c>
      <c r="G25" t="s">
        <v>26</v>
      </c>
      <c r="H25" s="15">
        <v>9.0008182856830751E-3</v>
      </c>
      <c r="I25" s="15">
        <f t="shared" si="2"/>
        <v>9.0008182856830743</v>
      </c>
      <c r="J25" t="s">
        <v>25</v>
      </c>
    </row>
    <row r="32" spans="1:11" x14ac:dyDescent="0.35">
      <c r="F32" t="s">
        <v>23</v>
      </c>
      <c r="G32" s="2">
        <v>2050</v>
      </c>
      <c r="H32" t="s">
        <v>24</v>
      </c>
      <c r="I32" s="7">
        <v>1.2887523394299549E-2</v>
      </c>
      <c r="K32" t="s">
        <v>25</v>
      </c>
    </row>
    <row r="33" spans="6:12" x14ac:dyDescent="0.35">
      <c r="F33" t="s">
        <v>23</v>
      </c>
      <c r="G33" s="2">
        <v>2050</v>
      </c>
      <c r="H33" t="s">
        <v>24</v>
      </c>
      <c r="I33" s="6">
        <v>2.8277353280720931E-2</v>
      </c>
      <c r="K33" t="s">
        <v>25</v>
      </c>
    </row>
    <row r="34" spans="6:12" x14ac:dyDescent="0.35">
      <c r="F34" t="s">
        <v>23</v>
      </c>
      <c r="G34" s="2">
        <v>2050</v>
      </c>
      <c r="H34" t="s">
        <v>24</v>
      </c>
      <c r="I34" s="9">
        <v>1.442483681787711E-2</v>
      </c>
    </row>
    <row r="35" spans="6:12" x14ac:dyDescent="0.35">
      <c r="F35" t="s">
        <v>23</v>
      </c>
      <c r="G35" s="2">
        <v>2050</v>
      </c>
      <c r="H35" t="s">
        <v>24</v>
      </c>
      <c r="I35" s="8">
        <v>4.5122473416515117E-2</v>
      </c>
    </row>
    <row r="41" spans="6:12" x14ac:dyDescent="0.35">
      <c r="F41" s="45" t="s">
        <v>1</v>
      </c>
      <c r="G41" s="45" t="s">
        <v>2</v>
      </c>
      <c r="H41" s="45" t="s">
        <v>25</v>
      </c>
      <c r="I41" s="45" t="s">
        <v>1</v>
      </c>
      <c r="J41" s="45" t="s">
        <v>2</v>
      </c>
      <c r="K41" s="45" t="s">
        <v>25</v>
      </c>
    </row>
    <row r="42" spans="6:12" x14ac:dyDescent="0.35">
      <c r="F42" s="40" t="s">
        <v>16</v>
      </c>
      <c r="G42" s="40" t="s">
        <v>19</v>
      </c>
      <c r="H42" s="41">
        <v>12.887523394299549</v>
      </c>
      <c r="I42" s="40" t="s">
        <v>17</v>
      </c>
      <c r="J42" s="40" t="s">
        <v>20</v>
      </c>
      <c r="K42" s="42">
        <v>14.424836817877109</v>
      </c>
      <c r="L42">
        <f>K42/H42</f>
        <v>1.1192869550295093</v>
      </c>
    </row>
    <row r="43" spans="6:12" x14ac:dyDescent="0.35">
      <c r="F43" s="40" t="s">
        <v>16</v>
      </c>
      <c r="G43" s="40" t="s">
        <v>18</v>
      </c>
      <c r="H43" s="43">
        <v>28.277353280720931</v>
      </c>
      <c r="I43" s="40" t="s">
        <v>17</v>
      </c>
      <c r="J43" s="40" t="s">
        <v>18</v>
      </c>
      <c r="K43" s="44">
        <v>45.12247341651512</v>
      </c>
      <c r="L43">
        <f>K43/H43</f>
        <v>1.5957106370092613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1"/>
  <sheetViews>
    <sheetView topLeftCell="A10" workbookViewId="0">
      <selection activeCell="W26" sqref="W26"/>
    </sheetView>
  </sheetViews>
  <sheetFormatPr baseColWidth="10" defaultColWidth="8.7265625" defaultRowHeight="14.5" x14ac:dyDescent="0.35"/>
  <cols>
    <col min="7" max="7" width="21.7265625" customWidth="1"/>
    <col min="9" max="9" width="12.453125" customWidth="1"/>
    <col min="10" max="10" width="9.1796875" customWidth="1"/>
    <col min="11" max="11" width="13" customWidth="1"/>
    <col min="12" max="12" width="10.6328125" customWidth="1"/>
    <col min="13" max="13" width="15.81640625" customWidth="1"/>
    <col min="14" max="14" width="16.54296875" customWidth="1"/>
    <col min="16" max="16" width="16" customWidth="1"/>
    <col min="17" max="17" width="13" customWidth="1"/>
    <col min="18" max="18" width="16.6328125" customWidth="1"/>
    <col min="19" max="19" width="18.7265625" customWidth="1"/>
    <col min="20" max="20" width="19.90625" customWidth="1"/>
  </cols>
  <sheetData>
    <row r="1" spans="1:2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6</v>
      </c>
      <c r="K1" s="1" t="s">
        <v>29</v>
      </c>
      <c r="L1" s="1" t="s">
        <v>30</v>
      </c>
      <c r="M1" s="1" t="s">
        <v>31</v>
      </c>
      <c r="N1" s="1" t="s">
        <v>32</v>
      </c>
      <c r="R1" t="s">
        <v>114</v>
      </c>
      <c r="S1" t="s">
        <v>115</v>
      </c>
      <c r="T1" t="s">
        <v>116</v>
      </c>
      <c r="U1" t="s">
        <v>117</v>
      </c>
    </row>
    <row r="2" spans="1:21" x14ac:dyDescent="0.35">
      <c r="A2" s="1">
        <v>0</v>
      </c>
      <c r="B2" t="s">
        <v>8</v>
      </c>
      <c r="C2" t="s">
        <v>16</v>
      </c>
      <c r="D2" t="s">
        <v>18</v>
      </c>
      <c r="E2" t="s">
        <v>21</v>
      </c>
      <c r="F2">
        <v>2050</v>
      </c>
      <c r="G2" t="s">
        <v>58</v>
      </c>
      <c r="H2">
        <v>0.86085528276763223</v>
      </c>
      <c r="I2" t="s">
        <v>52</v>
      </c>
      <c r="J2">
        <v>1.236839941812084E-2</v>
      </c>
      <c r="K2" t="s">
        <v>25</v>
      </c>
      <c r="L2">
        <v>0.32923343800023469</v>
      </c>
      <c r="M2">
        <v>1.4367571025825259E-2</v>
      </c>
      <c r="N2">
        <v>0.38244922763528388</v>
      </c>
      <c r="Q2" s="46">
        <f>(J2-J11)/(J$8-J$17)</f>
        <v>0.2407154547328276</v>
      </c>
      <c r="R2" s="46">
        <f>(H2-H11)/H11</f>
        <v>-8.4640958167202199E-2</v>
      </c>
      <c r="S2" s="46">
        <f>(M2-M11)/M11</f>
        <v>0.57859398094454961</v>
      </c>
      <c r="T2" s="47">
        <f>Q2*R2/(R2+S2)</f>
        <v>-4.1247620309480731E-2</v>
      </c>
      <c r="U2" s="47">
        <f>Q2*S2/(R2+S2)</f>
        <v>0.28196307504230833</v>
      </c>
    </row>
    <row r="3" spans="1:21" x14ac:dyDescent="0.35">
      <c r="A3" s="1">
        <v>1</v>
      </c>
      <c r="B3" t="s">
        <v>8</v>
      </c>
      <c r="C3" t="s">
        <v>16</v>
      </c>
      <c r="D3" t="s">
        <v>18</v>
      </c>
      <c r="E3" t="s">
        <v>21</v>
      </c>
      <c r="F3">
        <v>2050</v>
      </c>
      <c r="G3" t="s">
        <v>103</v>
      </c>
      <c r="H3">
        <v>8.2040494344195497E-2</v>
      </c>
      <c r="I3" t="s">
        <v>52</v>
      </c>
      <c r="J3">
        <v>6.3870097424183273E-3</v>
      </c>
      <c r="K3" t="s">
        <v>25</v>
      </c>
      <c r="L3">
        <v>0.17001530310838431</v>
      </c>
      <c r="M3">
        <v>7.7851916830511139E-2</v>
      </c>
      <c r="N3">
        <v>2.072333967115024</v>
      </c>
      <c r="Q3" s="46">
        <f t="shared" ref="Q3:Q6" si="0">(J3-J12)/(J$8-J$17)</f>
        <v>0.35793554185800275</v>
      </c>
      <c r="R3" s="46">
        <f t="shared" ref="R3:R6" si="1">(H3-H12)/H12</f>
        <v>2.4062187748966108</v>
      </c>
      <c r="S3" s="46">
        <f t="shared" ref="S3:S6" si="2">(M3-M12)/M12</f>
        <v>1.5920629029291218</v>
      </c>
      <c r="T3" s="47">
        <f t="shared" ref="T3:T6" si="3">Q3*R3/(R3+S3)</f>
        <v>0.2154103413469052</v>
      </c>
      <c r="U3" s="47">
        <f t="shared" ref="U3:U6" si="4">Q3*S3/(R3+S3)</f>
        <v>0.14252520051109752</v>
      </c>
    </row>
    <row r="4" spans="1:21" x14ac:dyDescent="0.35">
      <c r="A4" s="1">
        <v>2</v>
      </c>
      <c r="B4" t="s">
        <v>8</v>
      </c>
      <c r="C4" t="s">
        <v>16</v>
      </c>
      <c r="D4" t="s">
        <v>18</v>
      </c>
      <c r="E4" t="s">
        <v>21</v>
      </c>
      <c r="F4">
        <v>2050</v>
      </c>
      <c r="G4" t="s">
        <v>60</v>
      </c>
      <c r="H4">
        <v>5.7104222888172101E-2</v>
      </c>
      <c r="I4" t="s">
        <v>52</v>
      </c>
      <c r="J4">
        <v>1.544902651954695E-2</v>
      </c>
      <c r="K4" t="s">
        <v>25</v>
      </c>
      <c r="L4">
        <v>0.41123640520011751</v>
      </c>
      <c r="M4">
        <v>0.2705408766318555</v>
      </c>
      <c r="N4">
        <v>7.2015060253152736</v>
      </c>
      <c r="Q4" s="46">
        <f t="shared" si="0"/>
        <v>0.37010607747685842</v>
      </c>
      <c r="R4" s="46">
        <f t="shared" si="1"/>
        <v>0.61047130191841492</v>
      </c>
      <c r="S4" s="46">
        <f t="shared" si="2"/>
        <v>1.6916560765774657E-6</v>
      </c>
      <c r="T4" s="47">
        <f t="shared" si="3"/>
        <v>0.37010505189144921</v>
      </c>
      <c r="U4" s="47">
        <f t="shared" si="4"/>
        <v>1.0255854092349469E-6</v>
      </c>
    </row>
    <row r="5" spans="1:21" x14ac:dyDescent="0.35">
      <c r="A5" s="1">
        <v>3</v>
      </c>
      <c r="B5" t="s">
        <v>8</v>
      </c>
      <c r="C5" t="s">
        <v>16</v>
      </c>
      <c r="D5" t="s">
        <v>18</v>
      </c>
      <c r="E5" t="s">
        <v>21</v>
      </c>
      <c r="F5">
        <v>2050</v>
      </c>
      <c r="G5" t="s">
        <v>61</v>
      </c>
      <c r="H5">
        <v>3.1242684515255099E-2</v>
      </c>
      <c r="I5" t="s">
        <v>52</v>
      </c>
      <c r="J5">
        <v>1.173702171098243E-3</v>
      </c>
      <c r="K5" t="s">
        <v>25</v>
      </c>
      <c r="L5">
        <v>3.1242684515255081E-2</v>
      </c>
      <c r="M5">
        <v>3.7567263802992031E-2</v>
      </c>
      <c r="N5">
        <v>1</v>
      </c>
      <c r="Q5" s="46">
        <f t="shared" si="0"/>
        <v>3.1242684515255133E-2</v>
      </c>
      <c r="R5" s="46">
        <f t="shared" si="1"/>
        <v>0</v>
      </c>
      <c r="S5" s="46">
        <f t="shared" si="2"/>
        <v>0.72768483582546639</v>
      </c>
      <c r="T5" s="47">
        <f t="shared" si="3"/>
        <v>0</v>
      </c>
      <c r="U5" s="47">
        <f t="shared" si="4"/>
        <v>3.1242684515255133E-2</v>
      </c>
    </row>
    <row r="6" spans="1:21" x14ac:dyDescent="0.35">
      <c r="A6" s="1">
        <v>4</v>
      </c>
      <c r="B6" t="s">
        <v>8</v>
      </c>
      <c r="C6" t="s">
        <v>16</v>
      </c>
      <c r="D6" t="s">
        <v>18</v>
      </c>
      <c r="E6" t="s">
        <v>21</v>
      </c>
      <c r="F6">
        <v>2050</v>
      </c>
      <c r="G6" t="s">
        <v>62</v>
      </c>
      <c r="H6">
        <v>6.0394699999999996E-9</v>
      </c>
      <c r="I6" t="s">
        <v>53</v>
      </c>
      <c r="J6">
        <v>8.2412612588840994E-4</v>
      </c>
      <c r="K6" t="s">
        <v>25</v>
      </c>
      <c r="L6">
        <v>2.193734763889757E-2</v>
      </c>
      <c r="M6">
        <v>136456.69667841881</v>
      </c>
      <c r="N6">
        <v>3632329.9294304941</v>
      </c>
      <c r="Q6" s="46">
        <f t="shared" si="0"/>
        <v>2.3062912153037128E-7</v>
      </c>
      <c r="R6" s="46">
        <f t="shared" si="1"/>
        <v>0</v>
      </c>
      <c r="S6" s="46">
        <f t="shared" si="2"/>
        <v>4.4280320305765475E-6</v>
      </c>
      <c r="T6" s="47">
        <f t="shared" si="3"/>
        <v>0</v>
      </c>
      <c r="U6" s="47">
        <f t="shared" si="4"/>
        <v>2.3062912153037128E-7</v>
      </c>
    </row>
    <row r="7" spans="1:21" x14ac:dyDescent="0.35">
      <c r="A7" s="1">
        <v>5</v>
      </c>
      <c r="B7" t="s">
        <v>8</v>
      </c>
      <c r="C7" t="s">
        <v>16</v>
      </c>
      <c r="D7" t="s">
        <v>18</v>
      </c>
      <c r="E7" t="s">
        <v>21</v>
      </c>
      <c r="F7">
        <v>2050</v>
      </c>
      <c r="G7" t="s">
        <v>63</v>
      </c>
      <c r="J7">
        <v>1.3649998259192551E-3</v>
      </c>
      <c r="K7" t="s">
        <v>25</v>
      </c>
      <c r="L7">
        <v>3.6334821537110762E-2</v>
      </c>
      <c r="Q7" s="46">
        <f>(J7-J16)/(J$8-J$17)</f>
        <v>1.0787934269017688E-8</v>
      </c>
      <c r="R7" s="46"/>
    </row>
    <row r="8" spans="1:21" x14ac:dyDescent="0.35">
      <c r="A8" s="1">
        <v>6</v>
      </c>
      <c r="B8" t="s">
        <v>8</v>
      </c>
      <c r="C8" t="s">
        <v>16</v>
      </c>
      <c r="D8" t="s">
        <v>18</v>
      </c>
      <c r="E8" t="s">
        <v>21</v>
      </c>
      <c r="F8">
        <v>2050</v>
      </c>
      <c r="G8" t="s">
        <v>24</v>
      </c>
      <c r="H8">
        <v>1</v>
      </c>
      <c r="I8" t="s">
        <v>52</v>
      </c>
      <c r="J8">
        <v>3.7567263802992031E-2</v>
      </c>
      <c r="K8" t="s">
        <v>25</v>
      </c>
      <c r="L8">
        <v>1</v>
      </c>
      <c r="M8">
        <v>3.7567263802992031E-2</v>
      </c>
      <c r="N8">
        <v>1</v>
      </c>
      <c r="P8" t="s">
        <v>118</v>
      </c>
      <c r="Q8" s="48">
        <f>(J8-J17)/J17</f>
        <v>0.72768483582546639</v>
      </c>
      <c r="R8" t="s">
        <v>119</v>
      </c>
      <c r="S8" s="48">
        <f>(M2-M11)/M11</f>
        <v>0.57859398094454961</v>
      </c>
    </row>
    <row r="10" spans="1:21" x14ac:dyDescent="0.35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27</v>
      </c>
      <c r="I10" s="1" t="s">
        <v>28</v>
      </c>
      <c r="J10" s="1" t="s">
        <v>6</v>
      </c>
      <c r="K10" s="1" t="s">
        <v>29</v>
      </c>
      <c r="L10" s="1" t="s">
        <v>30</v>
      </c>
      <c r="M10" s="1" t="s">
        <v>31</v>
      </c>
      <c r="N10" s="1" t="s">
        <v>32</v>
      </c>
    </row>
    <row r="11" spans="1:21" x14ac:dyDescent="0.35">
      <c r="A11" s="1">
        <v>0</v>
      </c>
      <c r="B11" t="s">
        <v>9</v>
      </c>
      <c r="C11" t="s">
        <v>16</v>
      </c>
      <c r="D11" t="s">
        <v>18</v>
      </c>
      <c r="E11" t="s">
        <v>22</v>
      </c>
      <c r="F11">
        <v>2050</v>
      </c>
      <c r="G11" t="s">
        <v>58</v>
      </c>
      <c r="H11">
        <v>0.94045641483364362</v>
      </c>
      <c r="I11" t="s">
        <v>52</v>
      </c>
      <c r="J11">
        <v>8.5595628134413817E-3</v>
      </c>
      <c r="K11" t="s">
        <v>25</v>
      </c>
      <c r="L11">
        <v>0.39364663212177958</v>
      </c>
      <c r="M11">
        <v>9.1014986749337803E-3</v>
      </c>
      <c r="N11">
        <v>0.41856977730478989</v>
      </c>
    </row>
    <row r="12" spans="1:21" x14ac:dyDescent="0.35">
      <c r="A12" s="1">
        <v>1</v>
      </c>
      <c r="B12" t="s">
        <v>9</v>
      </c>
      <c r="C12" t="s">
        <v>16</v>
      </c>
      <c r="D12" t="s">
        <v>18</v>
      </c>
      <c r="E12" t="s">
        <v>22</v>
      </c>
      <c r="F12">
        <v>2050</v>
      </c>
      <c r="G12" t="s">
        <v>103</v>
      </c>
      <c r="H12">
        <v>2.4085503535129119E-2</v>
      </c>
      <c r="I12" t="s">
        <v>52</v>
      </c>
      <c r="J12">
        <v>7.2340166433419587E-4</v>
      </c>
      <c r="K12" t="s">
        <v>25</v>
      </c>
      <c r="L12">
        <v>3.3268595025585927E-2</v>
      </c>
      <c r="M12">
        <v>3.0034732854104639E-2</v>
      </c>
      <c r="N12">
        <v>1.381270479857857</v>
      </c>
    </row>
    <row r="13" spans="1:21" x14ac:dyDescent="0.35">
      <c r="A13" s="1">
        <v>2</v>
      </c>
      <c r="B13" t="s">
        <v>9</v>
      </c>
      <c r="C13" t="s">
        <v>16</v>
      </c>
      <c r="D13" t="s">
        <v>18</v>
      </c>
      <c r="E13" t="s">
        <v>22</v>
      </c>
      <c r="F13">
        <v>2050</v>
      </c>
      <c r="G13" t="s">
        <v>60</v>
      </c>
      <c r="H13">
        <v>3.5458081631227323E-2</v>
      </c>
      <c r="I13" t="s">
        <v>52</v>
      </c>
      <c r="J13">
        <v>9.5928442604028483E-3</v>
      </c>
      <c r="K13" t="s">
        <v>25</v>
      </c>
      <c r="L13">
        <v>0.44116632097686581</v>
      </c>
      <c r="M13">
        <v>0.27054041897051179</v>
      </c>
      <c r="N13">
        <v>12.44191170760738</v>
      </c>
    </row>
    <row r="14" spans="1:21" x14ac:dyDescent="0.35">
      <c r="A14" s="1">
        <v>3</v>
      </c>
      <c r="B14" t="s">
        <v>9</v>
      </c>
      <c r="C14" t="s">
        <v>16</v>
      </c>
      <c r="D14" t="s">
        <v>18</v>
      </c>
      <c r="E14" t="s">
        <v>22</v>
      </c>
      <c r="F14">
        <v>2050</v>
      </c>
      <c r="G14" t="s">
        <v>61</v>
      </c>
      <c r="H14">
        <v>3.1242684515255099E-2</v>
      </c>
      <c r="I14" t="s">
        <v>52</v>
      </c>
      <c r="J14">
        <v>6.7934969779222612E-4</v>
      </c>
      <c r="K14" t="s">
        <v>25</v>
      </c>
      <c r="L14">
        <v>3.124268451525512E-2</v>
      </c>
      <c r="M14">
        <v>2.174428056784029E-2</v>
      </c>
      <c r="N14">
        <v>1</v>
      </c>
    </row>
    <row r="15" spans="1:21" x14ac:dyDescent="0.35">
      <c r="A15" s="1">
        <v>4</v>
      </c>
      <c r="B15" t="s">
        <v>9</v>
      </c>
      <c r="C15" t="s">
        <v>16</v>
      </c>
      <c r="D15" t="s">
        <v>18</v>
      </c>
      <c r="E15" t="s">
        <v>22</v>
      </c>
      <c r="F15">
        <v>2050</v>
      </c>
      <c r="G15" t="s">
        <v>62</v>
      </c>
      <c r="H15">
        <v>6.0394699999999996E-9</v>
      </c>
      <c r="I15" t="s">
        <v>53</v>
      </c>
      <c r="J15">
        <v>8.2412247664768643E-4</v>
      </c>
      <c r="K15" t="s">
        <v>25</v>
      </c>
      <c r="L15">
        <v>3.7900655028640547E-2</v>
      </c>
      <c r="M15">
        <v>136456.09244647069</v>
      </c>
      <c r="N15">
        <v>6275493.549705606</v>
      </c>
    </row>
    <row r="16" spans="1:21" x14ac:dyDescent="0.35">
      <c r="A16" s="1">
        <v>5</v>
      </c>
      <c r="B16" t="s">
        <v>9</v>
      </c>
      <c r="C16" t="s">
        <v>16</v>
      </c>
      <c r="D16" t="s">
        <v>18</v>
      </c>
      <c r="E16" t="s">
        <v>22</v>
      </c>
      <c r="F16">
        <v>2050</v>
      </c>
      <c r="G16" t="s">
        <v>63</v>
      </c>
      <c r="J16">
        <v>1.364999655221952E-3</v>
      </c>
      <c r="K16" t="s">
        <v>25</v>
      </c>
      <c r="L16">
        <v>6.2775112331872829E-2</v>
      </c>
    </row>
    <row r="17" spans="1:26" x14ac:dyDescent="0.35">
      <c r="A17" s="1">
        <v>6</v>
      </c>
      <c r="B17" t="s">
        <v>9</v>
      </c>
      <c r="C17" t="s">
        <v>16</v>
      </c>
      <c r="D17" t="s">
        <v>18</v>
      </c>
      <c r="E17" t="s">
        <v>22</v>
      </c>
      <c r="F17">
        <v>2050</v>
      </c>
      <c r="G17" t="s">
        <v>24</v>
      </c>
      <c r="H17">
        <v>1</v>
      </c>
      <c r="I17" t="s">
        <v>52</v>
      </c>
      <c r="J17">
        <v>2.174428056784029E-2</v>
      </c>
      <c r="K17" t="s">
        <v>25</v>
      </c>
      <c r="L17">
        <v>1</v>
      </c>
      <c r="M17">
        <v>2.174428056784029E-2</v>
      </c>
      <c r="N17">
        <v>1</v>
      </c>
      <c r="R17" t="s">
        <v>114</v>
      </c>
      <c r="S17" t="s">
        <v>115</v>
      </c>
      <c r="T17" t="s">
        <v>116</v>
      </c>
      <c r="U17" t="s">
        <v>117</v>
      </c>
    </row>
    <row r="19" spans="1:26" x14ac:dyDescent="0.35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27</v>
      </c>
      <c r="I19" s="1" t="s">
        <v>28</v>
      </c>
      <c r="J19" s="1" t="s">
        <v>6</v>
      </c>
      <c r="K19" s="1" t="s">
        <v>29</v>
      </c>
      <c r="L19" s="1" t="s">
        <v>30</v>
      </c>
      <c r="M19" s="1" t="s">
        <v>31</v>
      </c>
      <c r="N19" s="1" t="s">
        <v>32</v>
      </c>
      <c r="U19" t="s">
        <v>27</v>
      </c>
      <c r="V19" t="s">
        <v>6</v>
      </c>
      <c r="Y19" t="s">
        <v>27</v>
      </c>
      <c r="Z19" t="s">
        <v>6</v>
      </c>
    </row>
    <row r="20" spans="1:26" x14ac:dyDescent="0.35">
      <c r="A20" s="1">
        <v>0</v>
      </c>
      <c r="B20" t="s">
        <v>10</v>
      </c>
      <c r="C20" t="s">
        <v>16</v>
      </c>
      <c r="D20" t="s">
        <v>19</v>
      </c>
      <c r="E20" t="s">
        <v>21</v>
      </c>
      <c r="F20">
        <v>2050</v>
      </c>
      <c r="G20" t="s">
        <v>58</v>
      </c>
      <c r="H20">
        <v>0.86085528276763223</v>
      </c>
      <c r="I20" t="s">
        <v>52</v>
      </c>
      <c r="J20">
        <v>1.062298832594458E-2</v>
      </c>
      <c r="K20" t="s">
        <v>25</v>
      </c>
      <c r="L20">
        <v>0.60991609559136006</v>
      </c>
      <c r="M20">
        <v>1.2340039654274861E-2</v>
      </c>
      <c r="N20">
        <v>0.70850014839949915</v>
      </c>
      <c r="O20">
        <f>M20/M$20</f>
        <v>1</v>
      </c>
      <c r="Q20" s="46">
        <f>(J20-J29)/(J$26-J$35)</f>
        <v>0.4949862741784497</v>
      </c>
      <c r="R20" s="46">
        <f>(H20-H29)/H29</f>
        <v>-8.4640958167202199E-2</v>
      </c>
      <c r="S20" s="46">
        <f>(M20-M29)/M29</f>
        <v>0.66731426093787116</v>
      </c>
      <c r="T20" t="s">
        <v>58</v>
      </c>
      <c r="U20" s="47">
        <f>Q20*R20/(R20+S20)</f>
        <v>-7.1903264362477723E-2</v>
      </c>
      <c r="V20" s="47">
        <f>Q20*S20/(R20+S20)</f>
        <v>0.56688953854092738</v>
      </c>
      <c r="X20" t="s">
        <v>58</v>
      </c>
      <c r="Y20" s="46">
        <v>-7.1903264362477723E-2</v>
      </c>
      <c r="Z20" s="46">
        <v>0.56688953854092738</v>
      </c>
    </row>
    <row r="21" spans="1:26" x14ac:dyDescent="0.35">
      <c r="A21" s="1">
        <v>1</v>
      </c>
      <c r="B21" t="s">
        <v>10</v>
      </c>
      <c r="C21" t="s">
        <v>16</v>
      </c>
      <c r="D21" t="s">
        <v>19</v>
      </c>
      <c r="E21" t="s">
        <v>21</v>
      </c>
      <c r="F21">
        <v>2050</v>
      </c>
      <c r="G21" t="s">
        <v>103</v>
      </c>
      <c r="H21">
        <v>8.2040494344195497E-2</v>
      </c>
      <c r="I21" t="s">
        <v>52</v>
      </c>
      <c r="J21">
        <v>3.6028255960408209E-3</v>
      </c>
      <c r="K21" t="s">
        <v>25</v>
      </c>
      <c r="L21">
        <v>0.20685528904019021</v>
      </c>
      <c r="M21">
        <v>4.3915210711985758E-2</v>
      </c>
      <c r="N21">
        <v>2.5213803341108911</v>
      </c>
      <c r="O21">
        <f t="shared" ref="O21:O23" si="5">M21/M$20</f>
        <v>3.5587576654806425</v>
      </c>
      <c r="Q21" s="46">
        <f t="shared" ref="Q21:Q24" si="6">(J21-J30)/(J$26-J$35)</f>
        <v>0.440613510444617</v>
      </c>
      <c r="R21" s="46">
        <f t="shared" ref="R21:R24" si="7">(H21-H30)/H30</f>
        <v>2.4062187748966108</v>
      </c>
      <c r="S21" s="46">
        <f t="shared" ref="S21:S24" si="8">(M21-M30)/M30</f>
        <v>2.0872192271487275</v>
      </c>
      <c r="T21" t="s">
        <v>103</v>
      </c>
      <c r="U21" s="47">
        <f>Q21*R21/(R21+S21)</f>
        <v>0.23594684088716705</v>
      </c>
      <c r="V21" s="47">
        <f>Q21*S21/(R21+S21)</f>
        <v>0.20466666955744994</v>
      </c>
      <c r="X21" t="s">
        <v>103</v>
      </c>
      <c r="Y21" s="46">
        <v>0.23594684088716705</v>
      </c>
      <c r="Z21" s="46">
        <v>0.20466666955744994</v>
      </c>
    </row>
    <row r="22" spans="1:26" x14ac:dyDescent="0.35">
      <c r="A22" s="1">
        <v>2</v>
      </c>
      <c r="B22" t="s">
        <v>10</v>
      </c>
      <c r="C22" t="s">
        <v>16</v>
      </c>
      <c r="D22" t="s">
        <v>19</v>
      </c>
      <c r="E22" t="s">
        <v>21</v>
      </c>
      <c r="F22">
        <v>2050</v>
      </c>
      <c r="G22" t="s">
        <v>60</v>
      </c>
      <c r="H22">
        <v>5.7104222888172101E-2</v>
      </c>
      <c r="I22" t="s">
        <v>52</v>
      </c>
      <c r="J22">
        <v>6.4718751670110456E-4</v>
      </c>
      <c r="K22" t="s">
        <v>25</v>
      </c>
      <c r="L22">
        <v>3.7158101956843402E-2</v>
      </c>
      <c r="M22">
        <v>1.1333444077656039E-2</v>
      </c>
      <c r="N22">
        <v>0.65070672670934648</v>
      </c>
      <c r="O22">
        <f t="shared" si="5"/>
        <v>0.91842849741004562</v>
      </c>
      <c r="Q22" s="46">
        <f t="shared" si="6"/>
        <v>3.3157293476404788E-2</v>
      </c>
      <c r="R22" s="46">
        <f t="shared" si="7"/>
        <v>0.61047130191841492</v>
      </c>
      <c r="S22" s="46">
        <f t="shared" si="8"/>
        <v>3.493869288074518E-5</v>
      </c>
      <c r="T22" t="s">
        <v>60</v>
      </c>
      <c r="U22" s="47">
        <f>Q22*R22/(R22+S22)</f>
        <v>3.3155395915959916E-2</v>
      </c>
      <c r="V22" s="47">
        <f>Q22*S22/(R22+S22)</f>
        <v>1.8975604448676431E-6</v>
      </c>
      <c r="X22" t="s">
        <v>60</v>
      </c>
      <c r="Y22" s="46">
        <v>3.3155395915959916E-2</v>
      </c>
      <c r="Z22" s="46">
        <v>1.8975604448676431E-6</v>
      </c>
    </row>
    <row r="23" spans="1:26" x14ac:dyDescent="0.35">
      <c r="A23" s="1">
        <v>3</v>
      </c>
      <c r="B23" t="s">
        <v>10</v>
      </c>
      <c r="C23" t="s">
        <v>16</v>
      </c>
      <c r="D23" t="s">
        <v>19</v>
      </c>
      <c r="E23" t="s">
        <v>21</v>
      </c>
      <c r="F23">
        <v>2050</v>
      </c>
      <c r="G23" t="s">
        <v>61</v>
      </c>
      <c r="H23">
        <v>3.1242684515255099E-2</v>
      </c>
      <c r="I23" t="s">
        <v>52</v>
      </c>
      <c r="J23">
        <v>5.4415791823780445E-4</v>
      </c>
      <c r="K23" t="s">
        <v>25</v>
      </c>
      <c r="L23">
        <v>3.1242684515255081E-2</v>
      </c>
      <c r="M23">
        <v>1.7417130655725321E-2</v>
      </c>
      <c r="N23">
        <v>1</v>
      </c>
      <c r="O23">
        <f t="shared" si="5"/>
        <v>1.4114323084603415</v>
      </c>
      <c r="Q23" s="46">
        <f t="shared" si="6"/>
        <v>3.1242684515255113E-2</v>
      </c>
      <c r="R23" s="46">
        <f t="shared" si="7"/>
        <v>0</v>
      </c>
      <c r="S23" s="46">
        <f t="shared" si="8"/>
        <v>0.73860572835061356</v>
      </c>
      <c r="T23" t="s">
        <v>61</v>
      </c>
      <c r="U23" s="47">
        <f>Q23*R23/(R23+S23)</f>
        <v>0</v>
      </c>
      <c r="V23" s="47">
        <f>Q23*S23/(R23+S23)</f>
        <v>3.1242684515255113E-2</v>
      </c>
      <c r="X23" t="s">
        <v>61</v>
      </c>
      <c r="Y23" s="46">
        <v>0</v>
      </c>
      <c r="Z23" s="46">
        <v>3.1242684515255113E-2</v>
      </c>
    </row>
    <row r="24" spans="1:26" x14ac:dyDescent="0.35">
      <c r="A24" s="1">
        <v>4</v>
      </c>
      <c r="B24" t="s">
        <v>10</v>
      </c>
      <c r="C24" t="s">
        <v>16</v>
      </c>
      <c r="D24" t="s">
        <v>19</v>
      </c>
      <c r="E24" t="s">
        <v>21</v>
      </c>
      <c r="F24">
        <v>2050</v>
      </c>
      <c r="G24" t="s">
        <v>62</v>
      </c>
      <c r="H24">
        <v>6.0394699999999996E-9</v>
      </c>
      <c r="I24" t="s">
        <v>53</v>
      </c>
      <c r="J24">
        <v>6.3497133589339894E-4</v>
      </c>
      <c r="K24" t="s">
        <v>25</v>
      </c>
      <c r="L24">
        <v>3.6456713131716237E-2</v>
      </c>
      <c r="M24">
        <v>105136.93020967051</v>
      </c>
      <c r="N24">
        <v>6036409.3424946629</v>
      </c>
      <c r="Q24" s="46">
        <f t="shared" si="6"/>
        <v>2.3395513890801265E-7</v>
      </c>
      <c r="R24" s="46">
        <f t="shared" si="7"/>
        <v>0</v>
      </c>
      <c r="S24" s="46">
        <f t="shared" si="8"/>
        <v>2.7262634895128705E-6</v>
      </c>
      <c r="T24" t="s">
        <v>62</v>
      </c>
      <c r="U24" s="47">
        <f>Q24*R24/(R24+S24)</f>
        <v>0</v>
      </c>
      <c r="V24" s="47">
        <f>Q24*S24/(R24+S24)</f>
        <v>2.3395513890801265E-7</v>
      </c>
      <c r="X24" t="s">
        <v>62</v>
      </c>
      <c r="Y24" s="46">
        <v>0</v>
      </c>
      <c r="Z24" s="46">
        <v>2.3395513890801265E-7</v>
      </c>
    </row>
    <row r="25" spans="1:26" x14ac:dyDescent="0.35">
      <c r="A25" s="1">
        <v>5</v>
      </c>
      <c r="B25" t="s">
        <v>10</v>
      </c>
      <c r="C25" t="s">
        <v>16</v>
      </c>
      <c r="D25" t="s">
        <v>19</v>
      </c>
      <c r="E25" t="s">
        <v>21</v>
      </c>
      <c r="F25">
        <v>2050</v>
      </c>
      <c r="G25" t="s">
        <v>63</v>
      </c>
      <c r="J25">
        <v>1.3649999629076169E-3</v>
      </c>
      <c r="K25" t="s">
        <v>25</v>
      </c>
      <c r="L25">
        <v>7.8371115764634847E-2</v>
      </c>
      <c r="Q25" s="46">
        <f>(J25-J34)/(J$26-J$35)</f>
        <v>3.4301348449176504E-9</v>
      </c>
      <c r="R25" s="46"/>
      <c r="T25" t="s">
        <v>63</v>
      </c>
    </row>
    <row r="26" spans="1:26" x14ac:dyDescent="0.35">
      <c r="A26" s="1">
        <v>6</v>
      </c>
      <c r="B26" t="s">
        <v>10</v>
      </c>
      <c r="C26" t="s">
        <v>16</v>
      </c>
      <c r="D26" t="s">
        <v>19</v>
      </c>
      <c r="E26" t="s">
        <v>21</v>
      </c>
      <c r="F26">
        <v>2050</v>
      </c>
      <c r="G26" t="s">
        <v>24</v>
      </c>
      <c r="H26">
        <v>1</v>
      </c>
      <c r="I26" t="s">
        <v>52</v>
      </c>
      <c r="J26">
        <v>1.7417130655725321E-2</v>
      </c>
      <c r="K26" t="s">
        <v>25</v>
      </c>
      <c r="L26">
        <v>1</v>
      </c>
      <c r="M26">
        <v>1.7417130655725321E-2</v>
      </c>
      <c r="N26">
        <v>1</v>
      </c>
      <c r="P26" t="s">
        <v>118</v>
      </c>
      <c r="Q26" s="48">
        <f>(J26-J35)/J35</f>
        <v>0.73860572835061356</v>
      </c>
      <c r="R26" t="s">
        <v>119</v>
      </c>
      <c r="S26" s="48">
        <f>(M20-M29)/M29</f>
        <v>0.66731426093787116</v>
      </c>
    </row>
    <row r="28" spans="1:26" x14ac:dyDescent="0.35">
      <c r="B28" s="1" t="s">
        <v>0</v>
      </c>
      <c r="C28" s="1" t="s">
        <v>1</v>
      </c>
      <c r="D28" s="1" t="s">
        <v>2</v>
      </c>
      <c r="E28" s="1" t="s">
        <v>3</v>
      </c>
      <c r="F28" s="1" t="s">
        <v>4</v>
      </c>
      <c r="G28" s="1" t="s">
        <v>5</v>
      </c>
      <c r="H28" s="1" t="s">
        <v>27</v>
      </c>
      <c r="I28" s="1" t="s">
        <v>28</v>
      </c>
      <c r="J28" s="1" t="s">
        <v>6</v>
      </c>
      <c r="K28" s="1" t="s">
        <v>29</v>
      </c>
      <c r="L28" s="1" t="s">
        <v>30</v>
      </c>
      <c r="M28" s="1" t="s">
        <v>31</v>
      </c>
      <c r="N28" s="1" t="s">
        <v>32</v>
      </c>
    </row>
    <row r="29" spans="1:26" x14ac:dyDescent="0.35">
      <c r="A29" s="1">
        <v>0</v>
      </c>
      <c r="B29" t="s">
        <v>11</v>
      </c>
      <c r="C29" t="s">
        <v>16</v>
      </c>
      <c r="D29" t="s">
        <v>19</v>
      </c>
      <c r="E29" t="s">
        <v>22</v>
      </c>
      <c r="F29">
        <v>2050</v>
      </c>
      <c r="G29" t="s">
        <v>58</v>
      </c>
      <c r="H29">
        <v>0.94045641483364362</v>
      </c>
      <c r="I29" t="s">
        <v>52</v>
      </c>
      <c r="J29">
        <v>6.9604571399973026E-3</v>
      </c>
      <c r="K29" t="s">
        <v>25</v>
      </c>
      <c r="L29">
        <v>0.6948039200452486</v>
      </c>
      <c r="M29">
        <v>7.4011480279269834E-3</v>
      </c>
      <c r="N29">
        <v>0.73879438651939278</v>
      </c>
      <c r="O29">
        <f>M29/M$29</f>
        <v>1</v>
      </c>
    </row>
    <row r="30" spans="1:26" ht="33" customHeight="1" x14ac:dyDescent="0.35">
      <c r="A30" s="1">
        <v>1</v>
      </c>
      <c r="B30" t="s">
        <v>11</v>
      </c>
      <c r="C30" t="s">
        <v>16</v>
      </c>
      <c r="D30" t="s">
        <v>19</v>
      </c>
      <c r="E30" t="s">
        <v>22</v>
      </c>
      <c r="F30">
        <v>2050</v>
      </c>
      <c r="G30" t="s">
        <v>103</v>
      </c>
      <c r="H30">
        <v>2.4085503535129119E-2</v>
      </c>
      <c r="I30" t="s">
        <v>52</v>
      </c>
      <c r="J30">
        <v>3.426125211802191E-4</v>
      </c>
      <c r="K30" t="s">
        <v>25</v>
      </c>
      <c r="L30">
        <v>3.420012766182972E-2</v>
      </c>
      <c r="M30">
        <v>1.422484361518591E-2</v>
      </c>
      <c r="N30">
        <v>1.419946550502807</v>
      </c>
      <c r="O30">
        <f>M30/M$29</f>
        <v>1.9219779906456218</v>
      </c>
      <c r="P30" s="49" t="s">
        <v>2</v>
      </c>
      <c r="Q30" s="49" t="s">
        <v>3</v>
      </c>
      <c r="R30" s="50" t="s">
        <v>122</v>
      </c>
      <c r="S30" s="50" t="s">
        <v>123</v>
      </c>
      <c r="T30" s="50" t="s">
        <v>124</v>
      </c>
      <c r="U30" s="51"/>
    </row>
    <row r="31" spans="1:26" x14ac:dyDescent="0.35">
      <c r="A31" s="1">
        <v>2</v>
      </c>
      <c r="B31" t="s">
        <v>11</v>
      </c>
      <c r="C31" t="s">
        <v>16</v>
      </c>
      <c r="D31" t="s">
        <v>19</v>
      </c>
      <c r="E31" t="s">
        <v>22</v>
      </c>
      <c r="F31">
        <v>2050</v>
      </c>
      <c r="G31" t="s">
        <v>60</v>
      </c>
      <c r="H31">
        <v>3.5458081631227323E-2</v>
      </c>
      <c r="I31" t="s">
        <v>52</v>
      </c>
      <c r="J31">
        <v>4.0184814521954701E-4</v>
      </c>
      <c r="K31" t="s">
        <v>25</v>
      </c>
      <c r="L31">
        <v>4.0113122018529047E-2</v>
      </c>
      <c r="M31">
        <v>1.133304811576852E-2</v>
      </c>
      <c r="N31">
        <v>1.1312829169867491</v>
      </c>
      <c r="O31">
        <f>M31/M$29</f>
        <v>1.5312554313202729</v>
      </c>
      <c r="P31" s="52" t="s">
        <v>120</v>
      </c>
      <c r="Q31" s="52" t="s">
        <v>23</v>
      </c>
      <c r="R31" s="53">
        <f>J53*1000</f>
        <v>12.88752339429954</v>
      </c>
      <c r="S31" s="53">
        <f>M47*1000</f>
        <v>9.4866619382480319</v>
      </c>
      <c r="T31" s="54">
        <f>(R31-S31)/S31</f>
        <v>0.35848873694339417</v>
      </c>
    </row>
    <row r="32" spans="1:26" x14ac:dyDescent="0.35">
      <c r="A32" s="1">
        <v>3</v>
      </c>
      <c r="B32" t="s">
        <v>11</v>
      </c>
      <c r="C32" t="s">
        <v>16</v>
      </c>
      <c r="D32" t="s">
        <v>19</v>
      </c>
      <c r="E32" t="s">
        <v>22</v>
      </c>
      <c r="F32">
        <v>2050</v>
      </c>
      <c r="G32" t="s">
        <v>61</v>
      </c>
      <c r="H32">
        <v>3.1242684515255099E-2</v>
      </c>
      <c r="I32" t="s">
        <v>52</v>
      </c>
      <c r="J32">
        <v>3.1298523257141108E-4</v>
      </c>
      <c r="K32" t="s">
        <v>25</v>
      </c>
      <c r="L32">
        <v>3.1242684515255061E-2</v>
      </c>
      <c r="M32">
        <v>1.0017872581294589E-2</v>
      </c>
      <c r="N32">
        <v>1</v>
      </c>
      <c r="O32">
        <f>M32/M$29</f>
        <v>1.3535565757493078</v>
      </c>
      <c r="P32" s="55" t="s">
        <v>120</v>
      </c>
      <c r="Q32" s="55" t="s">
        <v>21</v>
      </c>
      <c r="R32" s="56">
        <f>J26*1000</f>
        <v>17.41713065572532</v>
      </c>
      <c r="S32" s="56">
        <f>M20*1000</f>
        <v>12.340039654274861</v>
      </c>
      <c r="T32" s="57">
        <f>(R32-S32)/S32</f>
        <v>0.41143230846034134</v>
      </c>
    </row>
    <row r="33" spans="1:20" x14ac:dyDescent="0.35">
      <c r="A33" s="1">
        <v>4</v>
      </c>
      <c r="B33" t="s">
        <v>11</v>
      </c>
      <c r="C33" t="s">
        <v>16</v>
      </c>
      <c r="D33" t="s">
        <v>19</v>
      </c>
      <c r="E33" t="s">
        <v>22</v>
      </c>
      <c r="F33">
        <v>2050</v>
      </c>
      <c r="G33" t="s">
        <v>62</v>
      </c>
      <c r="H33">
        <v>6.0394699999999996E-9</v>
      </c>
      <c r="I33" t="s">
        <v>53</v>
      </c>
      <c r="J33">
        <v>6.3496960479894832E-4</v>
      </c>
      <c r="K33" t="s">
        <v>25</v>
      </c>
      <c r="L33">
        <v>6.338367748703104E-2</v>
      </c>
      <c r="M33">
        <v>105136.64357947771</v>
      </c>
      <c r="N33">
        <v>10494907.249647919</v>
      </c>
      <c r="P33" s="55" t="s">
        <v>120</v>
      </c>
      <c r="Q33" s="55" t="s">
        <v>22</v>
      </c>
      <c r="R33" s="56">
        <f>J35*1000</f>
        <v>10.01787258129459</v>
      </c>
      <c r="S33" s="56">
        <f>M29*1000</f>
        <v>7.4011480279269835</v>
      </c>
      <c r="T33" s="57">
        <f>(R33-S33)/S33</f>
        <v>0.35355657574930777</v>
      </c>
    </row>
    <row r="34" spans="1:20" x14ac:dyDescent="0.35">
      <c r="A34" s="1">
        <v>5</v>
      </c>
      <c r="B34" t="s">
        <v>11</v>
      </c>
      <c r="C34" t="s">
        <v>16</v>
      </c>
      <c r="D34" t="s">
        <v>19</v>
      </c>
      <c r="E34" t="s">
        <v>22</v>
      </c>
      <c r="F34">
        <v>2050</v>
      </c>
      <c r="G34" t="s">
        <v>63</v>
      </c>
      <c r="J34">
        <v>1.364999937527164E-3</v>
      </c>
      <c r="K34" t="s">
        <v>25</v>
      </c>
      <c r="L34">
        <v>0.13625646827210669</v>
      </c>
      <c r="P34" s="58" t="s">
        <v>121</v>
      </c>
      <c r="Q34" s="58"/>
      <c r="R34" s="57">
        <f>Q26</f>
        <v>0.73860572835061356</v>
      </c>
      <c r="S34" s="57">
        <f>S26</f>
        <v>0.66731426093787116</v>
      </c>
      <c r="T34" s="55"/>
    </row>
    <row r="35" spans="1:20" x14ac:dyDescent="0.35">
      <c r="A35" s="1">
        <v>6</v>
      </c>
      <c r="B35" t="s">
        <v>11</v>
      </c>
      <c r="C35" t="s">
        <v>16</v>
      </c>
      <c r="D35" t="s">
        <v>19</v>
      </c>
      <c r="E35" t="s">
        <v>22</v>
      </c>
      <c r="F35">
        <v>2050</v>
      </c>
      <c r="G35" t="s">
        <v>24</v>
      </c>
      <c r="H35">
        <v>1</v>
      </c>
      <c r="I35" t="s">
        <v>52</v>
      </c>
      <c r="J35">
        <v>1.0017872581294589E-2</v>
      </c>
      <c r="K35" t="s">
        <v>25</v>
      </c>
      <c r="L35">
        <v>1</v>
      </c>
      <c r="M35">
        <v>1.0017872581294589E-2</v>
      </c>
      <c r="N35">
        <v>1</v>
      </c>
    </row>
    <row r="37" spans="1:20" x14ac:dyDescent="0.35">
      <c r="B37" s="1" t="s">
        <v>0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27</v>
      </c>
      <c r="I37" s="1" t="s">
        <v>28</v>
      </c>
      <c r="J37" s="1" t="s">
        <v>6</v>
      </c>
      <c r="K37" s="1" t="s">
        <v>29</v>
      </c>
      <c r="L37" s="1" t="s">
        <v>30</v>
      </c>
      <c r="M37" s="1" t="s">
        <v>31</v>
      </c>
      <c r="N37" s="1" t="s">
        <v>32</v>
      </c>
    </row>
    <row r="38" spans="1:20" x14ac:dyDescent="0.35">
      <c r="A38" s="1">
        <v>0</v>
      </c>
      <c r="B38" t="s">
        <v>12</v>
      </c>
      <c r="C38" t="s">
        <v>16</v>
      </c>
      <c r="D38" t="s">
        <v>18</v>
      </c>
      <c r="E38" t="s">
        <v>23</v>
      </c>
      <c r="F38">
        <v>2050</v>
      </c>
      <c r="G38" t="s">
        <v>58</v>
      </c>
      <c r="H38">
        <v>0.90977795105681936</v>
      </c>
      <c r="I38" t="s">
        <v>52</v>
      </c>
      <c r="J38">
        <v>1.0269282289317691E-2</v>
      </c>
      <c r="K38" t="s">
        <v>25</v>
      </c>
      <c r="L38">
        <v>0.36316278215186187</v>
      </c>
      <c r="M38">
        <v>1.128767989748339E-2</v>
      </c>
      <c r="N38">
        <v>0.39917738359124177</v>
      </c>
    </row>
    <row r="39" spans="1:20" x14ac:dyDescent="0.35">
      <c r="A39" s="1">
        <v>1</v>
      </c>
      <c r="B39" t="s">
        <v>12</v>
      </c>
      <c r="C39" t="s">
        <v>16</v>
      </c>
      <c r="D39" t="s">
        <v>18</v>
      </c>
      <c r="E39" t="s">
        <v>23</v>
      </c>
      <c r="F39">
        <v>2050</v>
      </c>
      <c r="G39" t="s">
        <v>103</v>
      </c>
      <c r="H39">
        <v>4.3975119343490222E-2</v>
      </c>
      <c r="I39" t="s">
        <v>52</v>
      </c>
      <c r="J39">
        <v>2.423813805666811E-3</v>
      </c>
      <c r="K39" t="s">
        <v>25</v>
      </c>
      <c r="L39">
        <v>8.5715723872903299E-2</v>
      </c>
      <c r="M39">
        <v>5.511784485982564E-2</v>
      </c>
      <c r="N39">
        <v>1.9491868391163809</v>
      </c>
    </row>
    <row r="40" spans="1:20" x14ac:dyDescent="0.35">
      <c r="A40" s="1">
        <v>2</v>
      </c>
      <c r="B40" t="s">
        <v>12</v>
      </c>
      <c r="C40" t="s">
        <v>16</v>
      </c>
      <c r="D40" t="s">
        <v>18</v>
      </c>
      <c r="E40" t="s">
        <v>23</v>
      </c>
      <c r="F40">
        <v>2050</v>
      </c>
      <c r="G40" t="s">
        <v>60</v>
      </c>
      <c r="H40">
        <v>4.6246929599690588E-2</v>
      </c>
      <c r="I40" t="s">
        <v>52</v>
      </c>
      <c r="J40">
        <v>1.251167244888981E-2</v>
      </c>
      <c r="K40" t="s">
        <v>25</v>
      </c>
      <c r="L40">
        <v>0.44246264226645537</v>
      </c>
      <c r="M40">
        <v>0.27054060793202389</v>
      </c>
      <c r="N40">
        <v>9.5673949837616004</v>
      </c>
    </row>
    <row r="41" spans="1:20" x14ac:dyDescent="0.35">
      <c r="A41" s="1">
        <v>3</v>
      </c>
      <c r="B41" t="s">
        <v>12</v>
      </c>
      <c r="C41" t="s">
        <v>16</v>
      </c>
      <c r="D41" t="s">
        <v>18</v>
      </c>
      <c r="E41" t="s">
        <v>23</v>
      </c>
      <c r="F41">
        <v>2050</v>
      </c>
      <c r="G41" t="s">
        <v>61</v>
      </c>
      <c r="H41">
        <v>3.1242684515255099E-2</v>
      </c>
      <c r="I41" t="s">
        <v>52</v>
      </c>
      <c r="J41">
        <v>8.8346042747597744E-4</v>
      </c>
      <c r="K41" t="s">
        <v>25</v>
      </c>
      <c r="L41">
        <v>3.1242684515255081E-2</v>
      </c>
      <c r="M41">
        <v>2.827735328072092E-2</v>
      </c>
      <c r="N41">
        <v>1</v>
      </c>
    </row>
    <row r="42" spans="1:20" x14ac:dyDescent="0.35">
      <c r="A42" s="1">
        <v>4</v>
      </c>
      <c r="B42" t="s">
        <v>12</v>
      </c>
      <c r="C42" t="s">
        <v>16</v>
      </c>
      <c r="D42" t="s">
        <v>18</v>
      </c>
      <c r="E42" t="s">
        <v>23</v>
      </c>
      <c r="F42">
        <v>2050</v>
      </c>
      <c r="G42" t="s">
        <v>62</v>
      </c>
      <c r="H42">
        <v>6.0394699999999996E-9</v>
      </c>
      <c r="I42" t="s">
        <v>53</v>
      </c>
      <c r="J42">
        <v>8.2412398336450718E-4</v>
      </c>
      <c r="K42" t="s">
        <v>25</v>
      </c>
      <c r="L42">
        <v>2.914431118015498E-2</v>
      </c>
      <c r="M42">
        <v>136456.3419247893</v>
      </c>
      <c r="N42">
        <v>4825640.5247736964</v>
      </c>
    </row>
    <row r="43" spans="1:20" x14ac:dyDescent="0.35">
      <c r="A43" s="1">
        <v>5</v>
      </c>
      <c r="B43" t="s">
        <v>12</v>
      </c>
      <c r="C43" t="s">
        <v>16</v>
      </c>
      <c r="D43" t="s">
        <v>18</v>
      </c>
      <c r="E43" t="s">
        <v>23</v>
      </c>
      <c r="F43">
        <v>2050</v>
      </c>
      <c r="G43" t="s">
        <v>63</v>
      </c>
      <c r="J43">
        <v>1.3650003260061269E-3</v>
      </c>
      <c r="K43" t="s">
        <v>25</v>
      </c>
      <c r="L43">
        <v>4.8271856013369252E-2</v>
      </c>
    </row>
    <row r="44" spans="1:20" x14ac:dyDescent="0.35">
      <c r="A44" s="1">
        <v>6</v>
      </c>
      <c r="B44" t="s">
        <v>12</v>
      </c>
      <c r="C44" t="s">
        <v>16</v>
      </c>
      <c r="D44" t="s">
        <v>18</v>
      </c>
      <c r="E44" t="s">
        <v>23</v>
      </c>
      <c r="F44">
        <v>2050</v>
      </c>
      <c r="G44" t="s">
        <v>24</v>
      </c>
      <c r="H44">
        <v>1</v>
      </c>
      <c r="I44" t="s">
        <v>52</v>
      </c>
      <c r="J44">
        <v>2.827735328072092E-2</v>
      </c>
      <c r="K44" t="s">
        <v>25</v>
      </c>
      <c r="L44">
        <v>1</v>
      </c>
      <c r="M44">
        <v>2.827735328072092E-2</v>
      </c>
      <c r="N44">
        <v>1</v>
      </c>
    </row>
    <row r="46" spans="1:20" x14ac:dyDescent="0.35">
      <c r="B46" s="1" t="s">
        <v>0</v>
      </c>
      <c r="C46" s="1" t="s">
        <v>1</v>
      </c>
      <c r="D46" s="1" t="s">
        <v>2</v>
      </c>
      <c r="E46" s="1" t="s">
        <v>3</v>
      </c>
      <c r="F46" s="1" t="s">
        <v>4</v>
      </c>
      <c r="G46" s="1" t="s">
        <v>5</v>
      </c>
      <c r="H46" s="1" t="s">
        <v>27</v>
      </c>
      <c r="I46" s="1" t="s">
        <v>28</v>
      </c>
      <c r="J46" s="1" t="s">
        <v>6</v>
      </c>
      <c r="K46" s="1" t="s">
        <v>29</v>
      </c>
      <c r="L46" s="1" t="s">
        <v>30</v>
      </c>
      <c r="M46" s="1" t="s">
        <v>31</v>
      </c>
      <c r="N46" s="1" t="s">
        <v>32</v>
      </c>
    </row>
    <row r="47" spans="1:20" x14ac:dyDescent="0.35">
      <c r="A47" s="1">
        <v>0</v>
      </c>
      <c r="B47" t="s">
        <v>13</v>
      </c>
      <c r="C47" t="s">
        <v>16</v>
      </c>
      <c r="D47" t="s">
        <v>19</v>
      </c>
      <c r="E47" t="s">
        <v>23</v>
      </c>
      <c r="F47">
        <v>2050</v>
      </c>
      <c r="G47" t="s">
        <v>58</v>
      </c>
      <c r="H47">
        <v>0.90977795105681936</v>
      </c>
      <c r="I47" t="s">
        <v>52</v>
      </c>
      <c r="J47">
        <v>8.6307558605480082E-3</v>
      </c>
      <c r="K47" t="s">
        <v>25</v>
      </c>
      <c r="L47">
        <v>0.66969856011012885</v>
      </c>
      <c r="M47">
        <v>9.4866619382480318E-3</v>
      </c>
      <c r="N47">
        <v>0.73611210222471546</v>
      </c>
      <c r="O47">
        <f>M47/M$47</f>
        <v>1</v>
      </c>
    </row>
    <row r="48" spans="1:20" x14ac:dyDescent="0.35">
      <c r="A48" s="1">
        <v>1</v>
      </c>
      <c r="B48" t="s">
        <v>13</v>
      </c>
      <c r="C48" t="s">
        <v>16</v>
      </c>
      <c r="D48" t="s">
        <v>19</v>
      </c>
      <c r="E48" t="s">
        <v>23</v>
      </c>
      <c r="F48">
        <v>2050</v>
      </c>
      <c r="G48" t="s">
        <v>103</v>
      </c>
      <c r="H48">
        <v>4.3975119343490222E-2</v>
      </c>
      <c r="I48" t="s">
        <v>52</v>
      </c>
      <c r="J48">
        <v>1.3300306790061699E-3</v>
      </c>
      <c r="K48" t="s">
        <v>25</v>
      </c>
      <c r="L48">
        <v>0.1032029691286127</v>
      </c>
      <c r="M48">
        <v>3.0245072642493209E-2</v>
      </c>
      <c r="N48">
        <v>2.3468490971563498</v>
      </c>
      <c r="O48">
        <f t="shared" ref="O48:O50" si="9">M48/M$47</f>
        <v>3.1881680657926741</v>
      </c>
    </row>
    <row r="49" spans="1:15" x14ac:dyDescent="0.35">
      <c r="A49" s="1">
        <v>2</v>
      </c>
      <c r="B49" t="s">
        <v>13</v>
      </c>
      <c r="C49" t="s">
        <v>16</v>
      </c>
      <c r="D49" t="s">
        <v>19</v>
      </c>
      <c r="E49" t="s">
        <v>23</v>
      </c>
      <c r="F49">
        <v>2050</v>
      </c>
      <c r="G49" t="s">
        <v>60</v>
      </c>
      <c r="H49">
        <v>4.6246929599690588E-2</v>
      </c>
      <c r="I49" t="s">
        <v>52</v>
      </c>
      <c r="J49">
        <v>5.2412578030263659E-4</v>
      </c>
      <c r="K49" t="s">
        <v>25</v>
      </c>
      <c r="L49">
        <v>4.066923987385114E-2</v>
      </c>
      <c r="M49">
        <v>1.1333201681482941E-2</v>
      </c>
      <c r="N49">
        <v>0.87939329650380249</v>
      </c>
      <c r="O49">
        <f t="shared" si="9"/>
        <v>1.1946458886439377</v>
      </c>
    </row>
    <row r="50" spans="1:15" x14ac:dyDescent="0.35">
      <c r="A50" s="1">
        <v>3</v>
      </c>
      <c r="B50" t="s">
        <v>13</v>
      </c>
      <c r="C50" t="s">
        <v>16</v>
      </c>
      <c r="D50" t="s">
        <v>19</v>
      </c>
      <c r="E50" t="s">
        <v>23</v>
      </c>
      <c r="F50">
        <v>2050</v>
      </c>
      <c r="G50" t="s">
        <v>61</v>
      </c>
      <c r="H50">
        <v>3.1242684515255099E-2</v>
      </c>
      <c r="I50" t="s">
        <v>52</v>
      </c>
      <c r="J50">
        <v>4.026408275910699E-4</v>
      </c>
      <c r="K50" t="s">
        <v>25</v>
      </c>
      <c r="L50">
        <v>3.1242684515255061E-2</v>
      </c>
      <c r="M50">
        <v>1.2887523394299541E-2</v>
      </c>
      <c r="N50">
        <v>1</v>
      </c>
      <c r="O50">
        <f t="shared" si="9"/>
        <v>1.3584887369433942</v>
      </c>
    </row>
    <row r="51" spans="1:15" x14ac:dyDescent="0.35">
      <c r="A51" s="1">
        <v>4</v>
      </c>
      <c r="B51" t="s">
        <v>13</v>
      </c>
      <c r="C51" t="s">
        <v>16</v>
      </c>
      <c r="D51" t="s">
        <v>19</v>
      </c>
      <c r="E51" t="s">
        <v>23</v>
      </c>
      <c r="F51">
        <v>2050</v>
      </c>
      <c r="G51" t="s">
        <v>62</v>
      </c>
      <c r="H51">
        <v>6.0394699999999996E-9</v>
      </c>
      <c r="I51" t="s">
        <v>53</v>
      </c>
      <c r="J51">
        <v>6.3497027616850354E-4</v>
      </c>
      <c r="K51" t="s">
        <v>25</v>
      </c>
      <c r="L51">
        <v>4.9270155074897147E-2</v>
      </c>
      <c r="M51">
        <v>105136.754743132</v>
      </c>
      <c r="N51">
        <v>8158026.2961645965</v>
      </c>
    </row>
    <row r="52" spans="1:15" x14ac:dyDescent="0.35">
      <c r="A52" s="1">
        <v>5</v>
      </c>
      <c r="B52" t="s">
        <v>13</v>
      </c>
      <c r="C52" t="s">
        <v>16</v>
      </c>
      <c r="D52" t="s">
        <v>19</v>
      </c>
      <c r="E52" t="s">
        <v>23</v>
      </c>
      <c r="F52">
        <v>2050</v>
      </c>
      <c r="G52" t="s">
        <v>63</v>
      </c>
      <c r="J52">
        <v>1.3649999706831469E-3</v>
      </c>
      <c r="K52" t="s">
        <v>25</v>
      </c>
      <c r="L52">
        <v>0.10591639129725509</v>
      </c>
    </row>
    <row r="53" spans="1:15" x14ac:dyDescent="0.35">
      <c r="A53" s="1">
        <v>6</v>
      </c>
      <c r="B53" t="s">
        <v>13</v>
      </c>
      <c r="C53" t="s">
        <v>16</v>
      </c>
      <c r="D53" t="s">
        <v>19</v>
      </c>
      <c r="E53" t="s">
        <v>23</v>
      </c>
      <c r="F53">
        <v>2050</v>
      </c>
      <c r="G53" t="s">
        <v>24</v>
      </c>
      <c r="H53">
        <v>1</v>
      </c>
      <c r="I53" t="s">
        <v>52</v>
      </c>
      <c r="J53">
        <v>1.2887523394299541E-2</v>
      </c>
      <c r="K53" t="s">
        <v>25</v>
      </c>
      <c r="L53">
        <v>1</v>
      </c>
      <c r="M53">
        <v>1.2887523394299541E-2</v>
      </c>
      <c r="N53">
        <v>1</v>
      </c>
    </row>
    <row r="55" spans="1:15" x14ac:dyDescent="0.35">
      <c r="B55" s="1" t="s">
        <v>0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5</v>
      </c>
      <c r="H55" s="1" t="s">
        <v>27</v>
      </c>
      <c r="I55" s="1" t="s">
        <v>28</v>
      </c>
      <c r="J55" s="1" t="s">
        <v>6</v>
      </c>
      <c r="K55" s="1" t="s">
        <v>29</v>
      </c>
      <c r="L55" s="1" t="s">
        <v>30</v>
      </c>
      <c r="M55" s="1" t="s">
        <v>31</v>
      </c>
      <c r="N55" s="1" t="s">
        <v>32</v>
      </c>
    </row>
    <row r="56" spans="1:15" x14ac:dyDescent="0.35">
      <c r="A56" s="1">
        <v>0</v>
      </c>
      <c r="B56" t="s">
        <v>14</v>
      </c>
      <c r="C56" t="s">
        <v>17</v>
      </c>
      <c r="D56" t="s">
        <v>18</v>
      </c>
      <c r="E56" t="s">
        <v>23</v>
      </c>
      <c r="F56">
        <v>2050</v>
      </c>
      <c r="G56" t="s">
        <v>58</v>
      </c>
      <c r="H56">
        <v>0.90977795105681936</v>
      </c>
      <c r="I56" t="s">
        <v>52</v>
      </c>
      <c r="J56">
        <v>1.430418646778518E-2</v>
      </c>
      <c r="K56" t="s">
        <v>25</v>
      </c>
      <c r="L56">
        <v>0.31700803135826661</v>
      </c>
      <c r="M56">
        <v>1.5722722727198539E-2</v>
      </c>
      <c r="N56">
        <v>0.3484454981460286</v>
      </c>
    </row>
    <row r="57" spans="1:15" x14ac:dyDescent="0.35">
      <c r="A57" s="1">
        <v>1</v>
      </c>
      <c r="B57" t="s">
        <v>14</v>
      </c>
      <c r="C57" t="s">
        <v>17</v>
      </c>
      <c r="D57" t="s">
        <v>18</v>
      </c>
      <c r="E57" t="s">
        <v>23</v>
      </c>
      <c r="F57">
        <v>2050</v>
      </c>
      <c r="G57" t="s">
        <v>103</v>
      </c>
      <c r="H57">
        <v>4.3975119343490222E-2</v>
      </c>
      <c r="I57" t="s">
        <v>52</v>
      </c>
      <c r="J57">
        <v>3.8836034396498671E-3</v>
      </c>
      <c r="K57" t="s">
        <v>25</v>
      </c>
      <c r="L57">
        <v>8.6068053136210437E-2</v>
      </c>
      <c r="M57">
        <v>8.8313653211830781E-2</v>
      </c>
      <c r="N57">
        <v>1.957198852922531</v>
      </c>
    </row>
    <row r="58" spans="1:15" x14ac:dyDescent="0.35">
      <c r="A58" s="1">
        <v>2</v>
      </c>
      <c r="B58" t="s">
        <v>14</v>
      </c>
      <c r="C58" t="s">
        <v>17</v>
      </c>
      <c r="D58" t="s">
        <v>18</v>
      </c>
      <c r="E58" t="s">
        <v>23</v>
      </c>
      <c r="F58">
        <v>2050</v>
      </c>
      <c r="G58" t="s">
        <v>60</v>
      </c>
      <c r="H58">
        <v>4.6246929599690588E-2</v>
      </c>
      <c r="I58" t="s">
        <v>52</v>
      </c>
      <c r="J58">
        <v>2.3077535150528829E-2</v>
      </c>
      <c r="K58" t="s">
        <v>25</v>
      </c>
      <c r="L58">
        <v>0.51144215738143239</v>
      </c>
      <c r="M58">
        <v>0.49900686056968468</v>
      </c>
      <c r="N58">
        <v>11.05894297866759</v>
      </c>
    </row>
    <row r="59" spans="1:15" x14ac:dyDescent="0.35">
      <c r="A59" s="1">
        <v>3</v>
      </c>
      <c r="B59" t="s">
        <v>14</v>
      </c>
      <c r="C59" t="s">
        <v>17</v>
      </c>
      <c r="D59" t="s">
        <v>18</v>
      </c>
      <c r="E59" t="s">
        <v>23</v>
      </c>
      <c r="F59">
        <v>2050</v>
      </c>
      <c r="G59" t="s">
        <v>61</v>
      </c>
      <c r="H59">
        <v>3.1242684515255099E-2</v>
      </c>
      <c r="I59" t="s">
        <v>52</v>
      </c>
      <c r="J59">
        <v>1.409747201500166E-3</v>
      </c>
      <c r="K59" t="s">
        <v>25</v>
      </c>
      <c r="L59">
        <v>3.1242684515255088E-2</v>
      </c>
      <c r="M59">
        <v>4.5122473416515103E-2</v>
      </c>
      <c r="N59">
        <v>1</v>
      </c>
    </row>
    <row r="60" spans="1:15" x14ac:dyDescent="0.35">
      <c r="A60" s="1">
        <v>4</v>
      </c>
      <c r="B60" t="s">
        <v>14</v>
      </c>
      <c r="C60" t="s">
        <v>17</v>
      </c>
      <c r="D60" t="s">
        <v>18</v>
      </c>
      <c r="E60" t="s">
        <v>23</v>
      </c>
      <c r="F60">
        <v>2050</v>
      </c>
      <c r="G60" t="s">
        <v>62</v>
      </c>
      <c r="H60">
        <v>6.0394699999999996E-9</v>
      </c>
      <c r="I60" t="s">
        <v>53</v>
      </c>
      <c r="J60">
        <v>1.08240058005353E-3</v>
      </c>
      <c r="K60" t="s">
        <v>25</v>
      </c>
      <c r="L60">
        <v>2.3988059565399719E-2</v>
      </c>
      <c r="M60">
        <v>179221.12040518949</v>
      </c>
      <c r="N60">
        <v>3971881.566660604</v>
      </c>
    </row>
    <row r="61" spans="1:15" x14ac:dyDescent="0.35">
      <c r="A61" s="1">
        <v>5</v>
      </c>
      <c r="B61" t="s">
        <v>14</v>
      </c>
      <c r="C61" t="s">
        <v>17</v>
      </c>
      <c r="D61" t="s">
        <v>18</v>
      </c>
      <c r="E61" t="s">
        <v>23</v>
      </c>
      <c r="F61">
        <v>2050</v>
      </c>
      <c r="G61" t="s">
        <v>63</v>
      </c>
      <c r="J61">
        <v>1.365000576997538E-3</v>
      </c>
      <c r="K61" t="s">
        <v>25</v>
      </c>
      <c r="L61">
        <v>3.0251014043435661E-2</v>
      </c>
    </row>
    <row r="62" spans="1:15" x14ac:dyDescent="0.35">
      <c r="A62" s="1">
        <v>6</v>
      </c>
      <c r="B62" t="s">
        <v>14</v>
      </c>
      <c r="C62" t="s">
        <v>17</v>
      </c>
      <c r="D62" t="s">
        <v>18</v>
      </c>
      <c r="E62" t="s">
        <v>23</v>
      </c>
      <c r="F62">
        <v>2050</v>
      </c>
      <c r="G62" t="s">
        <v>24</v>
      </c>
      <c r="H62">
        <v>1</v>
      </c>
      <c r="I62" t="s">
        <v>52</v>
      </c>
      <c r="J62">
        <v>4.5122473416515103E-2</v>
      </c>
      <c r="K62" t="s">
        <v>25</v>
      </c>
      <c r="L62">
        <v>1</v>
      </c>
      <c r="M62">
        <v>4.5122473416515103E-2</v>
      </c>
      <c r="N62">
        <v>1</v>
      </c>
    </row>
    <row r="64" spans="1:15" x14ac:dyDescent="0.35">
      <c r="B64" s="1" t="s">
        <v>0</v>
      </c>
      <c r="C64" s="1" t="s">
        <v>1</v>
      </c>
      <c r="D64" s="1" t="s">
        <v>2</v>
      </c>
      <c r="E64" s="1" t="s">
        <v>3</v>
      </c>
      <c r="F64" s="1" t="s">
        <v>4</v>
      </c>
      <c r="G64" s="1" t="s">
        <v>5</v>
      </c>
      <c r="H64" s="1" t="s">
        <v>27</v>
      </c>
      <c r="I64" s="1" t="s">
        <v>28</v>
      </c>
      <c r="J64" s="1" t="s">
        <v>6</v>
      </c>
      <c r="K64" s="1" t="s">
        <v>29</v>
      </c>
      <c r="L64" s="1" t="s">
        <v>30</v>
      </c>
      <c r="M64" s="1" t="s">
        <v>31</v>
      </c>
      <c r="N64" s="1" t="s">
        <v>32</v>
      </c>
    </row>
    <row r="65" spans="1:14" x14ac:dyDescent="0.35">
      <c r="A65" s="1">
        <v>0</v>
      </c>
      <c r="B65" t="s">
        <v>15</v>
      </c>
      <c r="C65" t="s">
        <v>17</v>
      </c>
      <c r="D65" t="s">
        <v>20</v>
      </c>
      <c r="E65" t="s">
        <v>23</v>
      </c>
      <c r="F65">
        <v>2050</v>
      </c>
      <c r="G65" t="s">
        <v>58</v>
      </c>
      <c r="H65">
        <v>0.90977795105681936</v>
      </c>
      <c r="I65" t="s">
        <v>52</v>
      </c>
      <c r="J65">
        <v>8.1887459397601281E-3</v>
      </c>
      <c r="K65" t="s">
        <v>25</v>
      </c>
      <c r="L65">
        <v>0.56768378340416192</v>
      </c>
      <c r="M65">
        <v>9.0008181999221785E-3</v>
      </c>
      <c r="N65">
        <v>0.62398059080760038</v>
      </c>
    </row>
    <row r="66" spans="1:14" x14ac:dyDescent="0.35">
      <c r="A66" s="1">
        <v>1</v>
      </c>
      <c r="B66" t="s">
        <v>15</v>
      </c>
      <c r="C66" t="s">
        <v>17</v>
      </c>
      <c r="D66" t="s">
        <v>20</v>
      </c>
      <c r="E66" t="s">
        <v>23</v>
      </c>
      <c r="F66">
        <v>2050</v>
      </c>
      <c r="G66" t="s">
        <v>103</v>
      </c>
      <c r="H66">
        <v>4.3975119343490222E-2</v>
      </c>
      <c r="I66" t="s">
        <v>52</v>
      </c>
      <c r="J66">
        <v>1.3676327924942611E-3</v>
      </c>
      <c r="K66" t="s">
        <v>25</v>
      </c>
      <c r="L66">
        <v>9.4810971504323396E-2</v>
      </c>
      <c r="M66">
        <v>3.1100149650798312E-2</v>
      </c>
      <c r="N66">
        <v>2.1560139669833238</v>
      </c>
    </row>
    <row r="67" spans="1:14" x14ac:dyDescent="0.35">
      <c r="A67" s="1">
        <v>2</v>
      </c>
      <c r="B67" t="s">
        <v>15</v>
      </c>
      <c r="C67" t="s">
        <v>17</v>
      </c>
      <c r="D67" t="s">
        <v>20</v>
      </c>
      <c r="E67" t="s">
        <v>23</v>
      </c>
      <c r="F67">
        <v>2050</v>
      </c>
      <c r="G67" t="s">
        <v>60</v>
      </c>
      <c r="H67">
        <v>4.6246929599690588E-2</v>
      </c>
      <c r="I67" t="s">
        <v>52</v>
      </c>
      <c r="J67">
        <v>2.394542116976366E-3</v>
      </c>
      <c r="K67" t="s">
        <v>25</v>
      </c>
      <c r="L67">
        <v>0.16600133139868459</v>
      </c>
      <c r="M67">
        <v>5.1777320953051681E-2</v>
      </c>
      <c r="N67">
        <v>3.5894562695421701</v>
      </c>
    </row>
    <row r="68" spans="1:14" x14ac:dyDescent="0.35">
      <c r="A68" s="1">
        <v>3</v>
      </c>
      <c r="B68" t="s">
        <v>15</v>
      </c>
      <c r="C68" t="s">
        <v>17</v>
      </c>
      <c r="D68" t="s">
        <v>20</v>
      </c>
      <c r="E68" t="s">
        <v>23</v>
      </c>
      <c r="F68">
        <v>2050</v>
      </c>
      <c r="G68" t="s">
        <v>61</v>
      </c>
      <c r="H68">
        <v>3.1242684515255099E-2</v>
      </c>
      <c r="I68" t="s">
        <v>52</v>
      </c>
      <c r="J68">
        <v>4.506706258849705E-4</v>
      </c>
      <c r="K68" t="s">
        <v>25</v>
      </c>
      <c r="L68">
        <v>3.1242684515255081E-2</v>
      </c>
      <c r="M68">
        <v>1.4424836817877099E-2</v>
      </c>
      <c r="N68">
        <v>1</v>
      </c>
    </row>
    <row r="69" spans="1:14" x14ac:dyDescent="0.35">
      <c r="A69" s="1">
        <v>4</v>
      </c>
      <c r="B69" t="s">
        <v>15</v>
      </c>
      <c r="C69" t="s">
        <v>17</v>
      </c>
      <c r="D69" t="s">
        <v>20</v>
      </c>
      <c r="E69" t="s">
        <v>23</v>
      </c>
      <c r="F69">
        <v>2050</v>
      </c>
      <c r="G69" t="s">
        <v>62</v>
      </c>
      <c r="H69">
        <v>6.0394699999999996E-9</v>
      </c>
      <c r="I69" t="s">
        <v>53</v>
      </c>
      <c r="J69">
        <v>6.5824531937078937E-4</v>
      </c>
      <c r="K69" t="s">
        <v>25</v>
      </c>
      <c r="L69">
        <v>4.5632774060570813E-2</v>
      </c>
      <c r="M69">
        <v>108990.5768835327</v>
      </c>
      <c r="N69">
        <v>7555758.0484000817</v>
      </c>
    </row>
    <row r="70" spans="1:14" x14ac:dyDescent="0.35">
      <c r="A70" s="1">
        <v>5</v>
      </c>
      <c r="B70" t="s">
        <v>15</v>
      </c>
      <c r="C70" t="s">
        <v>17</v>
      </c>
      <c r="D70" t="s">
        <v>20</v>
      </c>
      <c r="E70" t="s">
        <v>23</v>
      </c>
      <c r="F70">
        <v>2050</v>
      </c>
      <c r="G70" t="s">
        <v>63</v>
      </c>
      <c r="J70">
        <v>1.365000023390583E-3</v>
      </c>
      <c r="K70" t="s">
        <v>25</v>
      </c>
      <c r="L70">
        <v>9.462845511700424E-2</v>
      </c>
    </row>
    <row r="71" spans="1:14" x14ac:dyDescent="0.35">
      <c r="A71" s="1">
        <v>6</v>
      </c>
      <c r="B71" t="s">
        <v>15</v>
      </c>
      <c r="C71" t="s">
        <v>17</v>
      </c>
      <c r="D71" t="s">
        <v>20</v>
      </c>
      <c r="E71" t="s">
        <v>23</v>
      </c>
      <c r="F71">
        <v>2050</v>
      </c>
      <c r="G71" t="s">
        <v>24</v>
      </c>
      <c r="H71">
        <v>1</v>
      </c>
      <c r="I71" t="s">
        <v>52</v>
      </c>
      <c r="J71">
        <v>1.4424836817877099E-2</v>
      </c>
      <c r="K71" t="s">
        <v>25</v>
      </c>
      <c r="L71">
        <v>1</v>
      </c>
      <c r="M71">
        <v>1.4424836817877099E-2</v>
      </c>
      <c r="N71">
        <v>1</v>
      </c>
    </row>
  </sheetData>
  <mergeCells count="1">
    <mergeCell ref="P34:Q3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0"/>
  <sheetViews>
    <sheetView workbookViewId="0">
      <selection activeCell="R24" sqref="R24"/>
    </sheetView>
  </sheetViews>
  <sheetFormatPr baseColWidth="10" defaultColWidth="8.7265625" defaultRowHeight="14.5" x14ac:dyDescent="0.35"/>
  <cols>
    <col min="7" max="7" width="48" customWidth="1"/>
  </cols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6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 x14ac:dyDescent="0.35">
      <c r="A2" s="31">
        <v>0</v>
      </c>
      <c r="B2" s="30" t="s">
        <v>8</v>
      </c>
      <c r="C2" s="30" t="s">
        <v>16</v>
      </c>
      <c r="D2" s="30" t="s">
        <v>18</v>
      </c>
      <c r="E2" s="30" t="s">
        <v>21</v>
      </c>
      <c r="F2" s="30">
        <v>2050</v>
      </c>
      <c r="G2" s="30" t="s">
        <v>33</v>
      </c>
      <c r="H2" s="30">
        <v>6.3879361199835186E-2</v>
      </c>
      <c r="I2" s="30" t="s">
        <v>52</v>
      </c>
      <c r="J2" s="30">
        <v>2.4510135794276718E-4</v>
      </c>
      <c r="K2" s="30" t="s">
        <v>25</v>
      </c>
      <c r="L2" s="30">
        <v>6.5243335055784951E-3</v>
      </c>
      <c r="M2" s="30">
        <v>3.8369412802362148E-3</v>
      </c>
      <c r="N2" s="30">
        <v>0.10213523402603041</v>
      </c>
    </row>
    <row r="3" spans="1:14" x14ac:dyDescent="0.35">
      <c r="A3" s="31">
        <v>1</v>
      </c>
      <c r="B3" s="30" t="s">
        <v>8</v>
      </c>
      <c r="C3" s="30" t="s">
        <v>16</v>
      </c>
      <c r="D3" s="30" t="s">
        <v>18</v>
      </c>
      <c r="E3" s="30" t="s">
        <v>21</v>
      </c>
      <c r="F3" s="30">
        <v>2050</v>
      </c>
      <c r="G3" s="30" t="s">
        <v>34</v>
      </c>
      <c r="H3" s="30">
        <v>1.2167497371459781E-2</v>
      </c>
      <c r="I3" s="30" t="s">
        <v>52</v>
      </c>
      <c r="J3" s="30">
        <v>7.0927496943142703E-5</v>
      </c>
      <c r="K3" s="30" t="s">
        <v>25</v>
      </c>
      <c r="L3" s="30">
        <v>1.888013386204978E-3</v>
      </c>
      <c r="M3" s="30">
        <v>5.8292592780427484E-3</v>
      </c>
      <c r="N3" s="30">
        <v>0.15516858796563399</v>
      </c>
    </row>
    <row r="4" spans="1:14" x14ac:dyDescent="0.35">
      <c r="A4" s="31">
        <v>2</v>
      </c>
      <c r="B4" s="30" t="s">
        <v>8</v>
      </c>
      <c r="C4" s="30" t="s">
        <v>16</v>
      </c>
      <c r="D4" s="30" t="s">
        <v>18</v>
      </c>
      <c r="E4" s="30" t="s">
        <v>21</v>
      </c>
      <c r="F4" s="30">
        <v>2050</v>
      </c>
      <c r="G4" s="30" t="s">
        <v>35</v>
      </c>
      <c r="H4" s="30">
        <v>0.30818352720644221</v>
      </c>
      <c r="I4" s="30" t="s">
        <v>52</v>
      </c>
      <c r="J4" s="30">
        <v>5.3886680325233357E-3</v>
      </c>
      <c r="K4" s="30" t="s">
        <v>25</v>
      </c>
      <c r="L4" s="30">
        <v>0.14344052472871749</v>
      </c>
      <c r="M4" s="30">
        <v>1.7485256533239821E-2</v>
      </c>
      <c r="N4" s="30">
        <v>0.46543864958957187</v>
      </c>
    </row>
    <row r="5" spans="1:14" x14ac:dyDescent="0.35">
      <c r="A5" s="31">
        <v>3</v>
      </c>
      <c r="B5" s="30" t="s">
        <v>8</v>
      </c>
      <c r="C5" s="30" t="s">
        <v>16</v>
      </c>
      <c r="D5" s="30" t="s">
        <v>18</v>
      </c>
      <c r="E5" s="30" t="s">
        <v>21</v>
      </c>
      <c r="F5" s="30">
        <v>2050</v>
      </c>
      <c r="G5" s="30" t="s">
        <v>36</v>
      </c>
      <c r="H5" s="30">
        <v>0.1807929296555647</v>
      </c>
      <c r="I5" s="30" t="s">
        <v>52</v>
      </c>
      <c r="J5" s="30">
        <v>2.1584291934702432E-3</v>
      </c>
      <c r="K5" s="30" t="s">
        <v>25</v>
      </c>
      <c r="L5" s="30">
        <v>5.7455054613222437E-2</v>
      </c>
      <c r="M5" s="30">
        <v>1.193868143838559E-2</v>
      </c>
      <c r="N5" s="30">
        <v>0.3177948093583205</v>
      </c>
    </row>
    <row r="6" spans="1:14" x14ac:dyDescent="0.35">
      <c r="A6" s="31">
        <v>4</v>
      </c>
      <c r="B6" s="30" t="s">
        <v>8</v>
      </c>
      <c r="C6" s="30" t="s">
        <v>16</v>
      </c>
      <c r="D6" s="30" t="s">
        <v>18</v>
      </c>
      <c r="E6" s="30" t="s">
        <v>21</v>
      </c>
      <c r="F6" s="30">
        <v>2050</v>
      </c>
      <c r="G6" s="30" t="s">
        <v>37</v>
      </c>
      <c r="H6" s="30">
        <v>0.27064447277681541</v>
      </c>
      <c r="I6" s="30" t="s">
        <v>52</v>
      </c>
      <c r="J6" s="30">
        <v>3.4900649471396252E-3</v>
      </c>
      <c r="K6" s="30" t="s">
        <v>25</v>
      </c>
      <c r="L6" s="30">
        <v>9.2901760571172026E-2</v>
      </c>
      <c r="M6" s="30">
        <v>1.289538600707976E-2</v>
      </c>
      <c r="N6" s="30">
        <v>0.34326125199601859</v>
      </c>
    </row>
    <row r="7" spans="1:14" x14ac:dyDescent="0.35">
      <c r="A7" s="31">
        <v>5</v>
      </c>
      <c r="B7" s="30" t="s">
        <v>8</v>
      </c>
      <c r="C7" s="30" t="s">
        <v>16</v>
      </c>
      <c r="D7" s="30" t="s">
        <v>18</v>
      </c>
      <c r="E7" s="30" t="s">
        <v>21</v>
      </c>
      <c r="F7" s="30">
        <v>2050</v>
      </c>
      <c r="G7" s="30" t="s">
        <v>38</v>
      </c>
      <c r="H7" s="30">
        <v>1.1867184935233919E-2</v>
      </c>
      <c r="I7" s="30" t="s">
        <v>52</v>
      </c>
      <c r="J7" s="30">
        <v>5.446291458132427E-4</v>
      </c>
      <c r="K7" s="30" t="s">
        <v>25</v>
      </c>
      <c r="L7" s="30">
        <v>1.4497439810079161E-2</v>
      </c>
      <c r="M7" s="30">
        <v>4.5893710158356707E-2</v>
      </c>
      <c r="N7" s="30">
        <v>1.2216410116805341</v>
      </c>
    </row>
    <row r="8" spans="1:14" x14ac:dyDescent="0.35">
      <c r="A8" s="31">
        <v>6</v>
      </c>
      <c r="B8" s="30" t="s">
        <v>8</v>
      </c>
      <c r="C8" s="30" t="s">
        <v>16</v>
      </c>
      <c r="D8" s="30" t="s">
        <v>18</v>
      </c>
      <c r="E8" s="30" t="s">
        <v>21</v>
      </c>
      <c r="F8" s="30">
        <v>2050</v>
      </c>
      <c r="G8" s="30" t="s">
        <v>39</v>
      </c>
      <c r="H8" s="30">
        <v>2.1796870285985359E-3</v>
      </c>
      <c r="I8" s="30" t="s">
        <v>52</v>
      </c>
      <c r="J8" s="30">
        <v>0</v>
      </c>
      <c r="K8" s="30" t="s">
        <v>25</v>
      </c>
      <c r="L8" s="30">
        <v>0</v>
      </c>
      <c r="M8" s="30">
        <v>0</v>
      </c>
      <c r="N8" s="30">
        <v>0</v>
      </c>
    </row>
    <row r="9" spans="1:14" x14ac:dyDescent="0.35">
      <c r="A9" s="31">
        <v>7</v>
      </c>
      <c r="B9" s="30" t="s">
        <v>8</v>
      </c>
      <c r="C9" s="30" t="s">
        <v>16</v>
      </c>
      <c r="D9" s="30" t="s">
        <v>18</v>
      </c>
      <c r="E9" s="30" t="s">
        <v>21</v>
      </c>
      <c r="F9" s="30">
        <v>2050</v>
      </c>
      <c r="G9" s="30" t="s">
        <v>40</v>
      </c>
      <c r="H9" s="30">
        <v>1.0535153974189091E-2</v>
      </c>
      <c r="I9" s="30" t="s">
        <v>52</v>
      </c>
      <c r="J9" s="30">
        <v>4.5125706994533017E-4</v>
      </c>
      <c r="K9" s="30" t="s">
        <v>25</v>
      </c>
      <c r="L9" s="30">
        <v>1.201197596694252E-2</v>
      </c>
      <c r="M9" s="30">
        <v>4.2833457493919931E-2</v>
      </c>
      <c r="N9" s="30">
        <v>1.140180389994452</v>
      </c>
    </row>
    <row r="10" spans="1:14" x14ac:dyDescent="0.35">
      <c r="A10" s="31">
        <v>8</v>
      </c>
      <c r="B10" s="30" t="s">
        <v>8</v>
      </c>
      <c r="C10" s="30" t="s">
        <v>16</v>
      </c>
      <c r="D10" s="30" t="s">
        <v>18</v>
      </c>
      <c r="E10" s="30" t="s">
        <v>21</v>
      </c>
      <c r="F10" s="30">
        <v>2050</v>
      </c>
      <c r="G10" s="30" t="s">
        <v>41</v>
      </c>
      <c r="H10" s="30">
        <v>6.0546861949339924E-4</v>
      </c>
      <c r="I10" s="30" t="s">
        <v>52</v>
      </c>
      <c r="J10" s="30">
        <v>1.9322174343158388E-5</v>
      </c>
      <c r="K10" s="30" t="s">
        <v>25</v>
      </c>
      <c r="L10" s="30">
        <v>5.1433541831756905E-4</v>
      </c>
      <c r="M10" s="30">
        <v>3.1912759342218953E-2</v>
      </c>
      <c r="N10" s="30">
        <v>0.84948319658237281</v>
      </c>
    </row>
    <row r="11" spans="1:14" x14ac:dyDescent="0.35">
      <c r="A11" s="31">
        <v>9</v>
      </c>
      <c r="B11" s="30" t="s">
        <v>8</v>
      </c>
      <c r="C11" s="30" t="s">
        <v>16</v>
      </c>
      <c r="D11" s="30" t="s">
        <v>18</v>
      </c>
      <c r="E11" s="30" t="s">
        <v>21</v>
      </c>
      <c r="F11" s="30">
        <v>2050</v>
      </c>
      <c r="G11" s="30" t="s">
        <v>42</v>
      </c>
      <c r="H11" s="30">
        <v>2.235077570274557E-2</v>
      </c>
      <c r="I11" s="30" t="s">
        <v>52</v>
      </c>
      <c r="J11" s="30">
        <v>1.0495822144446049E-3</v>
      </c>
      <c r="K11" s="30" t="s">
        <v>25</v>
      </c>
      <c r="L11" s="30">
        <v>2.793874528495767E-2</v>
      </c>
      <c r="M11" s="30">
        <v>4.6959543078215163E-2</v>
      </c>
      <c r="N11" s="30">
        <v>1.2500123331972619</v>
      </c>
    </row>
    <row r="12" spans="1:14" x14ac:dyDescent="0.35">
      <c r="A12" s="31">
        <v>10</v>
      </c>
      <c r="B12" s="30" t="s">
        <v>8</v>
      </c>
      <c r="C12" s="30" t="s">
        <v>16</v>
      </c>
      <c r="D12" s="30" t="s">
        <v>18</v>
      </c>
      <c r="E12" s="30" t="s">
        <v>21</v>
      </c>
      <c r="F12" s="30">
        <v>2050</v>
      </c>
      <c r="G12" s="30" t="s">
        <v>43</v>
      </c>
      <c r="H12" s="30">
        <v>2.1036024190819361E-2</v>
      </c>
      <c r="I12" s="30" t="s">
        <v>52</v>
      </c>
      <c r="J12" s="30">
        <v>2.669841055716373E-3</v>
      </c>
      <c r="K12" s="30" t="s">
        <v>25</v>
      </c>
      <c r="L12" s="30">
        <v>7.1068286200384218E-2</v>
      </c>
      <c r="M12" s="30">
        <v>0.12691756918978811</v>
      </c>
      <c r="N12" s="30">
        <v>3.3784086553484838</v>
      </c>
    </row>
    <row r="13" spans="1:14" x14ac:dyDescent="0.35">
      <c r="A13" s="31">
        <v>11</v>
      </c>
      <c r="B13" s="30" t="s">
        <v>8</v>
      </c>
      <c r="C13" s="30" t="s">
        <v>16</v>
      </c>
      <c r="D13" s="30" t="s">
        <v>18</v>
      </c>
      <c r="E13" s="30" t="s">
        <v>21</v>
      </c>
      <c r="F13" s="30">
        <v>2050</v>
      </c>
      <c r="G13" s="30" t="s">
        <v>44</v>
      </c>
      <c r="H13" s="30">
        <v>2.4980278726597989E-3</v>
      </c>
      <c r="I13" s="30" t="s">
        <v>52</v>
      </c>
      <c r="J13" s="30">
        <v>1.314681270322138E-4</v>
      </c>
      <c r="K13" s="30" t="s">
        <v>25</v>
      </c>
      <c r="L13" s="30">
        <v>3.4995395917480411E-3</v>
      </c>
      <c r="M13" s="30">
        <v>5.2628767065049521E-2</v>
      </c>
      <c r="N13" s="30">
        <v>1.400920954505553</v>
      </c>
    </row>
    <row r="14" spans="1:14" x14ac:dyDescent="0.35">
      <c r="A14" s="31">
        <v>12</v>
      </c>
      <c r="B14" s="30" t="s">
        <v>8</v>
      </c>
      <c r="C14" s="30" t="s">
        <v>16</v>
      </c>
      <c r="D14" s="30" t="s">
        <v>18</v>
      </c>
      <c r="E14" s="30" t="s">
        <v>21</v>
      </c>
      <c r="F14" s="30">
        <v>2050</v>
      </c>
      <c r="G14" s="30" t="s">
        <v>45</v>
      </c>
      <c r="H14" s="30">
        <v>3.6155666577970771E-2</v>
      </c>
      <c r="I14" s="30" t="s">
        <v>52</v>
      </c>
      <c r="J14" s="30">
        <v>2.5361183452251349E-3</v>
      </c>
      <c r="K14" s="30" t="s">
        <v>25</v>
      </c>
      <c r="L14" s="30">
        <v>6.7508732031294372E-2</v>
      </c>
      <c r="M14" s="30">
        <v>7.01444223066921E-2</v>
      </c>
      <c r="N14" s="30">
        <v>1.8671687848904619</v>
      </c>
    </row>
    <row r="15" spans="1:14" x14ac:dyDescent="0.35">
      <c r="A15" s="31">
        <v>13</v>
      </c>
      <c r="B15" s="30" t="s">
        <v>8</v>
      </c>
      <c r="C15" s="30" t="s">
        <v>16</v>
      </c>
      <c r="D15" s="30" t="s">
        <v>18</v>
      </c>
      <c r="E15" s="30" t="s">
        <v>21</v>
      </c>
      <c r="F15" s="30">
        <v>2050</v>
      </c>
      <c r="G15" s="30" t="s">
        <v>46</v>
      </c>
      <c r="H15" s="30">
        <v>5.7104222888172101E-2</v>
      </c>
      <c r="I15" s="30" t="s">
        <v>52</v>
      </c>
      <c r="J15" s="30">
        <v>1.544902651954695E-2</v>
      </c>
      <c r="K15" s="30" t="s">
        <v>25</v>
      </c>
      <c r="L15" s="30">
        <v>0.41123640520011751</v>
      </c>
      <c r="M15" s="30">
        <v>0.2705408766318555</v>
      </c>
      <c r="N15" s="30">
        <v>7.2015060253152701</v>
      </c>
    </row>
    <row r="16" spans="1:14" x14ac:dyDescent="0.35">
      <c r="A16" s="31">
        <v>14</v>
      </c>
      <c r="B16" s="30" t="s">
        <v>8</v>
      </c>
      <c r="C16" s="30" t="s">
        <v>16</v>
      </c>
      <c r="D16" s="30" t="s">
        <v>18</v>
      </c>
      <c r="E16" s="30" t="s">
        <v>21</v>
      </c>
      <c r="F16" s="30">
        <v>2050</v>
      </c>
      <c r="G16" s="30" t="s">
        <v>24</v>
      </c>
      <c r="H16" s="30">
        <v>3.1242684515255099E-2</v>
      </c>
      <c r="I16" s="30" t="s">
        <v>52</v>
      </c>
      <c r="J16" s="30">
        <v>1.173702171098243E-3</v>
      </c>
      <c r="K16" s="30" t="s">
        <v>25</v>
      </c>
      <c r="L16" s="30">
        <v>3.1242684515255081E-2</v>
      </c>
      <c r="M16" s="30">
        <v>3.7567263802992031E-2</v>
      </c>
      <c r="N16" s="30">
        <v>0.99999999999999944</v>
      </c>
    </row>
    <row r="17" spans="1:14" x14ac:dyDescent="0.35">
      <c r="A17" s="31">
        <v>15</v>
      </c>
      <c r="B17" s="30" t="s">
        <v>8</v>
      </c>
      <c r="C17" s="30" t="s">
        <v>16</v>
      </c>
      <c r="D17" s="30" t="s">
        <v>18</v>
      </c>
      <c r="E17" s="30" t="s">
        <v>21</v>
      </c>
      <c r="F17" s="30">
        <v>2050</v>
      </c>
      <c r="G17" s="30" t="s">
        <v>47</v>
      </c>
      <c r="H17" s="30">
        <v>5.6500000000000001E-9</v>
      </c>
      <c r="I17" s="30" t="s">
        <v>53</v>
      </c>
      <c r="J17" s="30">
        <v>7.5603731596125085E-4</v>
      </c>
      <c r="K17" s="30" t="s">
        <v>25</v>
      </c>
      <c r="L17" s="30">
        <v>2.0124897036047539E-2</v>
      </c>
      <c r="M17" s="30">
        <v>133811.91432942491</v>
      </c>
      <c r="N17" s="30">
        <v>3561928.678946468</v>
      </c>
    </row>
    <row r="18" spans="1:14" x14ac:dyDescent="0.35">
      <c r="A18" s="31">
        <v>16</v>
      </c>
      <c r="B18" s="30" t="s">
        <v>8</v>
      </c>
      <c r="C18" s="30" t="s">
        <v>16</v>
      </c>
      <c r="D18" s="30" t="s">
        <v>18</v>
      </c>
      <c r="E18" s="30" t="s">
        <v>21</v>
      </c>
      <c r="F18" s="30">
        <v>2050</v>
      </c>
      <c r="G18" s="30" t="s">
        <v>48</v>
      </c>
      <c r="H18" s="30">
        <v>3.8600000000000001E-10</v>
      </c>
      <c r="I18" s="30" t="s">
        <v>53</v>
      </c>
      <c r="J18" s="30">
        <v>6.7519449989091591E-5</v>
      </c>
      <c r="K18" s="30" t="s">
        <v>25</v>
      </c>
      <c r="L18" s="30">
        <v>1.797294856052678E-3</v>
      </c>
      <c r="M18" s="30">
        <v>174920.85489401969</v>
      </c>
      <c r="N18" s="30">
        <v>4656204.2902919129</v>
      </c>
    </row>
    <row r="19" spans="1:14" x14ac:dyDescent="0.35">
      <c r="A19" s="31">
        <v>17</v>
      </c>
      <c r="B19" s="30" t="s">
        <v>8</v>
      </c>
      <c r="C19" s="30" t="s">
        <v>16</v>
      </c>
      <c r="D19" s="30" t="s">
        <v>18</v>
      </c>
      <c r="E19" s="30" t="s">
        <v>21</v>
      </c>
      <c r="F19" s="30">
        <v>2050</v>
      </c>
      <c r="G19" s="30" t="s">
        <v>49</v>
      </c>
      <c r="H19" s="30">
        <v>3.47E-12</v>
      </c>
      <c r="I19" s="30" t="s">
        <v>53</v>
      </c>
      <c r="J19" s="30">
        <v>5.6935993806743393E-7</v>
      </c>
      <c r="K19" s="30" t="s">
        <v>25</v>
      </c>
      <c r="L19" s="30">
        <v>1.515574679735092E-5</v>
      </c>
      <c r="M19" s="30">
        <v>164080.67379464951</v>
      </c>
      <c r="N19" s="30">
        <v>4367650.3738763453</v>
      </c>
    </row>
    <row r="20" spans="1:14" x14ac:dyDescent="0.35">
      <c r="A20" s="31">
        <v>18</v>
      </c>
      <c r="B20" s="30" t="s">
        <v>8</v>
      </c>
      <c r="C20" s="30" t="s">
        <v>16</v>
      </c>
      <c r="D20" s="30" t="s">
        <v>18</v>
      </c>
      <c r="E20" s="30" t="s">
        <v>21</v>
      </c>
      <c r="F20" s="30">
        <v>2050</v>
      </c>
      <c r="G20" s="30" t="s">
        <v>50</v>
      </c>
      <c r="H20" s="30">
        <v>5.0000000000000004E-6</v>
      </c>
      <c r="I20" s="30" t="s">
        <v>54</v>
      </c>
      <c r="J20" s="30"/>
      <c r="K20" s="30"/>
      <c r="L20" s="30"/>
      <c r="M20" s="30"/>
      <c r="N20" s="30"/>
    </row>
    <row r="21" spans="1:14" x14ac:dyDescent="0.35">
      <c r="A21" s="31">
        <v>19</v>
      </c>
      <c r="B21" s="30" t="s">
        <v>8</v>
      </c>
      <c r="C21" s="30" t="s">
        <v>16</v>
      </c>
      <c r="D21" s="30" t="s">
        <v>18</v>
      </c>
      <c r="E21" s="30" t="s">
        <v>21</v>
      </c>
      <c r="F21" s="30">
        <v>2050</v>
      </c>
      <c r="G21" s="30" t="s">
        <v>51</v>
      </c>
      <c r="H21" s="30">
        <v>4.16E-6</v>
      </c>
      <c r="I21" s="30" t="s">
        <v>54</v>
      </c>
      <c r="J21" s="30"/>
      <c r="K21" s="30"/>
      <c r="L21" s="30"/>
      <c r="M21" s="30"/>
      <c r="N21" s="30"/>
    </row>
    <row r="22" spans="1:14" x14ac:dyDescent="0.35">
      <c r="B22" s="1" t="s">
        <v>0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  <c r="H22" s="1" t="s">
        <v>27</v>
      </c>
      <c r="I22" s="1" t="s">
        <v>28</v>
      </c>
      <c r="J22" s="1" t="s">
        <v>6</v>
      </c>
      <c r="K22" s="1" t="s">
        <v>29</v>
      </c>
      <c r="L22" s="1" t="s">
        <v>30</v>
      </c>
      <c r="M22" s="1" t="s">
        <v>31</v>
      </c>
      <c r="N22" s="1" t="s">
        <v>32</v>
      </c>
    </row>
    <row r="23" spans="1:14" x14ac:dyDescent="0.35">
      <c r="A23" s="1">
        <v>0</v>
      </c>
      <c r="B23" t="s">
        <v>9</v>
      </c>
      <c r="C23" t="s">
        <v>16</v>
      </c>
      <c r="D23" t="s">
        <v>18</v>
      </c>
      <c r="E23" t="s">
        <v>22</v>
      </c>
      <c r="F23">
        <v>2050</v>
      </c>
      <c r="G23" t="s">
        <v>55</v>
      </c>
      <c r="H23">
        <v>0.2116062390272804</v>
      </c>
      <c r="I23" t="s">
        <v>52</v>
      </c>
      <c r="J23">
        <v>1.2251324460629781E-3</v>
      </c>
      <c r="K23" t="s">
        <v>25</v>
      </c>
      <c r="L23">
        <v>5.6342744577852127E-2</v>
      </c>
      <c r="M23">
        <v>5.7896801705597774E-3</v>
      </c>
      <c r="N23">
        <v>0.26626220869881051</v>
      </c>
    </row>
    <row r="24" spans="1:14" x14ac:dyDescent="0.35">
      <c r="A24" s="1">
        <v>1</v>
      </c>
      <c r="B24" t="s">
        <v>9</v>
      </c>
      <c r="C24" t="s">
        <v>16</v>
      </c>
      <c r="D24" t="s">
        <v>18</v>
      </c>
      <c r="E24" t="s">
        <v>22</v>
      </c>
      <c r="F24">
        <v>2050</v>
      </c>
      <c r="G24" t="s">
        <v>56</v>
      </c>
      <c r="H24">
        <v>0.23018560723254189</v>
      </c>
      <c r="I24" t="s">
        <v>52</v>
      </c>
      <c r="J24">
        <v>1.0515409402773619E-3</v>
      </c>
      <c r="K24" t="s">
        <v>25</v>
      </c>
      <c r="L24">
        <v>4.8359426608603838E-2</v>
      </c>
      <c r="M24">
        <v>4.5682306244936386E-3</v>
      </c>
      <c r="N24">
        <v>0.2100888373952477</v>
      </c>
    </row>
    <row r="25" spans="1:14" x14ac:dyDescent="0.35">
      <c r="A25" s="1">
        <v>2</v>
      </c>
      <c r="B25" t="s">
        <v>9</v>
      </c>
      <c r="C25" t="s">
        <v>16</v>
      </c>
      <c r="D25" t="s">
        <v>18</v>
      </c>
      <c r="E25" t="s">
        <v>22</v>
      </c>
      <c r="F25">
        <v>2050</v>
      </c>
      <c r="G25" t="s">
        <v>57</v>
      </c>
      <c r="H25">
        <v>3.8293354248734521E-2</v>
      </c>
      <c r="I25" t="s">
        <v>52</v>
      </c>
      <c r="J25">
        <v>2.5747024835680402E-4</v>
      </c>
      <c r="K25" t="s">
        <v>25</v>
      </c>
      <c r="L25">
        <v>1.184082626019836E-2</v>
      </c>
      <c r="M25">
        <v>6.723627465079339E-3</v>
      </c>
      <c r="N25">
        <v>0.3092136087971365</v>
      </c>
    </row>
    <row r="26" spans="1:14" x14ac:dyDescent="0.35">
      <c r="A26" s="1">
        <v>3</v>
      </c>
      <c r="B26" t="s">
        <v>9</v>
      </c>
      <c r="C26" t="s">
        <v>16</v>
      </c>
      <c r="D26" t="s">
        <v>18</v>
      </c>
      <c r="E26" t="s">
        <v>22</v>
      </c>
      <c r="F26">
        <v>2050</v>
      </c>
      <c r="G26" t="s">
        <v>33</v>
      </c>
      <c r="H26">
        <v>7.4697569674838565E-2</v>
      </c>
      <c r="I26" t="s">
        <v>52</v>
      </c>
      <c r="J26">
        <v>2.8660996586142611E-4</v>
      </c>
      <c r="K26" t="s">
        <v>25</v>
      </c>
      <c r="L26">
        <v>1.318093578526214E-2</v>
      </c>
      <c r="M26">
        <v>3.8369382981139869E-3</v>
      </c>
      <c r="N26">
        <v>0.1764573578851262</v>
      </c>
    </row>
    <row r="27" spans="1:14" x14ac:dyDescent="0.35">
      <c r="A27" s="1">
        <v>4</v>
      </c>
      <c r="B27" t="s">
        <v>9</v>
      </c>
      <c r="C27" t="s">
        <v>16</v>
      </c>
      <c r="D27" t="s">
        <v>18</v>
      </c>
      <c r="E27" t="s">
        <v>22</v>
      </c>
      <c r="F27">
        <v>2050</v>
      </c>
      <c r="G27" t="s">
        <v>34</v>
      </c>
      <c r="H27">
        <v>1.4228108509779789E-2</v>
      </c>
      <c r="I27" t="s">
        <v>52</v>
      </c>
      <c r="J27">
        <v>8.2939291930956175E-5</v>
      </c>
      <c r="K27" t="s">
        <v>25</v>
      </c>
      <c r="L27">
        <v>3.8143037969084678E-3</v>
      </c>
      <c r="M27">
        <v>5.8292563536430199E-3</v>
      </c>
      <c r="N27">
        <v>0.26808228193415018</v>
      </c>
    </row>
    <row r="28" spans="1:14" x14ac:dyDescent="0.35">
      <c r="A28" s="1">
        <v>5</v>
      </c>
      <c r="B28" t="s">
        <v>9</v>
      </c>
      <c r="C28" t="s">
        <v>16</v>
      </c>
      <c r="D28" t="s">
        <v>18</v>
      </c>
      <c r="E28" t="s">
        <v>22</v>
      </c>
      <c r="F28">
        <v>2050</v>
      </c>
      <c r="G28" t="s">
        <v>35</v>
      </c>
      <c r="H28">
        <v>0.1215459429050977</v>
      </c>
      <c r="I28" t="s">
        <v>52</v>
      </c>
      <c r="J28">
        <v>2.1252371126478831E-3</v>
      </c>
      <c r="K28" t="s">
        <v>25</v>
      </c>
      <c r="L28">
        <v>9.7737752510014153E-2</v>
      </c>
      <c r="M28">
        <v>1.7485051840086949E-2</v>
      </c>
      <c r="N28">
        <v>0.80412188324810774</v>
      </c>
    </row>
    <row r="29" spans="1:14" x14ac:dyDescent="0.35">
      <c r="A29" s="1">
        <v>6</v>
      </c>
      <c r="B29" t="s">
        <v>9</v>
      </c>
      <c r="C29" t="s">
        <v>16</v>
      </c>
      <c r="D29" t="s">
        <v>18</v>
      </c>
      <c r="E29" t="s">
        <v>22</v>
      </c>
      <c r="F29">
        <v>2050</v>
      </c>
      <c r="G29" t="s">
        <v>36</v>
      </c>
      <c r="H29">
        <v>0.1229642152818928</v>
      </c>
      <c r="I29" t="s">
        <v>52</v>
      </c>
      <c r="J29">
        <v>1.4680286310908991E-3</v>
      </c>
      <c r="K29" t="s">
        <v>25</v>
      </c>
      <c r="L29">
        <v>6.7513322710805568E-2</v>
      </c>
      <c r="M29">
        <v>1.1938665470482409E-2</v>
      </c>
      <c r="N29">
        <v>0.54904853868284142</v>
      </c>
    </row>
    <row r="30" spans="1:14" x14ac:dyDescent="0.35">
      <c r="A30" s="1">
        <v>7</v>
      </c>
      <c r="B30" t="s">
        <v>9</v>
      </c>
      <c r="C30" t="s">
        <v>16</v>
      </c>
      <c r="D30" t="s">
        <v>18</v>
      </c>
      <c r="E30" t="s">
        <v>22</v>
      </c>
      <c r="F30">
        <v>2050</v>
      </c>
      <c r="G30" t="s">
        <v>37</v>
      </c>
      <c r="H30">
        <v>0.1104834183540533</v>
      </c>
      <c r="I30" t="s">
        <v>52</v>
      </c>
      <c r="J30">
        <v>1.4247248488998959E-3</v>
      </c>
      <c r="K30" t="s">
        <v>25</v>
      </c>
      <c r="L30">
        <v>6.5521820529075583E-2</v>
      </c>
      <c r="M30">
        <v>1.2895372628082951E-2</v>
      </c>
      <c r="N30">
        <v>0.59304664451189826</v>
      </c>
    </row>
    <row r="31" spans="1:14" x14ac:dyDescent="0.35">
      <c r="A31" s="1">
        <v>8</v>
      </c>
      <c r="B31" t="s">
        <v>9</v>
      </c>
      <c r="C31" t="s">
        <v>16</v>
      </c>
      <c r="D31" t="s">
        <v>18</v>
      </c>
      <c r="E31" t="s">
        <v>22</v>
      </c>
      <c r="F31">
        <v>2050</v>
      </c>
      <c r="G31" t="s">
        <v>38</v>
      </c>
      <c r="H31">
        <v>1.3899069316677349E-2</v>
      </c>
      <c r="I31" t="s">
        <v>52</v>
      </c>
      <c r="J31">
        <v>6.378793283131778E-4</v>
      </c>
      <c r="K31" t="s">
        <v>25</v>
      </c>
      <c r="L31">
        <v>2.9335499343059412E-2</v>
      </c>
      <c r="M31">
        <v>4.5893671999159912E-2</v>
      </c>
      <c r="N31">
        <v>2.1106088957956382</v>
      </c>
    </row>
    <row r="32" spans="1:14" x14ac:dyDescent="0.35">
      <c r="A32" s="1">
        <v>9</v>
      </c>
      <c r="B32" t="s">
        <v>9</v>
      </c>
      <c r="C32" t="s">
        <v>16</v>
      </c>
      <c r="D32" t="s">
        <v>18</v>
      </c>
      <c r="E32" t="s">
        <v>22</v>
      </c>
      <c r="F32">
        <v>2050</v>
      </c>
      <c r="G32" t="s">
        <v>39</v>
      </c>
      <c r="H32">
        <v>2.5528902827471871E-3</v>
      </c>
      <c r="I32" t="s">
        <v>52</v>
      </c>
      <c r="J32">
        <v>0</v>
      </c>
      <c r="K32" t="s">
        <v>25</v>
      </c>
      <c r="L32">
        <v>0</v>
      </c>
      <c r="M32">
        <v>0</v>
      </c>
      <c r="N32">
        <v>0</v>
      </c>
    </row>
    <row r="33" spans="1:14" x14ac:dyDescent="0.35">
      <c r="A33" s="1">
        <v>10</v>
      </c>
      <c r="B33" t="s">
        <v>9</v>
      </c>
      <c r="C33" t="s">
        <v>16</v>
      </c>
      <c r="D33" t="s">
        <v>18</v>
      </c>
      <c r="E33" t="s">
        <v>22</v>
      </c>
      <c r="F33">
        <v>2050</v>
      </c>
      <c r="G33" t="s">
        <v>42</v>
      </c>
      <c r="H33">
        <v>2.1375884387427092E-2</v>
      </c>
      <c r="I33" t="s">
        <v>52</v>
      </c>
      <c r="J33">
        <v>6.3349241627849056E-4</v>
      </c>
      <c r="K33" t="s">
        <v>25</v>
      </c>
      <c r="L33">
        <v>2.913374918531101E-2</v>
      </c>
      <c r="M33">
        <v>2.9635845927904601E-2</v>
      </c>
      <c r="N33">
        <v>1.362926027165779</v>
      </c>
    </row>
    <row r="34" spans="1:14" x14ac:dyDescent="0.35">
      <c r="A34" s="1">
        <v>11</v>
      </c>
      <c r="B34" t="s">
        <v>9</v>
      </c>
      <c r="C34" t="s">
        <v>16</v>
      </c>
      <c r="D34" t="s">
        <v>18</v>
      </c>
      <c r="E34" t="s">
        <v>22</v>
      </c>
      <c r="F34">
        <v>2050</v>
      </c>
      <c r="G34" t="s">
        <v>44</v>
      </c>
      <c r="H34">
        <v>2.7096191477020259E-3</v>
      </c>
      <c r="I34" t="s">
        <v>52</v>
      </c>
      <c r="J34">
        <v>8.9909248055705285E-5</v>
      </c>
      <c r="K34" t="s">
        <v>25</v>
      </c>
      <c r="L34">
        <v>4.1348458402749276E-3</v>
      </c>
      <c r="M34">
        <v>3.3181507494127183E-2</v>
      </c>
      <c r="N34">
        <v>1.525987828873149</v>
      </c>
    </row>
    <row r="35" spans="1:14" x14ac:dyDescent="0.35">
      <c r="A35" s="1">
        <v>12</v>
      </c>
      <c r="B35" t="s">
        <v>9</v>
      </c>
      <c r="C35" t="s">
        <v>16</v>
      </c>
      <c r="D35" t="s">
        <v>18</v>
      </c>
      <c r="E35" t="s">
        <v>22</v>
      </c>
      <c r="F35">
        <v>2050</v>
      </c>
      <c r="G35" t="s">
        <v>46</v>
      </c>
      <c r="H35">
        <v>3.5458081631227323E-2</v>
      </c>
      <c r="I35" t="s">
        <v>52</v>
      </c>
      <c r="J35">
        <v>9.5928442604028483E-3</v>
      </c>
      <c r="K35" t="s">
        <v>25</v>
      </c>
      <c r="L35">
        <v>0.44116632097686581</v>
      </c>
      <c r="M35">
        <v>0.27054041897051179</v>
      </c>
      <c r="N35">
        <v>12.441911707607391</v>
      </c>
    </row>
    <row r="36" spans="1:14" x14ac:dyDescent="0.35">
      <c r="A36" s="1">
        <v>13</v>
      </c>
      <c r="B36" t="s">
        <v>9</v>
      </c>
      <c r="C36" t="s">
        <v>16</v>
      </c>
      <c r="D36" t="s">
        <v>18</v>
      </c>
      <c r="E36" t="s">
        <v>22</v>
      </c>
      <c r="F36">
        <v>2050</v>
      </c>
      <c r="G36" t="s">
        <v>24</v>
      </c>
      <c r="H36">
        <v>3.1242684515255099E-2</v>
      </c>
      <c r="I36" t="s">
        <v>52</v>
      </c>
      <c r="J36">
        <v>6.7934969779222612E-4</v>
      </c>
      <c r="K36" t="s">
        <v>25</v>
      </c>
      <c r="L36">
        <v>3.124268451525512E-2</v>
      </c>
      <c r="M36">
        <v>2.174428056784029E-2</v>
      </c>
      <c r="N36">
        <v>1.0000000000000011</v>
      </c>
    </row>
    <row r="37" spans="1:14" x14ac:dyDescent="0.35">
      <c r="A37" s="1">
        <v>14</v>
      </c>
      <c r="B37" t="s">
        <v>9</v>
      </c>
      <c r="C37" t="s">
        <v>16</v>
      </c>
      <c r="D37" t="s">
        <v>18</v>
      </c>
      <c r="E37" t="s">
        <v>22</v>
      </c>
      <c r="F37">
        <v>2050</v>
      </c>
      <c r="G37" t="s">
        <v>47</v>
      </c>
      <c r="H37">
        <v>5.6500000000000001E-9</v>
      </c>
      <c r="I37" t="s">
        <v>53</v>
      </c>
      <c r="J37">
        <v>7.5603370498733677E-4</v>
      </c>
      <c r="K37" t="s">
        <v>25</v>
      </c>
      <c r="L37">
        <v>3.4769313366270142E-2</v>
      </c>
      <c r="M37">
        <v>133811.27521899759</v>
      </c>
      <c r="N37">
        <v>6153860.7727911742</v>
      </c>
    </row>
    <row r="38" spans="1:14" x14ac:dyDescent="0.35">
      <c r="A38" s="1">
        <v>15</v>
      </c>
      <c r="B38" t="s">
        <v>9</v>
      </c>
      <c r="C38" t="s">
        <v>16</v>
      </c>
      <c r="D38" t="s">
        <v>18</v>
      </c>
      <c r="E38" t="s">
        <v>22</v>
      </c>
      <c r="F38">
        <v>2050</v>
      </c>
      <c r="G38" t="s">
        <v>48</v>
      </c>
      <c r="H38">
        <v>3.8600000000000001E-10</v>
      </c>
      <c r="I38" t="s">
        <v>53</v>
      </c>
      <c r="J38">
        <v>6.7519412441451545E-5</v>
      </c>
      <c r="K38" t="s">
        <v>25</v>
      </c>
      <c r="L38">
        <v>3.1051573415269741E-3</v>
      </c>
      <c r="M38">
        <v>174920.7576203408</v>
      </c>
      <c r="N38">
        <v>8044449.0713134035</v>
      </c>
    </row>
    <row r="39" spans="1:14" x14ac:dyDescent="0.35">
      <c r="A39" s="1">
        <v>16</v>
      </c>
      <c r="B39" t="s">
        <v>9</v>
      </c>
      <c r="C39" t="s">
        <v>16</v>
      </c>
      <c r="D39" t="s">
        <v>18</v>
      </c>
      <c r="E39" t="s">
        <v>22</v>
      </c>
      <c r="F39">
        <v>2050</v>
      </c>
      <c r="G39" t="s">
        <v>49</v>
      </c>
      <c r="H39">
        <v>3.47E-12</v>
      </c>
      <c r="I39" t="s">
        <v>53</v>
      </c>
      <c r="J39">
        <v>5.6935921889804972E-7</v>
      </c>
      <c r="K39" t="s">
        <v>25</v>
      </c>
      <c r="L39">
        <v>2.6184320843437351E-5</v>
      </c>
      <c r="M39">
        <v>164080.46654122471</v>
      </c>
      <c r="N39">
        <v>7545913.7877341062</v>
      </c>
    </row>
    <row r="40" spans="1:14" x14ac:dyDescent="0.35">
      <c r="A40" s="1">
        <v>17</v>
      </c>
      <c r="B40" t="s">
        <v>9</v>
      </c>
      <c r="C40" t="s">
        <v>16</v>
      </c>
      <c r="D40" t="s">
        <v>18</v>
      </c>
      <c r="E40" t="s">
        <v>22</v>
      </c>
      <c r="F40">
        <v>2050</v>
      </c>
      <c r="G40" t="s">
        <v>50</v>
      </c>
      <c r="H40">
        <v>5.0000000000000004E-6</v>
      </c>
      <c r="I40" t="s">
        <v>54</v>
      </c>
    </row>
    <row r="41" spans="1:14" x14ac:dyDescent="0.35">
      <c r="A41" s="1">
        <v>18</v>
      </c>
      <c r="B41" t="s">
        <v>9</v>
      </c>
      <c r="C41" t="s">
        <v>16</v>
      </c>
      <c r="D41" t="s">
        <v>18</v>
      </c>
      <c r="E41" t="s">
        <v>22</v>
      </c>
      <c r="F41">
        <v>2050</v>
      </c>
      <c r="G41" t="s">
        <v>51</v>
      </c>
      <c r="H41">
        <v>4.16E-6</v>
      </c>
      <c r="I41" t="s">
        <v>54</v>
      </c>
    </row>
    <row r="42" spans="1:14" x14ac:dyDescent="0.35">
      <c r="A42" s="30"/>
      <c r="B42" s="31" t="s">
        <v>0</v>
      </c>
      <c r="C42" s="31" t="s">
        <v>1</v>
      </c>
      <c r="D42" s="31" t="s">
        <v>2</v>
      </c>
      <c r="E42" s="31" t="s">
        <v>3</v>
      </c>
      <c r="F42" s="31" t="s">
        <v>4</v>
      </c>
      <c r="G42" s="31" t="s">
        <v>5</v>
      </c>
      <c r="H42" s="31" t="s">
        <v>27</v>
      </c>
      <c r="I42" s="31" t="s">
        <v>28</v>
      </c>
      <c r="J42" s="31" t="s">
        <v>6</v>
      </c>
      <c r="K42" s="31" t="s">
        <v>29</v>
      </c>
      <c r="L42" s="31" t="s">
        <v>30</v>
      </c>
      <c r="M42" s="31" t="s">
        <v>31</v>
      </c>
      <c r="N42" s="31" t="s">
        <v>32</v>
      </c>
    </row>
    <row r="43" spans="1:14" x14ac:dyDescent="0.35">
      <c r="A43" s="31">
        <v>0</v>
      </c>
      <c r="B43" s="30" t="s">
        <v>10</v>
      </c>
      <c r="C43" s="30" t="s">
        <v>16</v>
      </c>
      <c r="D43" s="30" t="s">
        <v>19</v>
      </c>
      <c r="E43" s="30" t="s">
        <v>21</v>
      </c>
      <c r="F43" s="30">
        <v>2050</v>
      </c>
      <c r="G43" s="30" t="s">
        <v>33</v>
      </c>
      <c r="H43" s="30">
        <v>6.3879361199835186E-2</v>
      </c>
      <c r="I43" s="30" t="s">
        <v>52</v>
      </c>
      <c r="J43" s="30">
        <v>1.3310232161614779E-4</v>
      </c>
      <c r="K43" s="30" t="s">
        <v>25</v>
      </c>
      <c r="L43" s="30">
        <v>7.6420349739062549E-3</v>
      </c>
      <c r="M43" s="30">
        <v>2.0836514191142409E-3</v>
      </c>
      <c r="N43" s="30">
        <v>0.11963230111208389</v>
      </c>
    </row>
    <row r="44" spans="1:14" x14ac:dyDescent="0.35">
      <c r="A44" s="31">
        <v>1</v>
      </c>
      <c r="B44" s="30" t="s">
        <v>10</v>
      </c>
      <c r="C44" s="30" t="s">
        <v>16</v>
      </c>
      <c r="D44" s="30" t="s">
        <v>19</v>
      </c>
      <c r="E44" s="30" t="s">
        <v>21</v>
      </c>
      <c r="F44" s="30">
        <v>2050</v>
      </c>
      <c r="G44" s="30" t="s">
        <v>34</v>
      </c>
      <c r="H44" s="30">
        <v>1.2167497371459781E-2</v>
      </c>
      <c r="I44" s="30" t="s">
        <v>52</v>
      </c>
      <c r="J44" s="30">
        <v>3.3500783783058429E-5</v>
      </c>
      <c r="K44" s="30" t="s">
        <v>25</v>
      </c>
      <c r="L44" s="30">
        <v>1.923438736566296E-3</v>
      </c>
      <c r="M44" s="30">
        <v>2.7533010906284012E-3</v>
      </c>
      <c r="N44" s="30">
        <v>0.15808006181106191</v>
      </c>
    </row>
    <row r="45" spans="1:14" x14ac:dyDescent="0.35">
      <c r="A45" s="31">
        <v>2</v>
      </c>
      <c r="B45" s="30" t="s">
        <v>10</v>
      </c>
      <c r="C45" s="30" t="s">
        <v>16</v>
      </c>
      <c r="D45" s="30" t="s">
        <v>19</v>
      </c>
      <c r="E45" s="30" t="s">
        <v>21</v>
      </c>
      <c r="F45" s="30">
        <v>2050</v>
      </c>
      <c r="G45" s="30" t="s">
        <v>35</v>
      </c>
      <c r="H45" s="30">
        <v>0.30818352720644221</v>
      </c>
      <c r="I45" s="30" t="s">
        <v>52</v>
      </c>
      <c r="J45" s="30">
        <v>4.6146982337499252E-3</v>
      </c>
      <c r="K45" s="30" t="s">
        <v>25</v>
      </c>
      <c r="L45" s="30">
        <v>0.26495169181227851</v>
      </c>
      <c r="M45" s="30">
        <v>1.4973864033487711E-2</v>
      </c>
      <c r="N45" s="30">
        <v>0.85972048608164542</v>
      </c>
    </row>
    <row r="46" spans="1:14" x14ac:dyDescent="0.35">
      <c r="A46" s="31">
        <v>3</v>
      </c>
      <c r="B46" s="30" t="s">
        <v>10</v>
      </c>
      <c r="C46" s="30" t="s">
        <v>16</v>
      </c>
      <c r="D46" s="30" t="s">
        <v>19</v>
      </c>
      <c r="E46" s="30" t="s">
        <v>21</v>
      </c>
      <c r="F46" s="30">
        <v>2050</v>
      </c>
      <c r="G46" s="30" t="s">
        <v>36</v>
      </c>
      <c r="H46" s="30">
        <v>0.1807929296555647</v>
      </c>
      <c r="I46" s="30" t="s">
        <v>52</v>
      </c>
      <c r="J46" s="30">
        <v>1.908309095421326E-3</v>
      </c>
      <c r="K46" s="30" t="s">
        <v>25</v>
      </c>
      <c r="L46" s="30">
        <v>0.1095650674695967</v>
      </c>
      <c r="M46" s="30">
        <v>1.0555219714935289E-2</v>
      </c>
      <c r="N46" s="30">
        <v>0.60602517851960869</v>
      </c>
    </row>
    <row r="47" spans="1:14" x14ac:dyDescent="0.35">
      <c r="A47" s="31">
        <v>4</v>
      </c>
      <c r="B47" s="30" t="s">
        <v>10</v>
      </c>
      <c r="C47" s="30" t="s">
        <v>16</v>
      </c>
      <c r="D47" s="30" t="s">
        <v>19</v>
      </c>
      <c r="E47" s="30" t="s">
        <v>21</v>
      </c>
      <c r="F47" s="30">
        <v>2050</v>
      </c>
      <c r="G47" s="30" t="s">
        <v>37</v>
      </c>
      <c r="H47" s="30">
        <v>0.27064447277681541</v>
      </c>
      <c r="I47" s="30" t="s">
        <v>52</v>
      </c>
      <c r="J47" s="30">
        <v>3.0361434317389322E-3</v>
      </c>
      <c r="K47" s="30" t="s">
        <v>25</v>
      </c>
      <c r="L47" s="30">
        <v>0.17431938082986681</v>
      </c>
      <c r="M47" s="30">
        <v>1.1218198548775321E-2</v>
      </c>
      <c r="N47" s="30">
        <v>0.64408993481872334</v>
      </c>
    </row>
    <row r="48" spans="1:14" x14ac:dyDescent="0.35">
      <c r="A48" s="31">
        <v>5</v>
      </c>
      <c r="B48" s="30" t="s">
        <v>10</v>
      </c>
      <c r="C48" s="30" t="s">
        <v>16</v>
      </c>
      <c r="D48" s="30" t="s">
        <v>19</v>
      </c>
      <c r="E48" s="30" t="s">
        <v>21</v>
      </c>
      <c r="F48" s="30">
        <v>2050</v>
      </c>
      <c r="G48" s="30" t="s">
        <v>38</v>
      </c>
      <c r="H48" s="30">
        <v>1.1867184935233919E-2</v>
      </c>
      <c r="I48" s="30" t="s">
        <v>52</v>
      </c>
      <c r="J48" s="30">
        <v>4.8637278724385647E-4</v>
      </c>
      <c r="K48" s="30" t="s">
        <v>25</v>
      </c>
      <c r="L48" s="30">
        <v>2.792496633674714E-2</v>
      </c>
      <c r="M48" s="30">
        <v>4.0984680857193478E-2</v>
      </c>
      <c r="N48" s="30">
        <v>2.3531247291712232</v>
      </c>
    </row>
    <row r="49" spans="1:14" x14ac:dyDescent="0.35">
      <c r="A49" s="31">
        <v>6</v>
      </c>
      <c r="B49" s="30" t="s">
        <v>10</v>
      </c>
      <c r="C49" s="30" t="s">
        <v>16</v>
      </c>
      <c r="D49" s="30" t="s">
        <v>19</v>
      </c>
      <c r="E49" s="30" t="s">
        <v>21</v>
      </c>
      <c r="F49" s="30">
        <v>2050</v>
      </c>
      <c r="G49" s="30" t="s">
        <v>39</v>
      </c>
      <c r="H49" s="30">
        <v>2.1796870285985359E-3</v>
      </c>
      <c r="I49" s="30" t="s">
        <v>52</v>
      </c>
      <c r="J49" s="30">
        <v>0</v>
      </c>
      <c r="K49" s="30" t="s">
        <v>25</v>
      </c>
      <c r="L49" s="30">
        <v>0</v>
      </c>
      <c r="M49" s="30">
        <v>0</v>
      </c>
      <c r="N49" s="30">
        <v>0</v>
      </c>
    </row>
    <row r="50" spans="1:14" x14ac:dyDescent="0.35">
      <c r="A50" s="31">
        <v>7</v>
      </c>
      <c r="B50" s="30" t="s">
        <v>10</v>
      </c>
      <c r="C50" s="30" t="s">
        <v>16</v>
      </c>
      <c r="D50" s="30" t="s">
        <v>19</v>
      </c>
      <c r="E50" s="30" t="s">
        <v>21</v>
      </c>
      <c r="F50" s="30">
        <v>2050</v>
      </c>
      <c r="G50" s="30" t="s">
        <v>40</v>
      </c>
      <c r="H50" s="30">
        <v>1.0535153974189091E-2</v>
      </c>
      <c r="I50" s="30" t="s">
        <v>52</v>
      </c>
      <c r="J50" s="30">
        <v>3.8737452673886532E-4</v>
      </c>
      <c r="K50" s="30" t="s">
        <v>25</v>
      </c>
      <c r="L50" s="30">
        <v>2.224100710937299E-2</v>
      </c>
      <c r="M50" s="30">
        <v>3.6769707181112367E-2</v>
      </c>
      <c r="N50" s="30">
        <v>2.1111231182631962</v>
      </c>
    </row>
    <row r="51" spans="1:14" x14ac:dyDescent="0.35">
      <c r="A51" s="31">
        <v>8</v>
      </c>
      <c r="B51" s="30" t="s">
        <v>10</v>
      </c>
      <c r="C51" s="30" t="s">
        <v>16</v>
      </c>
      <c r="D51" s="30" t="s">
        <v>19</v>
      </c>
      <c r="E51" s="30" t="s">
        <v>21</v>
      </c>
      <c r="F51" s="30">
        <v>2050</v>
      </c>
      <c r="G51" s="30" t="s">
        <v>41</v>
      </c>
      <c r="H51" s="30">
        <v>6.0546861949339924E-4</v>
      </c>
      <c r="I51" s="30" t="s">
        <v>52</v>
      </c>
      <c r="J51" s="30">
        <v>2.3487145652467311E-5</v>
      </c>
      <c r="K51" s="30" t="s">
        <v>25</v>
      </c>
      <c r="L51" s="30">
        <v>1.3485083230254491E-3</v>
      </c>
      <c r="M51" s="30">
        <v>3.8791681180965598E-2</v>
      </c>
      <c r="N51" s="30">
        <v>2.227214226484203</v>
      </c>
    </row>
    <row r="52" spans="1:14" x14ac:dyDescent="0.35">
      <c r="A52" s="31">
        <v>9</v>
      </c>
      <c r="B52" s="30" t="s">
        <v>10</v>
      </c>
      <c r="C52" s="30" t="s">
        <v>16</v>
      </c>
      <c r="D52" s="30" t="s">
        <v>19</v>
      </c>
      <c r="E52" s="30" t="s">
        <v>21</v>
      </c>
      <c r="F52" s="30">
        <v>2050</v>
      </c>
      <c r="G52" s="30" t="s">
        <v>42</v>
      </c>
      <c r="H52" s="30">
        <v>2.235077570274557E-2</v>
      </c>
      <c r="I52" s="30" t="s">
        <v>52</v>
      </c>
      <c r="J52" s="30">
        <v>4.8774617410084442E-4</v>
      </c>
      <c r="K52" s="30" t="s">
        <v>25</v>
      </c>
      <c r="L52" s="30">
        <v>2.8003818983841251E-2</v>
      </c>
      <c r="M52" s="30">
        <v>2.182233764893134E-2</v>
      </c>
      <c r="N52" s="30">
        <v>1.2529238070426909</v>
      </c>
    </row>
    <row r="53" spans="1:14" x14ac:dyDescent="0.35">
      <c r="A53" s="31">
        <v>10</v>
      </c>
      <c r="B53" s="30" t="s">
        <v>10</v>
      </c>
      <c r="C53" s="30" t="s">
        <v>16</v>
      </c>
      <c r="D53" s="30" t="s">
        <v>19</v>
      </c>
      <c r="E53" s="30" t="s">
        <v>21</v>
      </c>
      <c r="F53" s="30">
        <v>2050</v>
      </c>
      <c r="G53" s="30" t="s">
        <v>43</v>
      </c>
      <c r="H53" s="30">
        <v>2.1036024190819361E-2</v>
      </c>
      <c r="I53" s="30" t="s">
        <v>52</v>
      </c>
      <c r="J53" s="30">
        <v>1.427313157809598E-3</v>
      </c>
      <c r="K53" s="30" t="s">
        <v>25</v>
      </c>
      <c r="L53" s="30">
        <v>8.1948811547808753E-2</v>
      </c>
      <c r="M53" s="30">
        <v>6.7850899241336318E-2</v>
      </c>
      <c r="N53" s="30">
        <v>3.8956416290666391</v>
      </c>
    </row>
    <row r="54" spans="1:14" x14ac:dyDescent="0.35">
      <c r="A54" s="31">
        <v>11</v>
      </c>
      <c r="B54" s="30" t="s">
        <v>10</v>
      </c>
      <c r="C54" s="30" t="s">
        <v>16</v>
      </c>
      <c r="D54" s="30" t="s">
        <v>19</v>
      </c>
      <c r="E54" s="30" t="s">
        <v>21</v>
      </c>
      <c r="F54" s="30">
        <v>2050</v>
      </c>
      <c r="G54" s="30" t="s">
        <v>44</v>
      </c>
      <c r="H54" s="30">
        <v>2.4980278726597989E-3</v>
      </c>
      <c r="I54" s="30" t="s">
        <v>52</v>
      </c>
      <c r="J54" s="30">
        <v>6.8174374858828468E-5</v>
      </c>
      <c r="K54" s="30" t="s">
        <v>25</v>
      </c>
      <c r="L54" s="30">
        <v>3.9142138970185824E-3</v>
      </c>
      <c r="M54" s="30">
        <v>2.7291278694276201E-2</v>
      </c>
      <c r="N54" s="30">
        <v>1.566921626399183</v>
      </c>
    </row>
    <row r="55" spans="1:14" x14ac:dyDescent="0.35">
      <c r="A55" s="31">
        <v>12</v>
      </c>
      <c r="B55" s="30" t="s">
        <v>10</v>
      </c>
      <c r="C55" s="30" t="s">
        <v>16</v>
      </c>
      <c r="D55" s="30" t="s">
        <v>19</v>
      </c>
      <c r="E55" s="30" t="s">
        <v>21</v>
      </c>
      <c r="F55" s="30">
        <v>2050</v>
      </c>
      <c r="G55" s="30" t="s">
        <v>45</v>
      </c>
      <c r="H55" s="30">
        <v>3.6155666577970771E-2</v>
      </c>
      <c r="I55" s="30" t="s">
        <v>52</v>
      </c>
      <c r="J55" s="30">
        <v>1.619591889271551E-3</v>
      </c>
      <c r="K55" s="30" t="s">
        <v>25</v>
      </c>
      <c r="L55" s="30">
        <v>9.2988444611521642E-2</v>
      </c>
      <c r="M55" s="30">
        <v>4.4794966946020823E-2</v>
      </c>
      <c r="N55" s="30">
        <v>2.5718913081297861</v>
      </c>
    </row>
    <row r="56" spans="1:14" x14ac:dyDescent="0.35">
      <c r="A56" s="31">
        <v>13</v>
      </c>
      <c r="B56" s="30" t="s">
        <v>10</v>
      </c>
      <c r="C56" s="30" t="s">
        <v>16</v>
      </c>
      <c r="D56" s="30" t="s">
        <v>19</v>
      </c>
      <c r="E56" s="30" t="s">
        <v>21</v>
      </c>
      <c r="F56" s="30">
        <v>2050</v>
      </c>
      <c r="G56" s="30" t="s">
        <v>46</v>
      </c>
      <c r="H56" s="30">
        <v>5.7104222888172101E-2</v>
      </c>
      <c r="I56" s="30" t="s">
        <v>52</v>
      </c>
      <c r="J56" s="30">
        <v>6.4718751670110456E-4</v>
      </c>
      <c r="K56" s="30" t="s">
        <v>25</v>
      </c>
      <c r="L56" s="30">
        <v>3.7158101956843402E-2</v>
      </c>
      <c r="M56" s="30">
        <v>1.1333444077656039E-2</v>
      </c>
      <c r="N56" s="30">
        <v>0.65070672670934626</v>
      </c>
    </row>
    <row r="57" spans="1:14" x14ac:dyDescent="0.35">
      <c r="A57" s="31">
        <v>14</v>
      </c>
      <c r="B57" s="30" t="s">
        <v>10</v>
      </c>
      <c r="C57" s="30" t="s">
        <v>16</v>
      </c>
      <c r="D57" s="30" t="s">
        <v>19</v>
      </c>
      <c r="E57" s="30" t="s">
        <v>21</v>
      </c>
      <c r="F57" s="30">
        <v>2050</v>
      </c>
      <c r="G57" s="30" t="s">
        <v>24</v>
      </c>
      <c r="H57" s="30">
        <v>3.1242684515255099E-2</v>
      </c>
      <c r="I57" s="30" t="s">
        <v>52</v>
      </c>
      <c r="J57" s="30">
        <v>5.4415791823780445E-4</v>
      </c>
      <c r="K57" s="30" t="s">
        <v>25</v>
      </c>
      <c r="L57" s="30">
        <v>3.1242684515255081E-2</v>
      </c>
      <c r="M57" s="30">
        <v>1.7417130655725321E-2</v>
      </c>
      <c r="N57" s="30">
        <v>0.99999999999999956</v>
      </c>
    </row>
    <row r="58" spans="1:14" x14ac:dyDescent="0.35">
      <c r="A58" s="31">
        <v>15</v>
      </c>
      <c r="B58" s="30" t="s">
        <v>10</v>
      </c>
      <c r="C58" s="30" t="s">
        <v>16</v>
      </c>
      <c r="D58" s="30" t="s">
        <v>19</v>
      </c>
      <c r="E58" s="30" t="s">
        <v>21</v>
      </c>
      <c r="F58" s="30">
        <v>2050</v>
      </c>
      <c r="G58" s="30" t="s">
        <v>47</v>
      </c>
      <c r="H58" s="30">
        <v>5.6500000000000001E-9</v>
      </c>
      <c r="I58" s="30" t="s">
        <v>53</v>
      </c>
      <c r="J58" s="30">
        <v>5.7973266022976399E-4</v>
      </c>
      <c r="K58" s="30" t="s">
        <v>25</v>
      </c>
      <c r="L58" s="30">
        <v>3.3285199019804979E-2</v>
      </c>
      <c r="M58" s="30">
        <v>102607.55048314411</v>
      </c>
      <c r="N58" s="30">
        <v>5891185.6672221189</v>
      </c>
    </row>
    <row r="59" spans="1:14" x14ac:dyDescent="0.35">
      <c r="A59" s="31">
        <v>16</v>
      </c>
      <c r="B59" s="30" t="s">
        <v>10</v>
      </c>
      <c r="C59" s="30" t="s">
        <v>16</v>
      </c>
      <c r="D59" s="30" t="s">
        <v>19</v>
      </c>
      <c r="E59" s="30" t="s">
        <v>21</v>
      </c>
      <c r="F59" s="30">
        <v>2050</v>
      </c>
      <c r="G59" s="30" t="s">
        <v>48</v>
      </c>
      <c r="H59" s="30">
        <v>3.8600000000000001E-10</v>
      </c>
      <c r="I59" s="30" t="s">
        <v>53</v>
      </c>
      <c r="J59" s="30">
        <v>5.48958845762348E-5</v>
      </c>
      <c r="K59" s="30" t="s">
        <v>25</v>
      </c>
      <c r="L59" s="30">
        <v>3.1518328513077728E-3</v>
      </c>
      <c r="M59" s="30">
        <v>142217.31755501241</v>
      </c>
      <c r="N59" s="30">
        <v>8165370.0811082218</v>
      </c>
    </row>
    <row r="60" spans="1:14" x14ac:dyDescent="0.35">
      <c r="A60" s="31">
        <v>17</v>
      </c>
      <c r="B60" s="30" t="s">
        <v>10</v>
      </c>
      <c r="C60" s="30" t="s">
        <v>16</v>
      </c>
      <c r="D60" s="30" t="s">
        <v>19</v>
      </c>
      <c r="E60" s="30" t="s">
        <v>21</v>
      </c>
      <c r="F60" s="30">
        <v>2050</v>
      </c>
      <c r="G60" s="30" t="s">
        <v>49</v>
      </c>
      <c r="H60" s="30">
        <v>3.47E-12</v>
      </c>
      <c r="I60" s="30" t="s">
        <v>53</v>
      </c>
      <c r="J60" s="30">
        <v>3.4279108740019658E-7</v>
      </c>
      <c r="K60" s="30" t="s">
        <v>25</v>
      </c>
      <c r="L60" s="30">
        <v>1.9681260603480331E-5</v>
      </c>
      <c r="M60" s="30">
        <v>98787.05688766473</v>
      </c>
      <c r="N60" s="30">
        <v>5671833.0269395784</v>
      </c>
    </row>
    <row r="61" spans="1:14" x14ac:dyDescent="0.35">
      <c r="A61" s="31">
        <v>18</v>
      </c>
      <c r="B61" s="30" t="s">
        <v>10</v>
      </c>
      <c r="C61" s="30" t="s">
        <v>16</v>
      </c>
      <c r="D61" s="30" t="s">
        <v>19</v>
      </c>
      <c r="E61" s="30" t="s">
        <v>21</v>
      </c>
      <c r="F61" s="30">
        <v>2050</v>
      </c>
      <c r="G61" s="30" t="s">
        <v>50</v>
      </c>
      <c r="H61" s="30">
        <v>5.0000000000000004E-6</v>
      </c>
      <c r="I61" s="30" t="s">
        <v>54</v>
      </c>
      <c r="J61" s="30"/>
      <c r="K61" s="30"/>
      <c r="L61" s="30"/>
      <c r="M61" s="30"/>
      <c r="N61" s="30"/>
    </row>
    <row r="62" spans="1:14" x14ac:dyDescent="0.35">
      <c r="A62" s="31">
        <v>19</v>
      </c>
      <c r="B62" s="30" t="s">
        <v>10</v>
      </c>
      <c r="C62" s="30" t="s">
        <v>16</v>
      </c>
      <c r="D62" s="30" t="s">
        <v>19</v>
      </c>
      <c r="E62" s="30" t="s">
        <v>21</v>
      </c>
      <c r="F62" s="30">
        <v>2050</v>
      </c>
      <c r="G62" s="30" t="s">
        <v>51</v>
      </c>
      <c r="H62" s="30">
        <v>4.16E-6</v>
      </c>
      <c r="I62" s="30" t="s">
        <v>54</v>
      </c>
      <c r="J62" s="30"/>
      <c r="K62" s="30"/>
      <c r="L62" s="30"/>
      <c r="M62" s="30"/>
      <c r="N62" s="30"/>
    </row>
    <row r="63" spans="1:14" x14ac:dyDescent="0.35">
      <c r="B63" s="1" t="s">
        <v>0</v>
      </c>
      <c r="C63" s="1" t="s">
        <v>1</v>
      </c>
      <c r="D63" s="1" t="s">
        <v>2</v>
      </c>
      <c r="E63" s="1" t="s">
        <v>3</v>
      </c>
      <c r="F63" s="1" t="s">
        <v>4</v>
      </c>
      <c r="G63" s="1" t="s">
        <v>5</v>
      </c>
      <c r="H63" s="1" t="s">
        <v>27</v>
      </c>
      <c r="I63" s="1" t="s">
        <v>28</v>
      </c>
      <c r="J63" s="1" t="s">
        <v>6</v>
      </c>
      <c r="K63" s="1" t="s">
        <v>29</v>
      </c>
      <c r="L63" s="1" t="s">
        <v>30</v>
      </c>
      <c r="M63" s="1" t="s">
        <v>31</v>
      </c>
      <c r="N63" s="1" t="s">
        <v>32</v>
      </c>
    </row>
    <row r="64" spans="1:14" x14ac:dyDescent="0.35">
      <c r="A64" s="1">
        <v>0</v>
      </c>
      <c r="B64" t="s">
        <v>11</v>
      </c>
      <c r="C64" t="s">
        <v>16</v>
      </c>
      <c r="D64" t="s">
        <v>19</v>
      </c>
      <c r="E64" t="s">
        <v>22</v>
      </c>
      <c r="F64">
        <v>2050</v>
      </c>
      <c r="G64" t="s">
        <v>55</v>
      </c>
      <c r="H64">
        <v>0.2116062390272804</v>
      </c>
      <c r="I64" t="s">
        <v>52</v>
      </c>
      <c r="J64">
        <v>9.0805811280414417E-4</v>
      </c>
      <c r="K64" t="s">
        <v>25</v>
      </c>
      <c r="L64">
        <v>9.0643807398755757E-2</v>
      </c>
      <c r="M64">
        <v>4.2912634191616473E-3</v>
      </c>
      <c r="N64">
        <v>0.42836075068216628</v>
      </c>
    </row>
    <row r="65" spans="1:14" x14ac:dyDescent="0.35">
      <c r="A65" s="1">
        <v>1</v>
      </c>
      <c r="B65" t="s">
        <v>11</v>
      </c>
      <c r="C65" t="s">
        <v>16</v>
      </c>
      <c r="D65" t="s">
        <v>19</v>
      </c>
      <c r="E65" t="s">
        <v>22</v>
      </c>
      <c r="F65">
        <v>2050</v>
      </c>
      <c r="G65" t="s">
        <v>56</v>
      </c>
      <c r="H65">
        <v>0.23018560723254189</v>
      </c>
      <c r="I65" t="s">
        <v>52</v>
      </c>
      <c r="J65">
        <v>7.3706925489527885E-4</v>
      </c>
      <c r="K65" t="s">
        <v>25</v>
      </c>
      <c r="L65">
        <v>7.3575427209119873E-2</v>
      </c>
      <c r="M65">
        <v>3.2020649064763841E-3</v>
      </c>
      <c r="N65">
        <v>0.3196352200022276</v>
      </c>
    </row>
    <row r="66" spans="1:14" x14ac:dyDescent="0.35">
      <c r="A66" s="1">
        <v>2</v>
      </c>
      <c r="B66" t="s">
        <v>11</v>
      </c>
      <c r="C66" t="s">
        <v>16</v>
      </c>
      <c r="D66" t="s">
        <v>19</v>
      </c>
      <c r="E66" t="s">
        <v>22</v>
      </c>
      <c r="F66">
        <v>2050</v>
      </c>
      <c r="G66" t="s">
        <v>57</v>
      </c>
      <c r="H66">
        <v>3.8293354248734521E-2</v>
      </c>
      <c r="I66" t="s">
        <v>52</v>
      </c>
      <c r="J66">
        <v>1.93525173427291E-4</v>
      </c>
      <c r="K66" t="s">
        <v>25</v>
      </c>
      <c r="L66">
        <v>1.9317991106079919E-2</v>
      </c>
      <c r="M66">
        <v>5.0537535095580314E-3</v>
      </c>
      <c r="N66">
        <v>0.50447372618757524</v>
      </c>
    </row>
    <row r="67" spans="1:14" x14ac:dyDescent="0.35">
      <c r="A67" s="1">
        <v>3</v>
      </c>
      <c r="B67" t="s">
        <v>11</v>
      </c>
      <c r="C67" t="s">
        <v>16</v>
      </c>
      <c r="D67" t="s">
        <v>19</v>
      </c>
      <c r="E67" t="s">
        <v>22</v>
      </c>
      <c r="F67">
        <v>2050</v>
      </c>
      <c r="G67" t="s">
        <v>33</v>
      </c>
      <c r="H67">
        <v>7.4697569674838565E-2</v>
      </c>
      <c r="I67" t="s">
        <v>52</v>
      </c>
      <c r="J67">
        <v>1.5564357556781499E-4</v>
      </c>
      <c r="K67" t="s">
        <v>25</v>
      </c>
      <c r="L67">
        <v>1.553658966060649E-2</v>
      </c>
      <c r="M67">
        <v>2.083649792695231E-3</v>
      </c>
      <c r="N67">
        <v>0.207993241657498</v>
      </c>
    </row>
    <row r="68" spans="1:14" x14ac:dyDescent="0.35">
      <c r="A68" s="1">
        <v>4</v>
      </c>
      <c r="B68" t="s">
        <v>11</v>
      </c>
      <c r="C68" t="s">
        <v>16</v>
      </c>
      <c r="D68" t="s">
        <v>19</v>
      </c>
      <c r="E68" t="s">
        <v>22</v>
      </c>
      <c r="F68">
        <v>2050</v>
      </c>
      <c r="G68" t="s">
        <v>34</v>
      </c>
      <c r="H68">
        <v>1.4228108509779789E-2</v>
      </c>
      <c r="I68" t="s">
        <v>52</v>
      </c>
      <c r="J68">
        <v>3.9174238226981762E-5</v>
      </c>
      <c r="K68" t="s">
        <v>25</v>
      </c>
      <c r="L68">
        <v>3.9104348661938458E-3</v>
      </c>
      <c r="M68">
        <v>2.753299091024999E-3</v>
      </c>
      <c r="N68">
        <v>0.27483870139913402</v>
      </c>
    </row>
    <row r="69" spans="1:14" x14ac:dyDescent="0.35">
      <c r="A69" s="1">
        <v>5</v>
      </c>
      <c r="B69" t="s">
        <v>11</v>
      </c>
      <c r="C69" t="s">
        <v>16</v>
      </c>
      <c r="D69" t="s">
        <v>19</v>
      </c>
      <c r="E69" t="s">
        <v>22</v>
      </c>
      <c r="F69">
        <v>2050</v>
      </c>
      <c r="G69" t="s">
        <v>35</v>
      </c>
      <c r="H69">
        <v>0.1215459429050977</v>
      </c>
      <c r="I69" t="s">
        <v>52</v>
      </c>
      <c r="J69">
        <v>1.8200005613001611E-3</v>
      </c>
      <c r="K69" t="s">
        <v>25</v>
      </c>
      <c r="L69">
        <v>0.18167535537420099</v>
      </c>
      <c r="M69">
        <v>1.497376644419309E-2</v>
      </c>
      <c r="N69">
        <v>1.494705220363068</v>
      </c>
    </row>
    <row r="70" spans="1:14" x14ac:dyDescent="0.35">
      <c r="A70" s="1">
        <v>6</v>
      </c>
      <c r="B70" t="s">
        <v>11</v>
      </c>
      <c r="C70" t="s">
        <v>16</v>
      </c>
      <c r="D70" t="s">
        <v>19</v>
      </c>
      <c r="E70" t="s">
        <v>22</v>
      </c>
      <c r="F70">
        <v>2050</v>
      </c>
      <c r="G70" t="s">
        <v>36</v>
      </c>
      <c r="H70">
        <v>0.1229642152818928</v>
      </c>
      <c r="I70" t="s">
        <v>52</v>
      </c>
      <c r="J70">
        <v>1.2979133542375761E-3</v>
      </c>
      <c r="K70" t="s">
        <v>25</v>
      </c>
      <c r="L70">
        <v>0.12955977865610341</v>
      </c>
      <c r="M70">
        <v>1.0555211947330679E-2</v>
      </c>
      <c r="N70">
        <v>1.0536380715242271</v>
      </c>
    </row>
    <row r="71" spans="1:14" x14ac:dyDescent="0.35">
      <c r="A71" s="1">
        <v>7</v>
      </c>
      <c r="B71" t="s">
        <v>11</v>
      </c>
      <c r="C71" t="s">
        <v>16</v>
      </c>
      <c r="D71" t="s">
        <v>19</v>
      </c>
      <c r="E71" t="s">
        <v>22</v>
      </c>
      <c r="F71">
        <v>2050</v>
      </c>
      <c r="G71" t="s">
        <v>37</v>
      </c>
      <c r="H71">
        <v>0.1104834183540533</v>
      </c>
      <c r="I71" t="s">
        <v>52</v>
      </c>
      <c r="J71">
        <v>1.239424208697358E-3</v>
      </c>
      <c r="K71" t="s">
        <v>25</v>
      </c>
      <c r="L71">
        <v>0.1237212989723601</v>
      </c>
      <c r="M71">
        <v>1.1218192079516579E-2</v>
      </c>
      <c r="N71">
        <v>1.1198178044770919</v>
      </c>
    </row>
    <row r="72" spans="1:14" x14ac:dyDescent="0.35">
      <c r="A72" s="1">
        <v>8</v>
      </c>
      <c r="B72" t="s">
        <v>11</v>
      </c>
      <c r="C72" t="s">
        <v>16</v>
      </c>
      <c r="D72" t="s">
        <v>19</v>
      </c>
      <c r="E72" t="s">
        <v>22</v>
      </c>
      <c r="F72">
        <v>2050</v>
      </c>
      <c r="G72" t="s">
        <v>38</v>
      </c>
      <c r="H72">
        <v>1.3899069316677349E-2</v>
      </c>
      <c r="I72" t="s">
        <v>52</v>
      </c>
      <c r="J72">
        <v>5.6964866084069626E-4</v>
      </c>
      <c r="K72" t="s">
        <v>25</v>
      </c>
      <c r="L72">
        <v>5.6863236801828129E-2</v>
      </c>
      <c r="M72">
        <v>4.0984662200164793E-2</v>
      </c>
      <c r="N72">
        <v>4.0911542712862454</v>
      </c>
    </row>
    <row r="73" spans="1:14" x14ac:dyDescent="0.35">
      <c r="A73" s="1">
        <v>9</v>
      </c>
      <c r="B73" t="s">
        <v>11</v>
      </c>
      <c r="C73" t="s">
        <v>16</v>
      </c>
      <c r="D73" t="s">
        <v>19</v>
      </c>
      <c r="E73" t="s">
        <v>22</v>
      </c>
      <c r="F73">
        <v>2050</v>
      </c>
      <c r="G73" t="s">
        <v>39</v>
      </c>
      <c r="H73">
        <v>2.5528902827471871E-3</v>
      </c>
      <c r="I73" t="s">
        <v>52</v>
      </c>
      <c r="J73">
        <v>0</v>
      </c>
      <c r="K73" t="s">
        <v>25</v>
      </c>
      <c r="L73">
        <v>0</v>
      </c>
      <c r="M73">
        <v>0</v>
      </c>
      <c r="N73">
        <v>0</v>
      </c>
    </row>
    <row r="74" spans="1:14" x14ac:dyDescent="0.35">
      <c r="A74" s="1">
        <v>10</v>
      </c>
      <c r="B74" t="s">
        <v>11</v>
      </c>
      <c r="C74" t="s">
        <v>16</v>
      </c>
      <c r="D74" t="s">
        <v>19</v>
      </c>
      <c r="E74" t="s">
        <v>22</v>
      </c>
      <c r="F74">
        <v>2050</v>
      </c>
      <c r="G74" t="s">
        <v>42</v>
      </c>
      <c r="H74">
        <v>2.1375884387427092E-2</v>
      </c>
      <c r="I74" t="s">
        <v>52</v>
      </c>
      <c r="J74">
        <v>2.9330501280497431E-4</v>
      </c>
      <c r="K74" t="s">
        <v>25</v>
      </c>
      <c r="L74">
        <v>2.927817362666742E-2</v>
      </c>
      <c r="M74">
        <v>1.3721304227182809E-2</v>
      </c>
      <c r="N74">
        <v>1.3696824466307611</v>
      </c>
    </row>
    <row r="75" spans="1:14" x14ac:dyDescent="0.35">
      <c r="A75" s="1">
        <v>11</v>
      </c>
      <c r="B75" t="s">
        <v>11</v>
      </c>
      <c r="C75" t="s">
        <v>16</v>
      </c>
      <c r="D75" t="s">
        <v>19</v>
      </c>
      <c r="E75" t="s">
        <v>22</v>
      </c>
      <c r="F75">
        <v>2050</v>
      </c>
      <c r="G75" t="s">
        <v>44</v>
      </c>
      <c r="H75">
        <v>2.7096191477020259E-3</v>
      </c>
      <c r="I75" t="s">
        <v>52</v>
      </c>
      <c r="J75">
        <v>4.9307508375244768E-5</v>
      </c>
      <c r="K75" t="s">
        <v>25</v>
      </c>
      <c r="L75">
        <v>4.9219540351623028E-3</v>
      </c>
      <c r="M75">
        <v>1.8197209898321499E-2</v>
      </c>
      <c r="N75">
        <v>1.8164744810489379</v>
      </c>
    </row>
    <row r="76" spans="1:14" x14ac:dyDescent="0.35">
      <c r="A76" s="1">
        <v>12</v>
      </c>
      <c r="B76" t="s">
        <v>11</v>
      </c>
      <c r="C76" t="s">
        <v>16</v>
      </c>
      <c r="D76" t="s">
        <v>19</v>
      </c>
      <c r="E76" t="s">
        <v>22</v>
      </c>
      <c r="F76">
        <v>2050</v>
      </c>
      <c r="G76" t="s">
        <v>46</v>
      </c>
      <c r="H76">
        <v>3.5458081631227323E-2</v>
      </c>
      <c r="I76" t="s">
        <v>52</v>
      </c>
      <c r="J76">
        <v>4.0184814521954701E-4</v>
      </c>
      <c r="K76" t="s">
        <v>25</v>
      </c>
      <c r="L76">
        <v>4.0113122018529047E-2</v>
      </c>
      <c r="M76" s="30">
        <v>1.133304811576852E-2</v>
      </c>
      <c r="N76">
        <v>1.131282916986748</v>
      </c>
    </row>
    <row r="77" spans="1:14" x14ac:dyDescent="0.35">
      <c r="A77" s="1">
        <v>13</v>
      </c>
      <c r="B77" t="s">
        <v>11</v>
      </c>
      <c r="C77" t="s">
        <v>16</v>
      </c>
      <c r="D77" t="s">
        <v>19</v>
      </c>
      <c r="E77" t="s">
        <v>22</v>
      </c>
      <c r="F77">
        <v>2050</v>
      </c>
      <c r="G77" t="s">
        <v>24</v>
      </c>
      <c r="H77">
        <v>3.1242684515255099E-2</v>
      </c>
      <c r="I77" t="s">
        <v>52</v>
      </c>
      <c r="J77">
        <v>3.1298523257141108E-4</v>
      </c>
      <c r="K77" t="s">
        <v>25</v>
      </c>
      <c r="L77">
        <v>3.1242684515255061E-2</v>
      </c>
      <c r="M77">
        <v>1.0017872581294589E-2</v>
      </c>
      <c r="N77">
        <v>0.99999999999999878</v>
      </c>
    </row>
    <row r="78" spans="1:14" x14ac:dyDescent="0.35">
      <c r="A78" s="1">
        <v>14</v>
      </c>
      <c r="B78" t="s">
        <v>11</v>
      </c>
      <c r="C78" t="s">
        <v>16</v>
      </c>
      <c r="D78" t="s">
        <v>19</v>
      </c>
      <c r="E78" t="s">
        <v>22</v>
      </c>
      <c r="F78">
        <v>2050</v>
      </c>
      <c r="G78" t="s">
        <v>47</v>
      </c>
      <c r="H78">
        <v>5.6500000000000001E-9</v>
      </c>
      <c r="I78" t="s">
        <v>53</v>
      </c>
      <c r="J78">
        <v>5.7973095170574533E-4</v>
      </c>
      <c r="K78" t="s">
        <v>25</v>
      </c>
      <c r="L78">
        <v>5.786966713753381E-2</v>
      </c>
      <c r="M78">
        <v>102607.2480895124</v>
      </c>
      <c r="N78">
        <v>10242418.962395361</v>
      </c>
    </row>
    <row r="79" spans="1:14" x14ac:dyDescent="0.35">
      <c r="A79" s="1">
        <v>15</v>
      </c>
      <c r="B79" t="s">
        <v>11</v>
      </c>
      <c r="C79" t="s">
        <v>16</v>
      </c>
      <c r="D79" t="s">
        <v>19</v>
      </c>
      <c r="E79" t="s">
        <v>22</v>
      </c>
      <c r="F79">
        <v>2050</v>
      </c>
      <c r="G79" t="s">
        <v>48</v>
      </c>
      <c r="H79">
        <v>3.8600000000000001E-10</v>
      </c>
      <c r="I79" t="s">
        <v>53</v>
      </c>
      <c r="J79">
        <v>5.4895862370416148E-5</v>
      </c>
      <c r="K79" t="s">
        <v>25</v>
      </c>
      <c r="L79">
        <v>5.4797924334671457E-3</v>
      </c>
      <c r="M79">
        <v>142217.26002698479</v>
      </c>
      <c r="N79">
        <v>14196353.4545781</v>
      </c>
    </row>
    <row r="80" spans="1:14" x14ac:dyDescent="0.35">
      <c r="A80" s="1">
        <v>16</v>
      </c>
      <c r="B80" t="s">
        <v>11</v>
      </c>
      <c r="C80" t="s">
        <v>16</v>
      </c>
      <c r="D80" t="s">
        <v>19</v>
      </c>
      <c r="E80" t="s">
        <v>22</v>
      </c>
      <c r="F80">
        <v>2050</v>
      </c>
      <c r="G80" t="s">
        <v>49</v>
      </c>
      <c r="H80">
        <v>3.47E-12</v>
      </c>
      <c r="I80" t="s">
        <v>53</v>
      </c>
      <c r="J80">
        <v>3.4279072278681678E-7</v>
      </c>
      <c r="K80" t="s">
        <v>25</v>
      </c>
      <c r="L80">
        <v>3.4217916030083717E-5</v>
      </c>
      <c r="M80">
        <v>98786.951811762759</v>
      </c>
      <c r="N80">
        <v>9861070.9020414185</v>
      </c>
    </row>
    <row r="81" spans="1:14" x14ac:dyDescent="0.35">
      <c r="A81" s="1">
        <v>17</v>
      </c>
      <c r="B81" t="s">
        <v>11</v>
      </c>
      <c r="C81" t="s">
        <v>16</v>
      </c>
      <c r="D81" t="s">
        <v>19</v>
      </c>
      <c r="E81" t="s">
        <v>22</v>
      </c>
      <c r="F81">
        <v>2050</v>
      </c>
      <c r="G81" t="s">
        <v>50</v>
      </c>
      <c r="H81">
        <v>5.0000000000000004E-6</v>
      </c>
      <c r="I81" t="s">
        <v>54</v>
      </c>
    </row>
    <row r="82" spans="1:14" x14ac:dyDescent="0.35">
      <c r="A82" s="1">
        <v>18</v>
      </c>
      <c r="B82" t="s">
        <v>11</v>
      </c>
      <c r="C82" t="s">
        <v>16</v>
      </c>
      <c r="D82" t="s">
        <v>19</v>
      </c>
      <c r="E82" t="s">
        <v>22</v>
      </c>
      <c r="F82">
        <v>2050</v>
      </c>
      <c r="G82" t="s">
        <v>51</v>
      </c>
      <c r="H82">
        <v>4.16E-6</v>
      </c>
      <c r="I82" t="s">
        <v>54</v>
      </c>
    </row>
    <row r="83" spans="1:14" x14ac:dyDescent="0.35">
      <c r="A83" s="30"/>
      <c r="B83" s="31" t="s">
        <v>0</v>
      </c>
      <c r="C83" s="31" t="s">
        <v>1</v>
      </c>
      <c r="D83" s="31" t="s">
        <v>2</v>
      </c>
      <c r="E83" s="31" t="s">
        <v>3</v>
      </c>
      <c r="F83" s="31" t="s">
        <v>4</v>
      </c>
      <c r="G83" s="31" t="s">
        <v>5</v>
      </c>
      <c r="H83" s="31" t="s">
        <v>27</v>
      </c>
      <c r="I83" s="31" t="s">
        <v>28</v>
      </c>
      <c r="J83" s="31" t="s">
        <v>6</v>
      </c>
      <c r="K83" s="31" t="s">
        <v>29</v>
      </c>
      <c r="L83" s="31" t="s">
        <v>30</v>
      </c>
      <c r="M83" s="31" t="s">
        <v>31</v>
      </c>
      <c r="N83" s="31" t="s">
        <v>32</v>
      </c>
    </row>
    <row r="84" spans="1:14" x14ac:dyDescent="0.35">
      <c r="A84" s="31">
        <v>0</v>
      </c>
      <c r="B84" s="30" t="s">
        <v>12</v>
      </c>
      <c r="C84" s="30" t="s">
        <v>16</v>
      </c>
      <c r="D84" s="30" t="s">
        <v>18</v>
      </c>
      <c r="E84" s="30" t="s">
        <v>23</v>
      </c>
      <c r="F84" s="30">
        <v>2050</v>
      </c>
      <c r="G84" s="30" t="s">
        <v>55</v>
      </c>
      <c r="H84" s="30">
        <v>0.1238413121453323</v>
      </c>
      <c r="I84" s="30" t="s">
        <v>52</v>
      </c>
      <c r="J84" s="30">
        <v>7.1700762271516597E-4</v>
      </c>
      <c r="K84" s="30" t="s">
        <v>25</v>
      </c>
      <c r="L84" s="30">
        <v>2.5356249419708279E-2</v>
      </c>
      <c r="M84" s="30">
        <v>5.7897288900955069E-3</v>
      </c>
      <c r="N84" s="30">
        <v>0.20474790665938511</v>
      </c>
    </row>
    <row r="85" spans="1:14" x14ac:dyDescent="0.35">
      <c r="A85" s="31">
        <v>1</v>
      </c>
      <c r="B85" s="30" t="s">
        <v>12</v>
      </c>
      <c r="C85" s="30" t="s">
        <v>16</v>
      </c>
      <c r="D85" s="30" t="s">
        <v>18</v>
      </c>
      <c r="E85" s="30" t="s">
        <v>23</v>
      </c>
      <c r="F85" s="30">
        <v>2050</v>
      </c>
      <c r="G85" s="30" t="s">
        <v>56</v>
      </c>
      <c r="H85" s="30">
        <v>0.1200885451119403</v>
      </c>
      <c r="I85" s="30" t="s">
        <v>52</v>
      </c>
      <c r="J85" s="30">
        <v>5.485924628432213E-4</v>
      </c>
      <c r="K85" s="30" t="s">
        <v>25</v>
      </c>
      <c r="L85" s="30">
        <v>1.9400417620316801E-2</v>
      </c>
      <c r="M85" s="30">
        <v>4.5682330677905359E-3</v>
      </c>
      <c r="N85" s="30">
        <v>0.16155094228373509</v>
      </c>
    </row>
    <row r="86" spans="1:14" x14ac:dyDescent="0.35">
      <c r="A86" s="31">
        <v>2</v>
      </c>
      <c r="B86" s="30" t="s">
        <v>12</v>
      </c>
      <c r="C86" s="30" t="s">
        <v>16</v>
      </c>
      <c r="D86" s="30" t="s">
        <v>18</v>
      </c>
      <c r="E86" s="30" t="s">
        <v>23</v>
      </c>
      <c r="F86" s="30">
        <v>2050</v>
      </c>
      <c r="G86" s="30" t="s">
        <v>33</v>
      </c>
      <c r="H86" s="30">
        <v>7.0702130932249987E-2</v>
      </c>
      <c r="I86" s="30" t="s">
        <v>52</v>
      </c>
      <c r="J86" s="30">
        <v>2.7127980098588588E-4</v>
      </c>
      <c r="K86" s="30" t="s">
        <v>25</v>
      </c>
      <c r="L86" s="30">
        <v>9.5935357985162065E-3</v>
      </c>
      <c r="M86" s="30">
        <v>3.8369395293875739E-3</v>
      </c>
      <c r="N86" s="30">
        <v>0.13568948590402699</v>
      </c>
    </row>
    <row r="87" spans="1:14" x14ac:dyDescent="0.35">
      <c r="A87" s="31">
        <v>3</v>
      </c>
      <c r="B87" s="30" t="s">
        <v>12</v>
      </c>
      <c r="C87" s="30" t="s">
        <v>16</v>
      </c>
      <c r="D87" s="30" t="s">
        <v>18</v>
      </c>
      <c r="E87" s="30" t="s">
        <v>23</v>
      </c>
      <c r="F87" s="30">
        <v>2050</v>
      </c>
      <c r="G87" s="30" t="s">
        <v>34</v>
      </c>
      <c r="H87" s="30">
        <v>1.346707255845492E-2</v>
      </c>
      <c r="I87" s="30" t="s">
        <v>52</v>
      </c>
      <c r="J87" s="30">
        <v>7.8503034537038326E-5</v>
      </c>
      <c r="K87" s="30" t="s">
        <v>25</v>
      </c>
      <c r="L87" s="30">
        <v>2.776180421049536E-3</v>
      </c>
      <c r="M87" s="30">
        <v>5.8292575610838608E-3</v>
      </c>
      <c r="N87" s="30">
        <v>0.2061457981309078</v>
      </c>
    </row>
    <row r="88" spans="1:14" x14ac:dyDescent="0.35">
      <c r="A88" s="31">
        <v>4</v>
      </c>
      <c r="B88" s="30" t="s">
        <v>12</v>
      </c>
      <c r="C88" s="30" t="s">
        <v>16</v>
      </c>
      <c r="D88" s="30" t="s">
        <v>18</v>
      </c>
      <c r="E88" s="30" t="s">
        <v>23</v>
      </c>
      <c r="F88" s="30">
        <v>2050</v>
      </c>
      <c r="G88" s="30" t="s">
        <v>35</v>
      </c>
      <c r="H88" s="30">
        <v>0.19353555708011469</v>
      </c>
      <c r="I88" s="30" t="s">
        <v>52</v>
      </c>
      <c r="J88" s="30">
        <v>3.383995605052436E-3</v>
      </c>
      <c r="K88" s="30" t="s">
        <v>25</v>
      </c>
      <c r="L88" s="30">
        <v>0.1196715821123044</v>
      </c>
      <c r="M88" s="30">
        <v>1.7485136354822999E-2</v>
      </c>
      <c r="N88" s="30">
        <v>0.61834416330414144</v>
      </c>
    </row>
    <row r="89" spans="1:14" x14ac:dyDescent="0.35">
      <c r="A89" s="31">
        <v>5</v>
      </c>
      <c r="B89" s="30" t="s">
        <v>12</v>
      </c>
      <c r="C89" s="30" t="s">
        <v>16</v>
      </c>
      <c r="D89" s="30" t="s">
        <v>18</v>
      </c>
      <c r="E89" s="30" t="s">
        <v>23</v>
      </c>
      <c r="F89" s="30">
        <v>2050</v>
      </c>
      <c r="G89" s="30" t="s">
        <v>36</v>
      </c>
      <c r="H89" s="30">
        <v>0.1572141332383965</v>
      </c>
      <c r="I89" s="30" t="s">
        <v>52</v>
      </c>
      <c r="J89" s="30">
        <v>1.8769279804633811E-3</v>
      </c>
      <c r="K89" s="30" t="s">
        <v>25</v>
      </c>
      <c r="L89" s="30">
        <v>6.6375659766681264E-2</v>
      </c>
      <c r="M89" s="30">
        <v>1.19386720633904E-2</v>
      </c>
      <c r="N89" s="30">
        <v>0.42219906314676231</v>
      </c>
    </row>
    <row r="90" spans="1:14" x14ac:dyDescent="0.35">
      <c r="A90" s="31">
        <v>6</v>
      </c>
      <c r="B90" s="30" t="s">
        <v>12</v>
      </c>
      <c r="C90" s="30" t="s">
        <v>16</v>
      </c>
      <c r="D90" s="30" t="s">
        <v>18</v>
      </c>
      <c r="E90" s="30" t="s">
        <v>23</v>
      </c>
      <c r="F90" s="30">
        <v>2050</v>
      </c>
      <c r="G90" s="30" t="s">
        <v>37</v>
      </c>
      <c r="H90" s="30">
        <v>0.21471188530380569</v>
      </c>
      <c r="I90" s="30" t="s">
        <v>52</v>
      </c>
      <c r="J90" s="30">
        <v>2.7687909547365178E-3</v>
      </c>
      <c r="K90" s="30" t="s">
        <v>25</v>
      </c>
      <c r="L90" s="30">
        <v>9.7915491851362113E-2</v>
      </c>
      <c r="M90" s="30">
        <v>1.2895378152070289E-2</v>
      </c>
      <c r="N90" s="30">
        <v>0.45603200639227293</v>
      </c>
    </row>
    <row r="91" spans="1:14" x14ac:dyDescent="0.35">
      <c r="A91" s="31">
        <v>7</v>
      </c>
      <c r="B91" s="30" t="s">
        <v>12</v>
      </c>
      <c r="C91" s="30" t="s">
        <v>16</v>
      </c>
      <c r="D91" s="30" t="s">
        <v>18</v>
      </c>
      <c r="E91" s="30" t="s">
        <v>23</v>
      </c>
      <c r="F91" s="30">
        <v>2050</v>
      </c>
      <c r="G91" s="30" t="s">
        <v>38</v>
      </c>
      <c r="H91" s="30">
        <v>1.313468462121163E-2</v>
      </c>
      <c r="I91" s="30" t="s">
        <v>52</v>
      </c>
      <c r="J91" s="30">
        <v>6.0279911475999014E-4</v>
      </c>
      <c r="K91" s="30" t="s">
        <v>25</v>
      </c>
      <c r="L91" s="30">
        <v>2.1317381042552149E-2</v>
      </c>
      <c r="M91" s="30">
        <v>4.5893687754520587E-2</v>
      </c>
      <c r="N91" s="30">
        <v>1.6229838520923461</v>
      </c>
    </row>
    <row r="92" spans="1:14" x14ac:dyDescent="0.35">
      <c r="A92" s="31">
        <v>8</v>
      </c>
      <c r="B92" s="30" t="s">
        <v>12</v>
      </c>
      <c r="C92" s="30" t="s">
        <v>16</v>
      </c>
      <c r="D92" s="30" t="s">
        <v>18</v>
      </c>
      <c r="E92" s="30" t="s">
        <v>23</v>
      </c>
      <c r="F92" s="30">
        <v>2050</v>
      </c>
      <c r="G92" s="30" t="s">
        <v>39</v>
      </c>
      <c r="H92" s="30">
        <v>2.412493094341404E-3</v>
      </c>
      <c r="I92" s="30" t="s">
        <v>52</v>
      </c>
      <c r="J92" s="30">
        <v>0</v>
      </c>
      <c r="K92" s="30" t="s">
        <v>25</v>
      </c>
      <c r="L92" s="30">
        <v>0</v>
      </c>
      <c r="M92" s="30">
        <v>0</v>
      </c>
      <c r="N92" s="30">
        <v>0</v>
      </c>
    </row>
    <row r="93" spans="1:14" x14ac:dyDescent="0.35">
      <c r="A93" s="31">
        <v>9</v>
      </c>
      <c r="B93" s="30" t="s">
        <v>12</v>
      </c>
      <c r="C93" s="30" t="s">
        <v>16</v>
      </c>
      <c r="D93" s="30" t="s">
        <v>18</v>
      </c>
      <c r="E93" s="30" t="s">
        <v>23</v>
      </c>
      <c r="F93" s="30">
        <v>2050</v>
      </c>
      <c r="G93" s="30" t="s">
        <v>41</v>
      </c>
      <c r="H93" s="30">
        <v>6.7013697097184535E-4</v>
      </c>
      <c r="I93" s="30" t="s">
        <v>52</v>
      </c>
      <c r="J93" s="30">
        <v>2.138571322405724E-5</v>
      </c>
      <c r="K93" s="30" t="s">
        <v>25</v>
      </c>
      <c r="L93" s="30">
        <v>7.5628411937116115E-4</v>
      </c>
      <c r="M93" s="30">
        <v>3.1912450962141778E-2</v>
      </c>
      <c r="N93" s="30">
        <v>1.128551553086802</v>
      </c>
    </row>
    <row r="94" spans="1:14" x14ac:dyDescent="0.35">
      <c r="A94" s="31">
        <v>10</v>
      </c>
      <c r="B94" s="30" t="s">
        <v>12</v>
      </c>
      <c r="C94" s="30" t="s">
        <v>16</v>
      </c>
      <c r="D94" s="30" t="s">
        <v>18</v>
      </c>
      <c r="E94" s="30" t="s">
        <v>23</v>
      </c>
      <c r="F94" s="30">
        <v>2050</v>
      </c>
      <c r="G94" s="30" t="s">
        <v>42</v>
      </c>
      <c r="H94" s="30">
        <v>2.1842904673904678E-2</v>
      </c>
      <c r="I94" s="30" t="s">
        <v>52</v>
      </c>
      <c r="J94" s="30">
        <v>8.0356859267378435E-4</v>
      </c>
      <c r="K94" s="30" t="s">
        <v>25</v>
      </c>
      <c r="L94" s="30">
        <v>2.8417390577414652E-2</v>
      </c>
      <c r="M94" s="30">
        <v>3.6788540932186239E-2</v>
      </c>
      <c r="N94" s="30">
        <v>1.300989543362536</v>
      </c>
    </row>
    <row r="95" spans="1:14" x14ac:dyDescent="0.35">
      <c r="A95" s="31">
        <v>11</v>
      </c>
      <c r="B95" s="30" t="s">
        <v>12</v>
      </c>
      <c r="C95" s="30" t="s">
        <v>16</v>
      </c>
      <c r="D95" s="30" t="s">
        <v>18</v>
      </c>
      <c r="E95" s="30" t="s">
        <v>23</v>
      </c>
      <c r="F95" s="30">
        <v>2050</v>
      </c>
      <c r="G95" s="30" t="s">
        <v>43</v>
      </c>
      <c r="H95" s="30">
        <v>8.2453348769044171E-3</v>
      </c>
      <c r="I95" s="30" t="s">
        <v>52</v>
      </c>
      <c r="J95" s="30">
        <v>8.5565654635787474E-4</v>
      </c>
      <c r="K95" s="30" t="s">
        <v>25</v>
      </c>
      <c r="L95" s="30">
        <v>3.0259428379432119E-2</v>
      </c>
      <c r="M95" s="30">
        <v>0.10377462639566171</v>
      </c>
      <c r="N95" s="30">
        <v>3.6698847082839832</v>
      </c>
    </row>
    <row r="96" spans="1:14" x14ac:dyDescent="0.35">
      <c r="A96" s="31">
        <v>12</v>
      </c>
      <c r="B96" s="30" t="s">
        <v>12</v>
      </c>
      <c r="C96" s="30" t="s">
        <v>16</v>
      </c>
      <c r="D96" s="30" t="s">
        <v>18</v>
      </c>
      <c r="E96" s="30" t="s">
        <v>23</v>
      </c>
      <c r="F96" s="30">
        <v>2050</v>
      </c>
      <c r="G96" s="30" t="s">
        <v>44</v>
      </c>
      <c r="H96" s="30">
        <v>2.748444958968138E-3</v>
      </c>
      <c r="I96" s="30" t="s">
        <v>52</v>
      </c>
      <c r="J96" s="30">
        <v>1.1326613663669641E-4</v>
      </c>
      <c r="K96" s="30" t="s">
        <v>25</v>
      </c>
      <c r="L96" s="30">
        <v>4.0055423685610471E-3</v>
      </c>
      <c r="M96" s="30">
        <v>4.1210989605999053E-2</v>
      </c>
      <c r="N96" s="30">
        <v>1.4573849679947259</v>
      </c>
    </row>
    <row r="97" spans="1:14" x14ac:dyDescent="0.35">
      <c r="A97" s="31">
        <v>13</v>
      </c>
      <c r="B97" s="30" t="s">
        <v>12</v>
      </c>
      <c r="C97" s="30" t="s">
        <v>16</v>
      </c>
      <c r="D97" s="30" t="s">
        <v>18</v>
      </c>
      <c r="E97" s="30" t="s">
        <v>23</v>
      </c>
      <c r="F97" s="30">
        <v>2050</v>
      </c>
      <c r="G97" s="30" t="s">
        <v>45</v>
      </c>
      <c r="H97" s="30">
        <v>1.113843483371298E-2</v>
      </c>
      <c r="I97" s="30" t="s">
        <v>52</v>
      </c>
      <c r="J97" s="30">
        <v>6.5132252999845601E-4</v>
      </c>
      <c r="K97" s="30" t="s">
        <v>25</v>
      </c>
      <c r="L97" s="30">
        <v>2.3033362547495481E-2</v>
      </c>
      <c r="M97" s="30">
        <v>5.8475229215067252E-2</v>
      </c>
      <c r="N97" s="30">
        <v>2.0679173412928562</v>
      </c>
    </row>
    <row r="98" spans="1:14" x14ac:dyDescent="0.35">
      <c r="A98" s="31">
        <v>14</v>
      </c>
      <c r="B98" s="30" t="s">
        <v>12</v>
      </c>
      <c r="C98" s="30" t="s">
        <v>16</v>
      </c>
      <c r="D98" s="30" t="s">
        <v>18</v>
      </c>
      <c r="E98" s="30" t="s">
        <v>23</v>
      </c>
      <c r="F98" s="30">
        <v>2050</v>
      </c>
      <c r="G98" s="30" t="s">
        <v>46</v>
      </c>
      <c r="H98" s="30">
        <v>4.6246929599690588E-2</v>
      </c>
      <c r="I98" s="30" t="s">
        <v>52</v>
      </c>
      <c r="J98" s="30">
        <v>1.251167244888981E-2</v>
      </c>
      <c r="K98" s="30" t="s">
        <v>25</v>
      </c>
      <c r="L98" s="30">
        <v>0.44246264226645537</v>
      </c>
      <c r="M98" s="30">
        <v>0.27054060793202389</v>
      </c>
      <c r="N98" s="30">
        <v>9.5673949837615968</v>
      </c>
    </row>
    <row r="99" spans="1:14" x14ac:dyDescent="0.35">
      <c r="A99" s="31">
        <v>15</v>
      </c>
      <c r="B99" s="30" t="s">
        <v>12</v>
      </c>
      <c r="C99" s="30" t="s">
        <v>16</v>
      </c>
      <c r="D99" s="30" t="s">
        <v>18</v>
      </c>
      <c r="E99" s="30" t="s">
        <v>23</v>
      </c>
      <c r="F99" s="30">
        <v>2050</v>
      </c>
      <c r="G99" s="30" t="s">
        <v>24</v>
      </c>
      <c r="H99" s="30">
        <v>3.1242684515255099E-2</v>
      </c>
      <c r="I99" s="30" t="s">
        <v>52</v>
      </c>
      <c r="J99" s="30">
        <v>8.8346042747597744E-4</v>
      </c>
      <c r="K99" s="30" t="s">
        <v>25</v>
      </c>
      <c r="L99" s="30">
        <v>3.1242684515255081E-2</v>
      </c>
      <c r="M99" s="30">
        <v>2.827735328072092E-2</v>
      </c>
      <c r="N99" s="30">
        <v>0.99999999999999967</v>
      </c>
    </row>
    <row r="100" spans="1:14" x14ac:dyDescent="0.35">
      <c r="A100" s="31">
        <v>16</v>
      </c>
      <c r="B100" s="30" t="s">
        <v>12</v>
      </c>
      <c r="C100" s="30" t="s">
        <v>16</v>
      </c>
      <c r="D100" s="30" t="s">
        <v>18</v>
      </c>
      <c r="E100" s="30" t="s">
        <v>23</v>
      </c>
      <c r="F100" s="30">
        <v>2050</v>
      </c>
      <c r="G100" s="30" t="s">
        <v>47</v>
      </c>
      <c r="H100" s="30">
        <v>5.6500000000000001E-9</v>
      </c>
      <c r="I100" s="30" t="s">
        <v>53</v>
      </c>
      <c r="J100" s="30">
        <v>7.5603519590436527E-4</v>
      </c>
      <c r="K100" s="30" t="s">
        <v>25</v>
      </c>
      <c r="L100" s="30">
        <v>2.6736420074357479E-2</v>
      </c>
      <c r="M100" s="30">
        <v>133811.5390981177</v>
      </c>
      <c r="N100" s="30">
        <v>4732109.7476738887</v>
      </c>
    </row>
    <row r="101" spans="1:14" x14ac:dyDescent="0.35">
      <c r="A101" s="31">
        <v>17</v>
      </c>
      <c r="B101" s="30" t="s">
        <v>12</v>
      </c>
      <c r="C101" s="30" t="s">
        <v>16</v>
      </c>
      <c r="D101" s="30" t="s">
        <v>18</v>
      </c>
      <c r="E101" s="30" t="s">
        <v>23</v>
      </c>
      <c r="F101" s="30">
        <v>2050</v>
      </c>
      <c r="G101" s="30" t="s">
        <v>48</v>
      </c>
      <c r="H101" s="30">
        <v>3.8600000000000001E-10</v>
      </c>
      <c r="I101" s="30" t="s">
        <v>53</v>
      </c>
      <c r="J101" s="30">
        <v>6.7519427944309616E-5</v>
      </c>
      <c r="K101" s="30" t="s">
        <v>25</v>
      </c>
      <c r="L101" s="30">
        <v>2.387756282351338E-3</v>
      </c>
      <c r="M101" s="30">
        <v>174920.7977831855</v>
      </c>
      <c r="N101" s="30">
        <v>6185897.1045371443</v>
      </c>
    </row>
    <row r="102" spans="1:14" x14ac:dyDescent="0.35">
      <c r="A102" s="31">
        <v>18</v>
      </c>
      <c r="B102" s="30" t="s">
        <v>12</v>
      </c>
      <c r="C102" s="30" t="s">
        <v>16</v>
      </c>
      <c r="D102" s="30" t="s">
        <v>18</v>
      </c>
      <c r="E102" s="30" t="s">
        <v>23</v>
      </c>
      <c r="F102" s="30">
        <v>2050</v>
      </c>
      <c r="G102" s="30" t="s">
        <v>49</v>
      </c>
      <c r="H102" s="30">
        <v>3.47E-12</v>
      </c>
      <c r="I102" s="30" t="s">
        <v>53</v>
      </c>
      <c r="J102" s="30">
        <v>5.6935951583231363E-7</v>
      </c>
      <c r="K102" s="30" t="s">
        <v>25</v>
      </c>
      <c r="L102" s="30">
        <v>2.0134823446170761E-5</v>
      </c>
      <c r="M102" s="30">
        <v>164080.55211305869</v>
      </c>
      <c r="N102" s="30">
        <v>5802542.779876302</v>
      </c>
    </row>
    <row r="103" spans="1:14" x14ac:dyDescent="0.35">
      <c r="A103" s="31">
        <v>19</v>
      </c>
      <c r="B103" s="30" t="s">
        <v>12</v>
      </c>
      <c r="C103" s="30" t="s">
        <v>16</v>
      </c>
      <c r="D103" s="30" t="s">
        <v>18</v>
      </c>
      <c r="E103" s="30" t="s">
        <v>23</v>
      </c>
      <c r="F103" s="30">
        <v>2050</v>
      </c>
      <c r="G103" s="30" t="s">
        <v>50</v>
      </c>
      <c r="H103" s="30">
        <v>5.0000000000000004E-6</v>
      </c>
      <c r="I103" s="30" t="s">
        <v>54</v>
      </c>
      <c r="J103" s="30"/>
      <c r="K103" s="30"/>
      <c r="L103" s="30"/>
      <c r="M103" s="30"/>
      <c r="N103" s="30"/>
    </row>
    <row r="104" spans="1:14" x14ac:dyDescent="0.35">
      <c r="A104" s="31">
        <v>20</v>
      </c>
      <c r="B104" s="30" t="s">
        <v>12</v>
      </c>
      <c r="C104" s="30" t="s">
        <v>16</v>
      </c>
      <c r="D104" s="30" t="s">
        <v>18</v>
      </c>
      <c r="E104" s="30" t="s">
        <v>23</v>
      </c>
      <c r="F104" s="30">
        <v>2050</v>
      </c>
      <c r="G104" s="30" t="s">
        <v>51</v>
      </c>
      <c r="H104" s="30">
        <v>4.16E-6</v>
      </c>
      <c r="I104" s="30" t="s">
        <v>54</v>
      </c>
      <c r="J104" s="30"/>
      <c r="K104" s="30"/>
      <c r="L104" s="30"/>
      <c r="M104" s="30"/>
      <c r="N104" s="30"/>
    </row>
    <row r="105" spans="1:14" x14ac:dyDescent="0.35">
      <c r="B105" s="1" t="s">
        <v>0</v>
      </c>
      <c r="C105" s="1" t="s">
        <v>1</v>
      </c>
      <c r="D105" s="1" t="s">
        <v>2</v>
      </c>
      <c r="E105" s="1" t="s">
        <v>3</v>
      </c>
      <c r="F105" s="1" t="s">
        <v>4</v>
      </c>
      <c r="G105" s="1" t="s">
        <v>5</v>
      </c>
      <c r="H105" s="1" t="s">
        <v>27</v>
      </c>
      <c r="I105" s="1" t="s">
        <v>28</v>
      </c>
      <c r="J105" s="1" t="s">
        <v>6</v>
      </c>
      <c r="K105" s="1" t="s">
        <v>29</v>
      </c>
      <c r="L105" s="1" t="s">
        <v>30</v>
      </c>
      <c r="M105" s="1" t="s">
        <v>31</v>
      </c>
      <c r="N105" s="1" t="s">
        <v>32</v>
      </c>
    </row>
    <row r="106" spans="1:14" x14ac:dyDescent="0.35">
      <c r="A106" s="1">
        <v>0</v>
      </c>
      <c r="B106" t="s">
        <v>13</v>
      </c>
      <c r="C106" t="s">
        <v>16</v>
      </c>
      <c r="D106" t="s">
        <v>19</v>
      </c>
      <c r="E106" t="s">
        <v>23</v>
      </c>
      <c r="F106">
        <v>2050</v>
      </c>
      <c r="G106" t="s">
        <v>55</v>
      </c>
      <c r="H106">
        <v>0.1238413121453323</v>
      </c>
      <c r="I106" t="s">
        <v>52</v>
      </c>
      <c r="J106">
        <v>5.314383849955674E-4</v>
      </c>
      <c r="K106" t="s">
        <v>25</v>
      </c>
      <c r="L106">
        <v>4.123665724871816E-2</v>
      </c>
      <c r="M106">
        <v>4.291285159930356E-3</v>
      </c>
      <c r="N106">
        <v>0.33297981533274967</v>
      </c>
    </row>
    <row r="107" spans="1:14" x14ac:dyDescent="0.35">
      <c r="A107" s="1">
        <v>1</v>
      </c>
      <c r="B107" t="s">
        <v>13</v>
      </c>
      <c r="C107" t="s">
        <v>16</v>
      </c>
      <c r="D107" t="s">
        <v>19</v>
      </c>
      <c r="E107" t="s">
        <v>23</v>
      </c>
      <c r="F107">
        <v>2050</v>
      </c>
      <c r="G107" t="s">
        <v>56</v>
      </c>
      <c r="H107">
        <v>0.1200885451119403</v>
      </c>
      <c r="I107" t="s">
        <v>52</v>
      </c>
      <c r="J107">
        <v>3.8453148011346788E-4</v>
      </c>
      <c r="K107" t="s">
        <v>25</v>
      </c>
      <c r="L107">
        <v>2.9837500064873221E-2</v>
      </c>
      <c r="M107">
        <v>3.2020662733071468E-3</v>
      </c>
      <c r="N107">
        <v>0.2484624993754421</v>
      </c>
    </row>
    <row r="108" spans="1:14" x14ac:dyDescent="0.35">
      <c r="A108" s="1">
        <v>2</v>
      </c>
      <c r="B108" t="s">
        <v>13</v>
      </c>
      <c r="C108" t="s">
        <v>16</v>
      </c>
      <c r="D108" t="s">
        <v>19</v>
      </c>
      <c r="E108" t="s">
        <v>23</v>
      </c>
      <c r="F108">
        <v>2050</v>
      </c>
      <c r="G108" t="s">
        <v>33</v>
      </c>
      <c r="H108">
        <v>7.0702130932249987E-2</v>
      </c>
      <c r="I108" t="s">
        <v>52</v>
      </c>
      <c r="J108">
        <v>1.4731852505711209E-4</v>
      </c>
      <c r="K108" t="s">
        <v>25</v>
      </c>
      <c r="L108">
        <v>1.143109661568292E-2</v>
      </c>
      <c r="M108">
        <v>2.0836504234685569E-3</v>
      </c>
      <c r="N108">
        <v>0.1616796617719588</v>
      </c>
    </row>
    <row r="109" spans="1:14" x14ac:dyDescent="0.35">
      <c r="A109" s="1">
        <v>3</v>
      </c>
      <c r="B109" t="s">
        <v>13</v>
      </c>
      <c r="C109" t="s">
        <v>16</v>
      </c>
      <c r="D109" t="s">
        <v>19</v>
      </c>
      <c r="E109" t="s">
        <v>23</v>
      </c>
      <c r="F109">
        <v>2050</v>
      </c>
      <c r="G109" t="s">
        <v>34</v>
      </c>
      <c r="H109">
        <v>1.346707255845492E-2</v>
      </c>
      <c r="I109" t="s">
        <v>52</v>
      </c>
      <c r="J109">
        <v>3.7078889077747248E-5</v>
      </c>
      <c r="K109" t="s">
        <v>25</v>
      </c>
      <c r="L109">
        <v>2.8771151712630918E-3</v>
      </c>
      <c r="M109">
        <v>2.7532998665302589E-3</v>
      </c>
      <c r="N109">
        <v>0.21364072694898911</v>
      </c>
    </row>
    <row r="110" spans="1:14" x14ac:dyDescent="0.35">
      <c r="A110" s="1">
        <v>4</v>
      </c>
      <c r="B110" t="s">
        <v>13</v>
      </c>
      <c r="C110" t="s">
        <v>16</v>
      </c>
      <c r="D110" t="s">
        <v>19</v>
      </c>
      <c r="E110" t="s">
        <v>23</v>
      </c>
      <c r="F110">
        <v>2050</v>
      </c>
      <c r="G110" t="s">
        <v>35</v>
      </c>
      <c r="H110">
        <v>0.19353555708011469</v>
      </c>
      <c r="I110" t="s">
        <v>52</v>
      </c>
      <c r="J110">
        <v>2.8979635553002701E-3</v>
      </c>
      <c r="K110" t="s">
        <v>25</v>
      </c>
      <c r="L110">
        <v>0.2248658230628009</v>
      </c>
      <c r="M110">
        <v>1.4973804292203781E-2</v>
      </c>
      <c r="N110">
        <v>1.1618837719299151</v>
      </c>
    </row>
    <row r="111" spans="1:14" x14ac:dyDescent="0.35">
      <c r="A111" s="1">
        <v>5</v>
      </c>
      <c r="B111" t="s">
        <v>13</v>
      </c>
      <c r="C111" t="s">
        <v>16</v>
      </c>
      <c r="D111" t="s">
        <v>19</v>
      </c>
      <c r="E111" t="s">
        <v>23</v>
      </c>
      <c r="F111">
        <v>2050</v>
      </c>
      <c r="G111" t="s">
        <v>36</v>
      </c>
      <c r="H111">
        <v>0.1572141332383965</v>
      </c>
      <c r="I111" t="s">
        <v>52</v>
      </c>
      <c r="J111">
        <v>1.659428971055755E-3</v>
      </c>
      <c r="K111" t="s">
        <v>25</v>
      </c>
      <c r="L111">
        <v>0.1287624410280224</v>
      </c>
      <c r="M111">
        <v>1.055521495983716E-2</v>
      </c>
      <c r="N111">
        <v>0.81902586221538687</v>
      </c>
    </row>
    <row r="112" spans="1:14" x14ac:dyDescent="0.35">
      <c r="A112" s="1">
        <v>6</v>
      </c>
      <c r="B112" t="s">
        <v>13</v>
      </c>
      <c r="C112" t="s">
        <v>16</v>
      </c>
      <c r="D112" t="s">
        <v>19</v>
      </c>
      <c r="E112" t="s">
        <v>23</v>
      </c>
      <c r="F112">
        <v>2050</v>
      </c>
      <c r="G112" t="s">
        <v>37</v>
      </c>
      <c r="H112">
        <v>0.21471188530380569</v>
      </c>
      <c r="I112" t="s">
        <v>52</v>
      </c>
      <c r="J112">
        <v>2.4086797097988199E-3</v>
      </c>
      <c r="K112" t="s">
        <v>25</v>
      </c>
      <c r="L112">
        <v>0.18690012317372279</v>
      </c>
      <c r="M112">
        <v>1.1218194588486189E-2</v>
      </c>
      <c r="N112">
        <v>0.87046938696136555</v>
      </c>
    </row>
    <row r="113" spans="1:14" x14ac:dyDescent="0.35">
      <c r="A113" s="1">
        <v>7</v>
      </c>
      <c r="B113" t="s">
        <v>13</v>
      </c>
      <c r="C113" t="s">
        <v>16</v>
      </c>
      <c r="D113" t="s">
        <v>19</v>
      </c>
      <c r="E113" t="s">
        <v>23</v>
      </c>
      <c r="F113">
        <v>2050</v>
      </c>
      <c r="G113" t="s">
        <v>38</v>
      </c>
      <c r="H113">
        <v>1.313468462121163E-2</v>
      </c>
      <c r="I113" t="s">
        <v>52</v>
      </c>
      <c r="J113">
        <v>5.3832070734530961E-4</v>
      </c>
      <c r="K113" t="s">
        <v>25</v>
      </c>
      <c r="L113">
        <v>4.1770687111491213E-2</v>
      </c>
      <c r="M113">
        <v>4.0984669435911537E-2</v>
      </c>
      <c r="N113">
        <v>3.1801819621945371</v>
      </c>
    </row>
    <row r="114" spans="1:14" x14ac:dyDescent="0.35">
      <c r="A114" s="1">
        <v>8</v>
      </c>
      <c r="B114" t="s">
        <v>13</v>
      </c>
      <c r="C114" t="s">
        <v>16</v>
      </c>
      <c r="D114" t="s">
        <v>19</v>
      </c>
      <c r="E114" t="s">
        <v>23</v>
      </c>
      <c r="F114">
        <v>2050</v>
      </c>
      <c r="G114" t="s">
        <v>39</v>
      </c>
      <c r="H114">
        <v>2.412493094341404E-3</v>
      </c>
      <c r="I114" t="s">
        <v>52</v>
      </c>
      <c r="J114">
        <v>0</v>
      </c>
      <c r="K114" t="s">
        <v>25</v>
      </c>
      <c r="L114">
        <v>0</v>
      </c>
      <c r="M114">
        <v>0</v>
      </c>
      <c r="N114">
        <v>0</v>
      </c>
    </row>
    <row r="115" spans="1:14" x14ac:dyDescent="0.35">
      <c r="A115" s="1">
        <v>9</v>
      </c>
      <c r="B115" t="s">
        <v>13</v>
      </c>
      <c r="C115" t="s">
        <v>16</v>
      </c>
      <c r="D115" t="s">
        <v>19</v>
      </c>
      <c r="E115" t="s">
        <v>23</v>
      </c>
      <c r="F115">
        <v>2050</v>
      </c>
      <c r="G115" t="s">
        <v>41</v>
      </c>
      <c r="H115">
        <v>6.7013697097184535E-4</v>
      </c>
      <c r="I115" t="s">
        <v>52</v>
      </c>
      <c r="J115">
        <v>2.599563780395851E-5</v>
      </c>
      <c r="K115" t="s">
        <v>25</v>
      </c>
      <c r="L115">
        <v>2.017116633554045E-3</v>
      </c>
      <c r="M115">
        <v>3.8791529090327827E-2</v>
      </c>
      <c r="N115">
        <v>3.01000649259626</v>
      </c>
    </row>
    <row r="116" spans="1:14" x14ac:dyDescent="0.35">
      <c r="A116" s="1">
        <v>10</v>
      </c>
      <c r="B116" t="s">
        <v>13</v>
      </c>
      <c r="C116" t="s">
        <v>16</v>
      </c>
      <c r="D116" t="s">
        <v>19</v>
      </c>
      <c r="E116" t="s">
        <v>23</v>
      </c>
      <c r="F116">
        <v>2050</v>
      </c>
      <c r="G116" t="s">
        <v>42</v>
      </c>
      <c r="H116">
        <v>2.1842904673904678E-2</v>
      </c>
      <c r="I116" t="s">
        <v>52</v>
      </c>
      <c r="J116">
        <v>3.683396154162597E-4</v>
      </c>
      <c r="K116" t="s">
        <v>25</v>
      </c>
      <c r="L116">
        <v>2.8581101593125709E-2</v>
      </c>
      <c r="M116">
        <v>1.686312424630541E-2</v>
      </c>
      <c r="N116">
        <v>1.308484472180617</v>
      </c>
    </row>
    <row r="117" spans="1:14" x14ac:dyDescent="0.35">
      <c r="A117" s="1">
        <v>11</v>
      </c>
      <c r="B117" t="s">
        <v>13</v>
      </c>
      <c r="C117" t="s">
        <v>16</v>
      </c>
      <c r="D117" t="s">
        <v>19</v>
      </c>
      <c r="E117" t="s">
        <v>23</v>
      </c>
      <c r="F117">
        <v>2050</v>
      </c>
      <c r="G117" t="s">
        <v>43</v>
      </c>
      <c r="H117">
        <v>8.2453348769044171E-3</v>
      </c>
      <c r="I117" t="s">
        <v>52</v>
      </c>
      <c r="J117">
        <v>4.6641202295915393E-4</v>
      </c>
      <c r="K117" t="s">
        <v>25</v>
      </c>
      <c r="L117">
        <v>3.619097391244766E-2</v>
      </c>
      <c r="M117">
        <v>5.6566777447159433E-2</v>
      </c>
      <c r="N117">
        <v>4.3892667129652114</v>
      </c>
    </row>
    <row r="118" spans="1:14" x14ac:dyDescent="0.35">
      <c r="A118" s="1">
        <v>12</v>
      </c>
      <c r="B118" t="s">
        <v>13</v>
      </c>
      <c r="C118" t="s">
        <v>16</v>
      </c>
      <c r="D118" t="s">
        <v>19</v>
      </c>
      <c r="E118" t="s">
        <v>23</v>
      </c>
      <c r="F118">
        <v>2050</v>
      </c>
      <c r="G118" t="s">
        <v>44</v>
      </c>
      <c r="H118">
        <v>2.748444958968138E-3</v>
      </c>
      <c r="I118" t="s">
        <v>52</v>
      </c>
      <c r="J118">
        <v>5.9707653543755662E-5</v>
      </c>
      <c r="K118" t="s">
        <v>25</v>
      </c>
      <c r="L118">
        <v>4.6329811956085949E-3</v>
      </c>
      <c r="M118">
        <v>2.172415836414348E-2</v>
      </c>
      <c r="N118">
        <v>1.6856736317353711</v>
      </c>
    </row>
    <row r="119" spans="1:14" x14ac:dyDescent="0.35">
      <c r="A119" s="1">
        <v>13</v>
      </c>
      <c r="B119" t="s">
        <v>13</v>
      </c>
      <c r="C119" t="s">
        <v>16</v>
      </c>
      <c r="D119" t="s">
        <v>19</v>
      </c>
      <c r="E119" t="s">
        <v>23</v>
      </c>
      <c r="F119">
        <v>2050</v>
      </c>
      <c r="G119" t="s">
        <v>45</v>
      </c>
      <c r="H119">
        <v>1.113843483371298E-2</v>
      </c>
      <c r="I119" t="s">
        <v>52</v>
      </c>
      <c r="J119">
        <v>4.3557138708700052E-4</v>
      </c>
      <c r="K119" t="s">
        <v>25</v>
      </c>
      <c r="L119">
        <v>3.3797912427430687E-2</v>
      </c>
      <c r="M119">
        <v>3.9105259723623442E-2</v>
      </c>
      <c r="N119">
        <v>3.0343502414839918</v>
      </c>
    </row>
    <row r="120" spans="1:14" x14ac:dyDescent="0.35">
      <c r="A120" s="1">
        <v>14</v>
      </c>
      <c r="B120" t="s">
        <v>13</v>
      </c>
      <c r="C120" t="s">
        <v>16</v>
      </c>
      <c r="D120" t="s">
        <v>19</v>
      </c>
      <c r="E120" t="s">
        <v>23</v>
      </c>
      <c r="F120">
        <v>2050</v>
      </c>
      <c r="G120" t="s">
        <v>46</v>
      </c>
      <c r="H120">
        <v>4.6246929599690588E-2</v>
      </c>
      <c r="I120" t="s">
        <v>52</v>
      </c>
      <c r="J120">
        <v>5.2412578030263659E-4</v>
      </c>
      <c r="K120" t="s">
        <v>25</v>
      </c>
      <c r="L120">
        <v>4.066923987385114E-2</v>
      </c>
      <c r="M120">
        <v>1.1333201681482941E-2</v>
      </c>
      <c r="N120">
        <v>0.87939329650380149</v>
      </c>
    </row>
    <row r="121" spans="1:14" x14ac:dyDescent="0.35">
      <c r="A121" s="1">
        <v>15</v>
      </c>
      <c r="B121" t="s">
        <v>13</v>
      </c>
      <c r="C121" t="s">
        <v>16</v>
      </c>
      <c r="D121" t="s">
        <v>19</v>
      </c>
      <c r="E121" t="s">
        <v>23</v>
      </c>
      <c r="F121">
        <v>2050</v>
      </c>
      <c r="G121" t="s">
        <v>24</v>
      </c>
      <c r="H121">
        <v>3.1242684515255099E-2</v>
      </c>
      <c r="I121" t="s">
        <v>52</v>
      </c>
      <c r="J121">
        <v>4.026408275910699E-4</v>
      </c>
      <c r="K121" t="s">
        <v>25</v>
      </c>
      <c r="L121">
        <v>3.1242684515255061E-2</v>
      </c>
      <c r="M121">
        <v>1.2887523394299541E-2</v>
      </c>
      <c r="N121">
        <v>0.99999999999999889</v>
      </c>
    </row>
    <row r="122" spans="1:14" x14ac:dyDescent="0.35">
      <c r="A122" s="1">
        <v>16</v>
      </c>
      <c r="B122" t="s">
        <v>13</v>
      </c>
      <c r="C122" t="s">
        <v>16</v>
      </c>
      <c r="D122" t="s">
        <v>19</v>
      </c>
      <c r="E122" t="s">
        <v>23</v>
      </c>
      <c r="F122">
        <v>2050</v>
      </c>
      <c r="G122" t="s">
        <v>47</v>
      </c>
      <c r="H122">
        <v>5.6500000000000001E-9</v>
      </c>
      <c r="I122" t="s">
        <v>53</v>
      </c>
      <c r="J122">
        <v>5.7973161432182051E-4</v>
      </c>
      <c r="K122" t="s">
        <v>25</v>
      </c>
      <c r="L122">
        <v>4.498394273163836E-2</v>
      </c>
      <c r="M122">
        <v>102607.36536669391</v>
      </c>
      <c r="N122">
        <v>7961759.7755112136</v>
      </c>
    </row>
    <row r="123" spans="1:14" x14ac:dyDescent="0.35">
      <c r="A123" s="1">
        <v>17</v>
      </c>
      <c r="B123" t="s">
        <v>13</v>
      </c>
      <c r="C123" t="s">
        <v>16</v>
      </c>
      <c r="D123" t="s">
        <v>19</v>
      </c>
      <c r="E123" t="s">
        <v>23</v>
      </c>
      <c r="F123">
        <v>2050</v>
      </c>
      <c r="G123" t="s">
        <v>48</v>
      </c>
      <c r="H123">
        <v>3.8600000000000001E-10</v>
      </c>
      <c r="I123" t="s">
        <v>53</v>
      </c>
      <c r="J123">
        <v>5.4895870982488439E-5</v>
      </c>
      <c r="K123" t="s">
        <v>25</v>
      </c>
      <c r="L123">
        <v>4.259613682390688E-3</v>
      </c>
      <c r="M123">
        <v>142217.28233805299</v>
      </c>
      <c r="N123">
        <v>11035268.60722976</v>
      </c>
    </row>
    <row r="124" spans="1:14" x14ac:dyDescent="0.35">
      <c r="A124" s="1">
        <v>18</v>
      </c>
      <c r="B124" t="s">
        <v>13</v>
      </c>
      <c r="C124" t="s">
        <v>16</v>
      </c>
      <c r="D124" t="s">
        <v>19</v>
      </c>
      <c r="E124" t="s">
        <v>23</v>
      </c>
      <c r="F124">
        <v>2050</v>
      </c>
      <c r="G124" t="s">
        <v>49</v>
      </c>
      <c r="H124">
        <v>3.47E-12</v>
      </c>
      <c r="I124" t="s">
        <v>53</v>
      </c>
      <c r="J124">
        <v>3.4279086419465413E-7</v>
      </c>
      <c r="K124" t="s">
        <v>25</v>
      </c>
      <c r="L124">
        <v>2.6598660868098091E-5</v>
      </c>
      <c r="M124">
        <v>98786.992563300897</v>
      </c>
      <c r="N124">
        <v>7665320.1348985853</v>
      </c>
    </row>
    <row r="125" spans="1:14" x14ac:dyDescent="0.35">
      <c r="A125" s="1">
        <v>19</v>
      </c>
      <c r="B125" t="s">
        <v>13</v>
      </c>
      <c r="C125" t="s">
        <v>16</v>
      </c>
      <c r="D125" t="s">
        <v>19</v>
      </c>
      <c r="E125" t="s">
        <v>23</v>
      </c>
      <c r="F125">
        <v>2050</v>
      </c>
      <c r="G125" t="s">
        <v>50</v>
      </c>
      <c r="H125">
        <v>5.0000000000000004E-6</v>
      </c>
      <c r="I125" t="s">
        <v>54</v>
      </c>
    </row>
    <row r="126" spans="1:14" x14ac:dyDescent="0.35">
      <c r="A126" s="1">
        <v>20</v>
      </c>
      <c r="B126" t="s">
        <v>13</v>
      </c>
      <c r="C126" t="s">
        <v>16</v>
      </c>
      <c r="D126" t="s">
        <v>19</v>
      </c>
      <c r="E126" t="s">
        <v>23</v>
      </c>
      <c r="F126">
        <v>2050</v>
      </c>
      <c r="G126" t="s">
        <v>51</v>
      </c>
      <c r="H126">
        <v>4.16E-6</v>
      </c>
      <c r="I126" t="s">
        <v>54</v>
      </c>
    </row>
    <row r="127" spans="1:14" x14ac:dyDescent="0.35">
      <c r="A127" s="30"/>
      <c r="B127" s="31" t="s">
        <v>0</v>
      </c>
      <c r="C127" s="31" t="s">
        <v>1</v>
      </c>
      <c r="D127" s="31" t="s">
        <v>2</v>
      </c>
      <c r="E127" s="31" t="s">
        <v>3</v>
      </c>
      <c r="F127" s="31" t="s">
        <v>4</v>
      </c>
      <c r="G127" s="31" t="s">
        <v>5</v>
      </c>
      <c r="H127" s="31" t="s">
        <v>27</v>
      </c>
      <c r="I127" s="31" t="s">
        <v>28</v>
      </c>
      <c r="J127" s="31" t="s">
        <v>6</v>
      </c>
      <c r="K127" s="31" t="s">
        <v>29</v>
      </c>
      <c r="L127" s="31" t="s">
        <v>30</v>
      </c>
      <c r="M127" s="31" t="s">
        <v>31</v>
      </c>
      <c r="N127" s="31" t="s">
        <v>32</v>
      </c>
    </row>
    <row r="128" spans="1:14" x14ac:dyDescent="0.35">
      <c r="A128" s="31">
        <v>0</v>
      </c>
      <c r="B128" s="30" t="s">
        <v>14</v>
      </c>
      <c r="C128" s="30" t="s">
        <v>17</v>
      </c>
      <c r="D128" s="30" t="s">
        <v>18</v>
      </c>
      <c r="E128" s="30" t="s">
        <v>23</v>
      </c>
      <c r="F128" s="30">
        <v>2050</v>
      </c>
      <c r="G128" s="30" t="s">
        <v>55</v>
      </c>
      <c r="H128" s="30">
        <v>0.1238413121453323</v>
      </c>
      <c r="I128" s="30" t="s">
        <v>52</v>
      </c>
      <c r="J128" s="30">
        <v>9.4727247998649909E-4</v>
      </c>
      <c r="K128" s="30" t="s">
        <v>25</v>
      </c>
      <c r="L128" s="30">
        <v>2.0993363356712431E-2</v>
      </c>
      <c r="M128" s="30">
        <v>7.6490830368047156E-3</v>
      </c>
      <c r="N128" s="30">
        <v>0.16951825681623869</v>
      </c>
    </row>
    <row r="129" spans="1:14" x14ac:dyDescent="0.35">
      <c r="A129" s="31">
        <v>1</v>
      </c>
      <c r="B129" s="30" t="s">
        <v>14</v>
      </c>
      <c r="C129" s="30" t="s">
        <v>17</v>
      </c>
      <c r="D129" s="30" t="s">
        <v>18</v>
      </c>
      <c r="E129" s="30" t="s">
        <v>23</v>
      </c>
      <c r="F129" s="30">
        <v>2050</v>
      </c>
      <c r="G129" s="30" t="s">
        <v>56</v>
      </c>
      <c r="H129" s="30">
        <v>0.1200885451119403</v>
      </c>
      <c r="I129" s="30" t="s">
        <v>52</v>
      </c>
      <c r="J129" s="30">
        <v>6.848519192802589E-4</v>
      </c>
      <c r="K129" s="30" t="s">
        <v>25</v>
      </c>
      <c r="L129" s="30">
        <v>1.5177623641296189E-2</v>
      </c>
      <c r="M129" s="30">
        <v>5.7028913010968314E-3</v>
      </c>
      <c r="N129" s="30">
        <v>0.12638693913019261</v>
      </c>
    </row>
    <row r="130" spans="1:14" x14ac:dyDescent="0.35">
      <c r="A130" s="31">
        <v>2</v>
      </c>
      <c r="B130" s="30" t="s">
        <v>14</v>
      </c>
      <c r="C130" s="30" t="s">
        <v>17</v>
      </c>
      <c r="D130" s="30" t="s">
        <v>18</v>
      </c>
      <c r="E130" s="30" t="s">
        <v>23</v>
      </c>
      <c r="F130" s="30">
        <v>2050</v>
      </c>
      <c r="G130" s="30" t="s">
        <v>33</v>
      </c>
      <c r="H130" s="30">
        <v>7.0702130932249987E-2</v>
      </c>
      <c r="I130" s="30" t="s">
        <v>52</v>
      </c>
      <c r="J130" s="30">
        <v>2.79907650656178E-4</v>
      </c>
      <c r="K130" s="30" t="s">
        <v>25</v>
      </c>
      <c r="L130" s="30">
        <v>6.2032869535412032E-3</v>
      </c>
      <c r="M130" s="30">
        <v>3.9589705001168681E-3</v>
      </c>
      <c r="N130" s="30">
        <v>8.7738330821817478E-2</v>
      </c>
    </row>
    <row r="131" spans="1:14" x14ac:dyDescent="0.35">
      <c r="A131" s="31">
        <v>3</v>
      </c>
      <c r="B131" s="30" t="s">
        <v>14</v>
      </c>
      <c r="C131" s="30" t="s">
        <v>17</v>
      </c>
      <c r="D131" s="30" t="s">
        <v>18</v>
      </c>
      <c r="E131" s="30" t="s">
        <v>23</v>
      </c>
      <c r="F131" s="30">
        <v>2050</v>
      </c>
      <c r="G131" s="30" t="s">
        <v>34</v>
      </c>
      <c r="H131" s="30">
        <v>1.346707255845492E-2</v>
      </c>
      <c r="I131" s="30" t="s">
        <v>52</v>
      </c>
      <c r="J131" s="30">
        <v>8.3398002171782329E-5</v>
      </c>
      <c r="K131" s="30" t="s">
        <v>25</v>
      </c>
      <c r="L131" s="30">
        <v>1.848258658206846E-3</v>
      </c>
      <c r="M131" s="30">
        <v>6.1927343013699924E-3</v>
      </c>
      <c r="N131" s="30">
        <v>0.13724279350128471</v>
      </c>
    </row>
    <row r="132" spans="1:14" x14ac:dyDescent="0.35">
      <c r="A132" s="31">
        <v>4</v>
      </c>
      <c r="B132" s="30" t="s">
        <v>14</v>
      </c>
      <c r="C132" s="30" t="s">
        <v>17</v>
      </c>
      <c r="D132" s="30" t="s">
        <v>18</v>
      </c>
      <c r="E132" s="30" t="s">
        <v>23</v>
      </c>
      <c r="F132" s="30">
        <v>2050</v>
      </c>
      <c r="G132" s="30" t="s">
        <v>35</v>
      </c>
      <c r="H132" s="30">
        <v>0.19353555708011469</v>
      </c>
      <c r="I132" s="30" t="s">
        <v>52</v>
      </c>
      <c r="J132" s="30">
        <v>6.1342304395035187E-3</v>
      </c>
      <c r="K132" s="30" t="s">
        <v>25</v>
      </c>
      <c r="L132" s="30">
        <v>0.1359462364325611</v>
      </c>
      <c r="M132" s="30">
        <v>3.169562499031759E-2</v>
      </c>
      <c r="N132" s="30">
        <v>0.70243545157071963</v>
      </c>
    </row>
    <row r="133" spans="1:14" x14ac:dyDescent="0.35">
      <c r="A133" s="31">
        <v>5</v>
      </c>
      <c r="B133" s="30" t="s">
        <v>14</v>
      </c>
      <c r="C133" s="30" t="s">
        <v>17</v>
      </c>
      <c r="D133" s="30" t="s">
        <v>18</v>
      </c>
      <c r="E133" s="30" t="s">
        <v>23</v>
      </c>
      <c r="F133" s="30">
        <v>2050</v>
      </c>
      <c r="G133" s="30" t="s">
        <v>36</v>
      </c>
      <c r="H133" s="30">
        <v>0.1572141332383965</v>
      </c>
      <c r="I133" s="30" t="s">
        <v>52</v>
      </c>
      <c r="J133" s="30">
        <v>2.2423913031611028E-3</v>
      </c>
      <c r="K133" s="30" t="s">
        <v>25</v>
      </c>
      <c r="L133" s="30">
        <v>4.969566456302401E-2</v>
      </c>
      <c r="M133" s="30">
        <v>1.426329336282244E-2</v>
      </c>
      <c r="N133" s="30">
        <v>0.3161017622230341</v>
      </c>
    </row>
    <row r="134" spans="1:14" x14ac:dyDescent="0.35">
      <c r="A134" s="31">
        <v>6</v>
      </c>
      <c r="B134" s="30" t="s">
        <v>14</v>
      </c>
      <c r="C134" s="30" t="s">
        <v>17</v>
      </c>
      <c r="D134" s="30" t="s">
        <v>18</v>
      </c>
      <c r="E134" s="30" t="s">
        <v>23</v>
      </c>
      <c r="F134" s="30">
        <v>2050</v>
      </c>
      <c r="G134" s="30" t="s">
        <v>37</v>
      </c>
      <c r="H134" s="30">
        <v>0.21471188530380569</v>
      </c>
      <c r="I134" s="30" t="s">
        <v>52</v>
      </c>
      <c r="J134" s="30">
        <v>3.2079394492588271E-3</v>
      </c>
      <c r="K134" s="30" t="s">
        <v>25</v>
      </c>
      <c r="L134" s="30">
        <v>7.1094051508371003E-2</v>
      </c>
      <c r="M134" s="30">
        <v>1.494067012042564E-2</v>
      </c>
      <c r="N134" s="30">
        <v>0.33111372203628492</v>
      </c>
    </row>
    <row r="135" spans="1:14" x14ac:dyDescent="0.35">
      <c r="A135" s="31">
        <v>7</v>
      </c>
      <c r="B135" s="30" t="s">
        <v>14</v>
      </c>
      <c r="C135" s="30" t="s">
        <v>17</v>
      </c>
      <c r="D135" s="30" t="s">
        <v>18</v>
      </c>
      <c r="E135" s="30" t="s">
        <v>23</v>
      </c>
      <c r="F135" s="30">
        <v>2050</v>
      </c>
      <c r="G135" s="30" t="s">
        <v>38</v>
      </c>
      <c r="H135" s="30">
        <v>1.313468462121163E-2</v>
      </c>
      <c r="I135" s="30" t="s">
        <v>52</v>
      </c>
      <c r="J135" s="30">
        <v>6.5741120983737306E-4</v>
      </c>
      <c r="K135" s="30" t="s">
        <v>25</v>
      </c>
      <c r="L135" s="30">
        <v>1.456948522677297E-2</v>
      </c>
      <c r="M135" s="30">
        <v>5.0051541304288197E-2</v>
      </c>
      <c r="N135" s="30">
        <v>1.1092375376295089</v>
      </c>
    </row>
    <row r="136" spans="1:14" x14ac:dyDescent="0.35">
      <c r="A136" s="31">
        <v>8</v>
      </c>
      <c r="B136" s="30" t="s">
        <v>14</v>
      </c>
      <c r="C136" s="30" t="s">
        <v>17</v>
      </c>
      <c r="D136" s="30" t="s">
        <v>18</v>
      </c>
      <c r="E136" s="30" t="s">
        <v>23</v>
      </c>
      <c r="F136" s="30">
        <v>2050</v>
      </c>
      <c r="G136" s="30" t="s">
        <v>39</v>
      </c>
      <c r="H136" s="30">
        <v>2.412493094341404E-3</v>
      </c>
      <c r="I136" s="30" t="s">
        <v>52</v>
      </c>
      <c r="J136" s="30">
        <v>0</v>
      </c>
      <c r="K136" s="30" t="s">
        <v>25</v>
      </c>
      <c r="L136" s="30">
        <v>0</v>
      </c>
      <c r="M136" s="30">
        <v>0</v>
      </c>
      <c r="N136" s="30">
        <v>0</v>
      </c>
    </row>
    <row r="137" spans="1:14" x14ac:dyDescent="0.35">
      <c r="A137" s="31">
        <v>9</v>
      </c>
      <c r="B137" s="30" t="s">
        <v>14</v>
      </c>
      <c r="C137" s="30" t="s">
        <v>17</v>
      </c>
      <c r="D137" s="30" t="s">
        <v>18</v>
      </c>
      <c r="E137" s="30" t="s">
        <v>23</v>
      </c>
      <c r="F137" s="30">
        <v>2050</v>
      </c>
      <c r="G137" s="30" t="s">
        <v>41</v>
      </c>
      <c r="H137" s="30">
        <v>6.7013697097184535E-4</v>
      </c>
      <c r="I137" s="30" t="s">
        <v>52</v>
      </c>
      <c r="J137" s="30">
        <v>6.6784013929634115E-5</v>
      </c>
      <c r="K137" s="30" t="s">
        <v>25</v>
      </c>
      <c r="L137" s="30">
        <v>1.480061017780792E-3</v>
      </c>
      <c r="M137" s="30">
        <v>9.965725937009963E-2</v>
      </c>
      <c r="N137" s="30">
        <v>2.208594782697006</v>
      </c>
    </row>
    <row r="138" spans="1:14" x14ac:dyDescent="0.35">
      <c r="A138" s="31">
        <v>10</v>
      </c>
      <c r="B138" s="30" t="s">
        <v>14</v>
      </c>
      <c r="C138" s="30" t="s">
        <v>17</v>
      </c>
      <c r="D138" s="30" t="s">
        <v>18</v>
      </c>
      <c r="E138" s="30" t="s">
        <v>23</v>
      </c>
      <c r="F138" s="30">
        <v>2050</v>
      </c>
      <c r="G138" s="30" t="s">
        <v>42</v>
      </c>
      <c r="H138" s="30">
        <v>2.1842904673904678E-2</v>
      </c>
      <c r="I138" s="30" t="s">
        <v>52</v>
      </c>
      <c r="J138" s="30">
        <v>1.2143517440053749E-3</v>
      </c>
      <c r="K138" s="30" t="s">
        <v>25</v>
      </c>
      <c r="L138" s="30">
        <v>2.6912348815544201E-2</v>
      </c>
      <c r="M138" s="30">
        <v>5.5594792090822027E-2</v>
      </c>
      <c r="N138" s="30">
        <v>1.2320865387329141</v>
      </c>
    </row>
    <row r="139" spans="1:14" x14ac:dyDescent="0.35">
      <c r="A139" s="31">
        <v>11</v>
      </c>
      <c r="B139" s="30" t="s">
        <v>14</v>
      </c>
      <c r="C139" s="30" t="s">
        <v>17</v>
      </c>
      <c r="D139" s="30" t="s">
        <v>18</v>
      </c>
      <c r="E139" s="30" t="s">
        <v>23</v>
      </c>
      <c r="F139" s="30">
        <v>2050</v>
      </c>
      <c r="G139" s="30" t="s">
        <v>43</v>
      </c>
      <c r="H139" s="30">
        <v>8.2453348769044171E-3</v>
      </c>
      <c r="I139" s="30" t="s">
        <v>52</v>
      </c>
      <c r="J139" s="30">
        <v>1.398076718405141E-3</v>
      </c>
      <c r="K139" s="30" t="s">
        <v>25</v>
      </c>
      <c r="L139" s="30">
        <v>3.0984044369638569E-2</v>
      </c>
      <c r="M139" s="30">
        <v>0.16955972550262599</v>
      </c>
      <c r="N139" s="30">
        <v>3.7577666440724422</v>
      </c>
    </row>
    <row r="140" spans="1:14" x14ac:dyDescent="0.35">
      <c r="A140" s="31">
        <v>12</v>
      </c>
      <c r="B140" s="30" t="s">
        <v>14</v>
      </c>
      <c r="C140" s="30" t="s">
        <v>17</v>
      </c>
      <c r="D140" s="30" t="s">
        <v>18</v>
      </c>
      <c r="E140" s="30" t="s">
        <v>23</v>
      </c>
      <c r="F140" s="30">
        <v>2050</v>
      </c>
      <c r="G140" s="30" t="s">
        <v>44</v>
      </c>
      <c r="H140" s="30">
        <v>2.748444958968138E-3</v>
      </c>
      <c r="I140" s="30" t="s">
        <v>52</v>
      </c>
      <c r="J140" s="30">
        <v>1.7543916570202011E-4</v>
      </c>
      <c r="K140" s="30" t="s">
        <v>25</v>
      </c>
      <c r="L140" s="30">
        <v>3.888066243234979E-3</v>
      </c>
      <c r="M140" s="30">
        <v>6.3832155390110515E-2</v>
      </c>
      <c r="N140" s="30">
        <v>1.414642207240961</v>
      </c>
    </row>
    <row r="141" spans="1:14" x14ac:dyDescent="0.35">
      <c r="A141" s="31">
        <v>13</v>
      </c>
      <c r="B141" s="30" t="s">
        <v>14</v>
      </c>
      <c r="C141" s="30" t="s">
        <v>17</v>
      </c>
      <c r="D141" s="30" t="s">
        <v>18</v>
      </c>
      <c r="E141" s="30" t="s">
        <v>23</v>
      </c>
      <c r="F141" s="30">
        <v>2050</v>
      </c>
      <c r="G141" s="30" t="s">
        <v>45</v>
      </c>
      <c r="H141" s="30">
        <v>1.113843483371298E-2</v>
      </c>
      <c r="I141" s="30" t="s">
        <v>52</v>
      </c>
      <c r="J141" s="30">
        <v>1.09573581153733E-3</v>
      </c>
      <c r="K141" s="30" t="s">
        <v>25</v>
      </c>
      <c r="L141" s="30">
        <v>2.4283593707792692E-2</v>
      </c>
      <c r="M141" s="30">
        <v>9.837430733273568E-2</v>
      </c>
      <c r="N141" s="30">
        <v>2.180162120650285</v>
      </c>
    </row>
    <row r="142" spans="1:14" x14ac:dyDescent="0.35">
      <c r="A142" s="31">
        <v>14</v>
      </c>
      <c r="B142" s="30" t="s">
        <v>14</v>
      </c>
      <c r="C142" s="30" t="s">
        <v>17</v>
      </c>
      <c r="D142" s="30" t="s">
        <v>18</v>
      </c>
      <c r="E142" s="30" t="s">
        <v>23</v>
      </c>
      <c r="F142" s="30">
        <v>2050</v>
      </c>
      <c r="G142" s="30" t="s">
        <v>46</v>
      </c>
      <c r="H142" s="30">
        <v>4.6246929599690588E-2</v>
      </c>
      <c r="I142" s="30" t="s">
        <v>52</v>
      </c>
      <c r="J142" s="30">
        <v>2.3077535150528829E-2</v>
      </c>
      <c r="K142" s="30" t="s">
        <v>25</v>
      </c>
      <c r="L142" s="30">
        <v>0.51144215738143239</v>
      </c>
      <c r="M142" s="30">
        <v>0.49900686056968468</v>
      </c>
      <c r="N142" s="30">
        <v>11.05894297866759</v>
      </c>
    </row>
    <row r="143" spans="1:14" x14ac:dyDescent="0.35">
      <c r="A143" s="31">
        <v>15</v>
      </c>
      <c r="B143" s="30" t="s">
        <v>14</v>
      </c>
      <c r="C143" s="30" t="s">
        <v>17</v>
      </c>
      <c r="D143" s="30" t="s">
        <v>18</v>
      </c>
      <c r="E143" s="30" t="s">
        <v>23</v>
      </c>
      <c r="F143" s="30">
        <v>2050</v>
      </c>
      <c r="G143" s="30" t="s">
        <v>24</v>
      </c>
      <c r="H143" s="30">
        <v>3.1242684515255099E-2</v>
      </c>
      <c r="I143" s="30" t="s">
        <v>52</v>
      </c>
      <c r="J143" s="30">
        <v>1.409747201500166E-3</v>
      </c>
      <c r="K143" s="30" t="s">
        <v>25</v>
      </c>
      <c r="L143" s="30">
        <v>3.1242684515255088E-2</v>
      </c>
      <c r="M143" s="30">
        <v>4.5122473416515103E-2</v>
      </c>
      <c r="N143" s="30">
        <v>0.99999999999999967</v>
      </c>
    </row>
    <row r="144" spans="1:14" x14ac:dyDescent="0.35">
      <c r="A144" s="31">
        <v>16</v>
      </c>
      <c r="B144" s="30" t="s">
        <v>14</v>
      </c>
      <c r="C144" s="30" t="s">
        <v>17</v>
      </c>
      <c r="D144" s="30" t="s">
        <v>18</v>
      </c>
      <c r="E144" s="30" t="s">
        <v>23</v>
      </c>
      <c r="F144" s="30">
        <v>2050</v>
      </c>
      <c r="G144" s="30" t="s">
        <v>47</v>
      </c>
      <c r="H144" s="30">
        <v>5.6500000000000001E-9</v>
      </c>
      <c r="I144" s="30" t="s">
        <v>53</v>
      </c>
      <c r="J144" s="30">
        <v>9.9927820609817903E-4</v>
      </c>
      <c r="K144" s="30" t="s">
        <v>25</v>
      </c>
      <c r="L144" s="30">
        <v>2.2145909353728749E-2</v>
      </c>
      <c r="M144" s="30">
        <v>176863.3993094122</v>
      </c>
      <c r="N144" s="30">
        <v>3919629.9741112841</v>
      </c>
    </row>
    <row r="145" spans="1:14" x14ac:dyDescent="0.35">
      <c r="A145" s="31">
        <v>17</v>
      </c>
      <c r="B145" s="30" t="s">
        <v>14</v>
      </c>
      <c r="C145" s="30" t="s">
        <v>17</v>
      </c>
      <c r="D145" s="30" t="s">
        <v>18</v>
      </c>
      <c r="E145" s="30" t="s">
        <v>23</v>
      </c>
      <c r="F145" s="30">
        <v>2050</v>
      </c>
      <c r="G145" s="30" t="s">
        <v>48</v>
      </c>
      <c r="H145" s="30">
        <v>3.8600000000000001E-10</v>
      </c>
      <c r="I145" s="30" t="s">
        <v>53</v>
      </c>
      <c r="J145" s="30">
        <v>8.2273538344798607E-5</v>
      </c>
      <c r="K145" s="30" t="s">
        <v>25</v>
      </c>
      <c r="L145" s="30">
        <v>1.8233383969302971E-3</v>
      </c>
      <c r="M145" s="30">
        <v>213143.88172227619</v>
      </c>
      <c r="N145" s="30">
        <v>4723674.6034463644</v>
      </c>
    </row>
    <row r="146" spans="1:14" x14ac:dyDescent="0.35">
      <c r="A146" s="31">
        <v>18</v>
      </c>
      <c r="B146" s="30" t="s">
        <v>14</v>
      </c>
      <c r="C146" s="30" t="s">
        <v>17</v>
      </c>
      <c r="D146" s="30" t="s">
        <v>18</v>
      </c>
      <c r="E146" s="30" t="s">
        <v>23</v>
      </c>
      <c r="F146" s="30">
        <v>2050</v>
      </c>
      <c r="G146" s="30" t="s">
        <v>49</v>
      </c>
      <c r="H146" s="30">
        <v>3.47E-12</v>
      </c>
      <c r="I146" s="30" t="s">
        <v>53</v>
      </c>
      <c r="J146" s="30">
        <v>8.488356105521139E-7</v>
      </c>
      <c r="K146" s="30" t="s">
        <v>25</v>
      </c>
      <c r="L146" s="30">
        <v>1.8811814740666111E-5</v>
      </c>
      <c r="M146" s="30">
        <v>244621.2134155948</v>
      </c>
      <c r="N146" s="30">
        <v>5421272.2595579578</v>
      </c>
    </row>
    <row r="147" spans="1:14" x14ac:dyDescent="0.35">
      <c r="A147" s="31">
        <v>19</v>
      </c>
      <c r="B147" s="30" t="s">
        <v>14</v>
      </c>
      <c r="C147" s="30" t="s">
        <v>17</v>
      </c>
      <c r="D147" s="30" t="s">
        <v>18</v>
      </c>
      <c r="E147" s="30" t="s">
        <v>23</v>
      </c>
      <c r="F147" s="30">
        <v>2050</v>
      </c>
      <c r="G147" s="30" t="s">
        <v>50</v>
      </c>
      <c r="H147" s="30">
        <v>5.0000000000000004E-6</v>
      </c>
      <c r="I147" s="30" t="s">
        <v>54</v>
      </c>
      <c r="J147" s="30"/>
      <c r="K147" s="30"/>
      <c r="L147" s="30"/>
      <c r="M147" s="30"/>
      <c r="N147" s="30"/>
    </row>
    <row r="148" spans="1:14" x14ac:dyDescent="0.35">
      <c r="A148" s="31">
        <v>20</v>
      </c>
      <c r="B148" s="30" t="s">
        <v>14</v>
      </c>
      <c r="C148" s="30" t="s">
        <v>17</v>
      </c>
      <c r="D148" s="30" t="s">
        <v>18</v>
      </c>
      <c r="E148" s="30" t="s">
        <v>23</v>
      </c>
      <c r="F148" s="30">
        <v>2050</v>
      </c>
      <c r="G148" s="30" t="s">
        <v>51</v>
      </c>
      <c r="H148" s="30">
        <v>4.16E-6</v>
      </c>
      <c r="I148" s="30" t="s">
        <v>54</v>
      </c>
      <c r="J148" s="30"/>
      <c r="K148" s="30"/>
      <c r="L148" s="30"/>
      <c r="M148" s="30"/>
      <c r="N148" s="30"/>
    </row>
    <row r="149" spans="1:14" x14ac:dyDescent="0.35">
      <c r="B149" s="1" t="s">
        <v>0</v>
      </c>
      <c r="C149" s="1" t="s">
        <v>1</v>
      </c>
      <c r="D149" s="1" t="s">
        <v>2</v>
      </c>
      <c r="E149" s="1" t="s">
        <v>3</v>
      </c>
      <c r="F149" s="1" t="s">
        <v>4</v>
      </c>
      <c r="G149" s="1" t="s">
        <v>5</v>
      </c>
      <c r="H149" s="1" t="s">
        <v>27</v>
      </c>
      <c r="I149" s="1" t="s">
        <v>28</v>
      </c>
      <c r="J149" s="1" t="s">
        <v>6</v>
      </c>
      <c r="K149" s="1" t="s">
        <v>29</v>
      </c>
      <c r="L149" s="1" t="s">
        <v>30</v>
      </c>
      <c r="M149" s="1" t="s">
        <v>31</v>
      </c>
      <c r="N149" s="1" t="s">
        <v>32</v>
      </c>
    </row>
    <row r="150" spans="1:14" x14ac:dyDescent="0.35">
      <c r="A150" s="1">
        <v>0</v>
      </c>
      <c r="B150" t="s">
        <v>15</v>
      </c>
      <c r="C150" t="s">
        <v>17</v>
      </c>
      <c r="D150" t="s">
        <v>20</v>
      </c>
      <c r="E150" t="s">
        <v>23</v>
      </c>
      <c r="F150">
        <v>2050</v>
      </c>
      <c r="G150" t="s">
        <v>55</v>
      </c>
      <c r="H150">
        <v>0.1238413121453323</v>
      </c>
      <c r="I150" t="s">
        <v>52</v>
      </c>
      <c r="J150">
        <v>5.2573079565797209E-4</v>
      </c>
      <c r="K150" t="s">
        <v>25</v>
      </c>
      <c r="L150">
        <v>3.644622135388173E-2</v>
      </c>
      <c r="M150">
        <v>4.2451972330607079E-3</v>
      </c>
      <c r="N150">
        <v>0.29429776479686159</v>
      </c>
    </row>
    <row r="151" spans="1:14" x14ac:dyDescent="0.35">
      <c r="A151" s="1">
        <v>1</v>
      </c>
      <c r="B151" t="s">
        <v>15</v>
      </c>
      <c r="C151" t="s">
        <v>17</v>
      </c>
      <c r="D151" t="s">
        <v>20</v>
      </c>
      <c r="E151" t="s">
        <v>23</v>
      </c>
      <c r="F151">
        <v>2050</v>
      </c>
      <c r="G151" t="s">
        <v>56</v>
      </c>
      <c r="H151">
        <v>0.1200885451119403</v>
      </c>
      <c r="I151" t="s">
        <v>52</v>
      </c>
      <c r="J151">
        <v>3.9622706264995442E-4</v>
      </c>
      <c r="K151" t="s">
        <v>25</v>
      </c>
      <c r="L151">
        <v>2.7468391334514019E-2</v>
      </c>
      <c r="M151">
        <v>3.2994575983963498E-3</v>
      </c>
      <c r="N151">
        <v>0.22873448345060229</v>
      </c>
    </row>
    <row r="152" spans="1:14" x14ac:dyDescent="0.35">
      <c r="A152" s="1">
        <v>2</v>
      </c>
      <c r="B152" t="s">
        <v>15</v>
      </c>
      <c r="C152" t="s">
        <v>17</v>
      </c>
      <c r="D152" t="s">
        <v>20</v>
      </c>
      <c r="E152" t="s">
        <v>23</v>
      </c>
      <c r="F152">
        <v>2050</v>
      </c>
      <c r="G152" t="s">
        <v>33</v>
      </c>
      <c r="H152">
        <v>7.0702130932249987E-2</v>
      </c>
      <c r="I152" t="s">
        <v>52</v>
      </c>
      <c r="J152">
        <v>1.619818376972673E-4</v>
      </c>
      <c r="K152" t="s">
        <v>25</v>
      </c>
      <c r="L152">
        <v>1.1229370546259399E-2</v>
      </c>
      <c r="M152">
        <v>2.2910460485623231E-3</v>
      </c>
      <c r="N152">
        <v>0.15882647945957801</v>
      </c>
    </row>
    <row r="153" spans="1:14" x14ac:dyDescent="0.35">
      <c r="A153" s="1">
        <v>3</v>
      </c>
      <c r="B153" t="s">
        <v>15</v>
      </c>
      <c r="C153" t="s">
        <v>17</v>
      </c>
      <c r="D153" t="s">
        <v>20</v>
      </c>
      <c r="E153" t="s">
        <v>23</v>
      </c>
      <c r="F153">
        <v>2050</v>
      </c>
      <c r="G153" t="s">
        <v>34</v>
      </c>
      <c r="H153">
        <v>1.346707255845492E-2</v>
      </c>
      <c r="I153" t="s">
        <v>52</v>
      </c>
      <c r="J153">
        <v>4.4624479011611699E-5</v>
      </c>
      <c r="K153" t="s">
        <v>25</v>
      </c>
      <c r="L153">
        <v>3.0935864006660591E-3</v>
      </c>
      <c r="M153">
        <v>3.3135990630417649E-3</v>
      </c>
      <c r="N153">
        <v>0.22971483871035051</v>
      </c>
    </row>
    <row r="154" spans="1:14" x14ac:dyDescent="0.35">
      <c r="A154" s="1">
        <v>4</v>
      </c>
      <c r="B154" t="s">
        <v>15</v>
      </c>
      <c r="C154" t="s">
        <v>17</v>
      </c>
      <c r="D154" t="s">
        <v>20</v>
      </c>
      <c r="E154" t="s">
        <v>23</v>
      </c>
      <c r="F154">
        <v>2050</v>
      </c>
      <c r="G154" t="s">
        <v>35</v>
      </c>
      <c r="H154">
        <v>0.19353555708011469</v>
      </c>
      <c r="I154" t="s">
        <v>52</v>
      </c>
      <c r="J154">
        <v>2.7870157602229058E-3</v>
      </c>
      <c r="K154" t="s">
        <v>25</v>
      </c>
      <c r="L154">
        <v>0.19320951740465289</v>
      </c>
      <c r="M154">
        <v>1.440053601658951E-2</v>
      </c>
      <c r="N154">
        <v>0.99831535000399574</v>
      </c>
    </row>
    <row r="155" spans="1:14" x14ac:dyDescent="0.35">
      <c r="A155" s="1">
        <v>5</v>
      </c>
      <c r="B155" t="s">
        <v>15</v>
      </c>
      <c r="C155" t="s">
        <v>17</v>
      </c>
      <c r="D155" t="s">
        <v>20</v>
      </c>
      <c r="E155" t="s">
        <v>23</v>
      </c>
      <c r="F155">
        <v>2050</v>
      </c>
      <c r="G155" t="s">
        <v>36</v>
      </c>
      <c r="H155">
        <v>0.1572141332383965</v>
      </c>
      <c r="I155" t="s">
        <v>52</v>
      </c>
      <c r="J155">
        <v>1.4865719532559461E-3</v>
      </c>
      <c r="K155" t="s">
        <v>25</v>
      </c>
      <c r="L155">
        <v>0.1030564138800929</v>
      </c>
      <c r="M155">
        <v>9.4557144617636677E-3</v>
      </c>
      <c r="N155">
        <v>0.65551621700461338</v>
      </c>
    </row>
    <row r="156" spans="1:14" x14ac:dyDescent="0.35">
      <c r="A156" s="1">
        <v>6</v>
      </c>
      <c r="B156" t="s">
        <v>15</v>
      </c>
      <c r="C156" t="s">
        <v>17</v>
      </c>
      <c r="D156" t="s">
        <v>20</v>
      </c>
      <c r="E156" t="s">
        <v>23</v>
      </c>
      <c r="F156">
        <v>2050</v>
      </c>
      <c r="G156" t="s">
        <v>37</v>
      </c>
      <c r="H156">
        <v>0.21471188530380569</v>
      </c>
      <c r="I156" t="s">
        <v>52</v>
      </c>
      <c r="J156">
        <v>2.2223683925965982E-3</v>
      </c>
      <c r="K156" t="s">
        <v>25</v>
      </c>
      <c r="L156">
        <v>0.15406540958871401</v>
      </c>
      <c r="M156">
        <v>1.035046750882964E-2</v>
      </c>
      <c r="N156">
        <v>0.71754485957179182</v>
      </c>
    </row>
    <row r="157" spans="1:14" x14ac:dyDescent="0.35">
      <c r="A157" s="1">
        <v>7</v>
      </c>
      <c r="B157" t="s">
        <v>15</v>
      </c>
      <c r="C157" t="s">
        <v>17</v>
      </c>
      <c r="D157" t="s">
        <v>20</v>
      </c>
      <c r="E157" t="s">
        <v>23</v>
      </c>
      <c r="F157">
        <v>2050</v>
      </c>
      <c r="G157" t="s">
        <v>38</v>
      </c>
      <c r="H157">
        <v>1.313468462121163E-2</v>
      </c>
      <c r="I157" t="s">
        <v>52</v>
      </c>
      <c r="J157">
        <v>5.2046227720391658E-4</v>
      </c>
      <c r="K157" t="s">
        <v>25</v>
      </c>
      <c r="L157">
        <v>3.6080981974013937E-2</v>
      </c>
      <c r="M157">
        <v>3.9625030384315807E-2</v>
      </c>
      <c r="N157">
        <v>2.747000252731274</v>
      </c>
    </row>
    <row r="158" spans="1:14" x14ac:dyDescent="0.35">
      <c r="A158" s="1">
        <v>8</v>
      </c>
      <c r="B158" t="s">
        <v>15</v>
      </c>
      <c r="C158" t="s">
        <v>17</v>
      </c>
      <c r="D158" t="s">
        <v>20</v>
      </c>
      <c r="E158" t="s">
        <v>23</v>
      </c>
      <c r="F158">
        <v>2050</v>
      </c>
      <c r="G158" t="s">
        <v>39</v>
      </c>
      <c r="H158">
        <v>2.412493094341404E-3</v>
      </c>
      <c r="I158" t="s">
        <v>52</v>
      </c>
      <c r="J158">
        <v>0</v>
      </c>
      <c r="K158" t="s">
        <v>25</v>
      </c>
      <c r="L158">
        <v>0</v>
      </c>
      <c r="M158">
        <v>0</v>
      </c>
      <c r="N158">
        <v>0</v>
      </c>
    </row>
    <row r="159" spans="1:14" x14ac:dyDescent="0.35">
      <c r="A159" s="1">
        <v>9</v>
      </c>
      <c r="B159" t="s">
        <v>15</v>
      </c>
      <c r="C159" t="s">
        <v>17</v>
      </c>
      <c r="D159" t="s">
        <v>20</v>
      </c>
      <c r="E159" t="s">
        <v>23</v>
      </c>
      <c r="F159">
        <v>2050</v>
      </c>
      <c r="G159" t="s">
        <v>41</v>
      </c>
      <c r="H159">
        <v>6.7013697097184535E-4</v>
      </c>
      <c r="I159" t="s">
        <v>52</v>
      </c>
      <c r="J159">
        <v>4.3763381463957211E-5</v>
      </c>
      <c r="K159" t="s">
        <v>25</v>
      </c>
      <c r="L159">
        <v>3.033890921366958E-3</v>
      </c>
      <c r="M159">
        <v>6.5305129189471109E-2</v>
      </c>
      <c r="N159">
        <v>4.5272698758391918</v>
      </c>
    </row>
    <row r="160" spans="1:14" x14ac:dyDescent="0.35">
      <c r="A160" s="1">
        <v>10</v>
      </c>
      <c r="B160" t="s">
        <v>15</v>
      </c>
      <c r="C160" t="s">
        <v>17</v>
      </c>
      <c r="D160" t="s">
        <v>20</v>
      </c>
      <c r="E160" t="s">
        <v>23</v>
      </c>
      <c r="F160">
        <v>2050</v>
      </c>
      <c r="G160" t="s">
        <v>42</v>
      </c>
      <c r="H160">
        <v>2.1842904673904678E-2</v>
      </c>
      <c r="I160" t="s">
        <v>52</v>
      </c>
      <c r="J160">
        <v>4.1734236308343562E-4</v>
      </c>
      <c r="K160" t="s">
        <v>25</v>
      </c>
      <c r="L160">
        <v>2.8932206884046789E-2</v>
      </c>
      <c r="M160">
        <v>1.910654142908141E-2</v>
      </c>
      <c r="N160">
        <v>1.324558583941978</v>
      </c>
    </row>
    <row r="161" spans="1:14" x14ac:dyDescent="0.35">
      <c r="A161" s="1">
        <v>11</v>
      </c>
      <c r="B161" t="s">
        <v>15</v>
      </c>
      <c r="C161" t="s">
        <v>17</v>
      </c>
      <c r="D161" t="s">
        <v>20</v>
      </c>
      <c r="E161" t="s">
        <v>23</v>
      </c>
      <c r="F161">
        <v>2050</v>
      </c>
      <c r="G161" t="s">
        <v>43</v>
      </c>
      <c r="H161">
        <v>8.2453348769044171E-3</v>
      </c>
      <c r="I161" t="s">
        <v>52</v>
      </c>
      <c r="J161">
        <v>4.6959769118537958E-4</v>
      </c>
      <c r="K161" t="s">
        <v>25</v>
      </c>
      <c r="L161">
        <v>3.2554800939127007E-2</v>
      </c>
      <c r="M161">
        <v>5.6953137525165357E-2</v>
      </c>
      <c r="N161">
        <v>3.9482691030918091</v>
      </c>
    </row>
    <row r="162" spans="1:14" x14ac:dyDescent="0.35">
      <c r="A162" s="1">
        <v>12</v>
      </c>
      <c r="B162" t="s">
        <v>15</v>
      </c>
      <c r="C162" t="s">
        <v>17</v>
      </c>
      <c r="D162" t="s">
        <v>20</v>
      </c>
      <c r="E162" t="s">
        <v>23</v>
      </c>
      <c r="F162">
        <v>2050</v>
      </c>
      <c r="G162" t="s">
        <v>44</v>
      </c>
      <c r="H162">
        <v>2.748444958968138E-3</v>
      </c>
      <c r="I162" t="s">
        <v>52</v>
      </c>
      <c r="J162">
        <v>6.3414009684975112E-5</v>
      </c>
      <c r="K162" t="s">
        <v>25</v>
      </c>
      <c r="L162">
        <v>4.3961682537984994E-3</v>
      </c>
      <c r="M162">
        <v>2.307268678532421E-2</v>
      </c>
      <c r="N162">
        <v>1.5995111124397321</v>
      </c>
    </row>
    <row r="163" spans="1:14" x14ac:dyDescent="0.35">
      <c r="A163" s="1">
        <v>13</v>
      </c>
      <c r="B163" t="s">
        <v>15</v>
      </c>
      <c r="C163" t="s">
        <v>17</v>
      </c>
      <c r="D163" t="s">
        <v>20</v>
      </c>
      <c r="E163" t="s">
        <v>23</v>
      </c>
      <c r="F163">
        <v>2050</v>
      </c>
      <c r="G163" t="s">
        <v>45</v>
      </c>
      <c r="H163">
        <v>1.113843483371298E-2</v>
      </c>
      <c r="I163" t="s">
        <v>52</v>
      </c>
      <c r="J163">
        <v>4.1727872854047099E-4</v>
      </c>
      <c r="K163" t="s">
        <v>25</v>
      </c>
      <c r="L163">
        <v>2.8927795427351091E-2</v>
      </c>
      <c r="M163">
        <v>3.746295909345207E-2</v>
      </c>
      <c r="N163">
        <v>2.5971149321442</v>
      </c>
    </row>
    <row r="164" spans="1:14" x14ac:dyDescent="0.35">
      <c r="A164" s="1">
        <v>14</v>
      </c>
      <c r="B164" t="s">
        <v>15</v>
      </c>
      <c r="C164" t="s">
        <v>17</v>
      </c>
      <c r="D164" t="s">
        <v>20</v>
      </c>
      <c r="E164" t="s">
        <v>23</v>
      </c>
      <c r="F164">
        <v>2050</v>
      </c>
      <c r="G164" t="s">
        <v>46</v>
      </c>
      <c r="H164">
        <v>4.6246929599690588E-2</v>
      </c>
      <c r="I164" t="s">
        <v>52</v>
      </c>
      <c r="J164">
        <v>2.394542116976366E-3</v>
      </c>
      <c r="K164" t="s">
        <v>25</v>
      </c>
      <c r="L164">
        <v>0.16600133139868459</v>
      </c>
      <c r="M164">
        <v>5.1777320953051681E-2</v>
      </c>
      <c r="N164">
        <v>3.589456269542167</v>
      </c>
    </row>
    <row r="165" spans="1:14" x14ac:dyDescent="0.35">
      <c r="A165" s="1">
        <v>15</v>
      </c>
      <c r="B165" t="s">
        <v>15</v>
      </c>
      <c r="C165" t="s">
        <v>17</v>
      </c>
      <c r="D165" t="s">
        <v>20</v>
      </c>
      <c r="E165" t="s">
        <v>23</v>
      </c>
      <c r="F165">
        <v>2050</v>
      </c>
      <c r="G165" t="s">
        <v>24</v>
      </c>
      <c r="H165">
        <v>3.1242684515255099E-2</v>
      </c>
      <c r="I165" t="s">
        <v>52</v>
      </c>
      <c r="J165">
        <v>4.506706258849705E-4</v>
      </c>
      <c r="K165" t="s">
        <v>25</v>
      </c>
      <c r="L165">
        <v>3.1242684515255081E-2</v>
      </c>
      <c r="M165">
        <v>1.4424836817877099E-2</v>
      </c>
      <c r="N165">
        <v>0.99999999999999933</v>
      </c>
    </row>
    <row r="166" spans="1:14" x14ac:dyDescent="0.35">
      <c r="A166" s="1">
        <v>16</v>
      </c>
      <c r="B166" t="s">
        <v>15</v>
      </c>
      <c r="C166" t="s">
        <v>17</v>
      </c>
      <c r="D166" t="s">
        <v>20</v>
      </c>
      <c r="E166" t="s">
        <v>23</v>
      </c>
      <c r="F166">
        <v>2050</v>
      </c>
      <c r="G166" t="s">
        <v>47</v>
      </c>
      <c r="H166">
        <v>5.6500000000000001E-9</v>
      </c>
      <c r="I166" t="s">
        <v>53</v>
      </c>
      <c r="J166">
        <v>6.0613086682540169E-4</v>
      </c>
      <c r="K166" t="s">
        <v>25</v>
      </c>
      <c r="L166">
        <v>4.2019946185748627E-2</v>
      </c>
      <c r="M166">
        <v>107279.7994381242</v>
      </c>
      <c r="N166">
        <v>7437158.61694666</v>
      </c>
    </row>
    <row r="167" spans="1:14" x14ac:dyDescent="0.35">
      <c r="A167" s="1">
        <v>17</v>
      </c>
      <c r="B167" t="s">
        <v>15</v>
      </c>
      <c r="C167" t="s">
        <v>17</v>
      </c>
      <c r="D167" t="s">
        <v>20</v>
      </c>
      <c r="E167" t="s">
        <v>23</v>
      </c>
      <c r="F167">
        <v>2050</v>
      </c>
      <c r="G167" t="s">
        <v>48</v>
      </c>
      <c r="H167">
        <v>3.8600000000000001E-10</v>
      </c>
      <c r="I167" t="s">
        <v>53</v>
      </c>
      <c r="J167">
        <v>5.1680516317853679E-5</v>
      </c>
      <c r="K167" t="s">
        <v>25</v>
      </c>
      <c r="L167">
        <v>3.5827453003700219E-3</v>
      </c>
      <c r="M167">
        <v>133887.3479737142</v>
      </c>
      <c r="N167">
        <v>9281723.5760881379</v>
      </c>
    </row>
    <row r="168" spans="1:14" x14ac:dyDescent="0.35">
      <c r="A168" s="1">
        <v>18</v>
      </c>
      <c r="B168" t="s">
        <v>15</v>
      </c>
      <c r="C168" t="s">
        <v>17</v>
      </c>
      <c r="D168" t="s">
        <v>20</v>
      </c>
      <c r="E168" t="s">
        <v>23</v>
      </c>
      <c r="F168">
        <v>2050</v>
      </c>
      <c r="G168" t="s">
        <v>49</v>
      </c>
      <c r="H168">
        <v>3.47E-12</v>
      </c>
      <c r="I168" t="s">
        <v>53</v>
      </c>
      <c r="J168">
        <v>4.33936227533971E-7</v>
      </c>
      <c r="K168" t="s">
        <v>25</v>
      </c>
      <c r="L168">
        <v>3.008257445215474E-5</v>
      </c>
      <c r="M168">
        <v>125053.6678772251</v>
      </c>
      <c r="N168">
        <v>8669329.8133010771</v>
      </c>
    </row>
    <row r="169" spans="1:14" x14ac:dyDescent="0.35">
      <c r="A169" s="1">
        <v>19</v>
      </c>
      <c r="B169" t="s">
        <v>15</v>
      </c>
      <c r="C169" t="s">
        <v>17</v>
      </c>
      <c r="D169" t="s">
        <v>20</v>
      </c>
      <c r="E169" t="s">
        <v>23</v>
      </c>
      <c r="F169">
        <v>2050</v>
      </c>
      <c r="G169" t="s">
        <v>50</v>
      </c>
      <c r="H169">
        <v>5.0000000000000004E-6</v>
      </c>
      <c r="I169" t="s">
        <v>54</v>
      </c>
    </row>
    <row r="170" spans="1:14" x14ac:dyDescent="0.35">
      <c r="A170" s="1">
        <v>20</v>
      </c>
      <c r="B170" t="s">
        <v>15</v>
      </c>
      <c r="C170" t="s">
        <v>17</v>
      </c>
      <c r="D170" t="s">
        <v>20</v>
      </c>
      <c r="E170" t="s">
        <v>23</v>
      </c>
      <c r="F170">
        <v>2050</v>
      </c>
      <c r="G170" t="s">
        <v>51</v>
      </c>
      <c r="H170">
        <v>4.16E-6</v>
      </c>
      <c r="I170" t="s">
        <v>54</v>
      </c>
    </row>
  </sheetData>
  <autoFilter ref="A1:N170" xr:uid="{00000000-0001-0000-01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0632-3F8A-46EC-8FB6-D9999533CDA4}">
  <dimension ref="A2:D15"/>
  <sheetViews>
    <sheetView workbookViewId="0">
      <selection activeCell="C15" sqref="C15"/>
    </sheetView>
  </sheetViews>
  <sheetFormatPr baseColWidth="10" defaultRowHeight="14.5" x14ac:dyDescent="0.35"/>
  <cols>
    <col min="1" max="1" width="15.90625" customWidth="1"/>
    <col min="2" max="2" width="25" customWidth="1"/>
    <col min="3" max="3" width="9.08984375" customWidth="1"/>
  </cols>
  <sheetData>
    <row r="2" spans="1:4" x14ac:dyDescent="0.35">
      <c r="A2" s="59" t="s">
        <v>67</v>
      </c>
      <c r="B2" s="19" t="s">
        <v>80</v>
      </c>
      <c r="C2" s="17" t="s">
        <v>68</v>
      </c>
    </row>
    <row r="3" spans="1:4" x14ac:dyDescent="0.35">
      <c r="A3" s="59"/>
      <c r="B3" s="19" t="s">
        <v>83</v>
      </c>
      <c r="C3" s="17" t="s">
        <v>68</v>
      </c>
    </row>
    <row r="4" spans="1:4" x14ac:dyDescent="0.35">
      <c r="A4" s="59"/>
      <c r="B4" s="20" t="s">
        <v>69</v>
      </c>
      <c r="C4" s="17" t="s">
        <v>70</v>
      </c>
    </row>
    <row r="5" spans="1:4" x14ac:dyDescent="0.35">
      <c r="A5" s="59" t="s">
        <v>71</v>
      </c>
      <c r="B5" s="19" t="s">
        <v>81</v>
      </c>
      <c r="C5" s="17" t="s">
        <v>68</v>
      </c>
    </row>
    <row r="6" spans="1:4" x14ac:dyDescent="0.35">
      <c r="A6" s="59"/>
      <c r="B6" s="19" t="s">
        <v>84</v>
      </c>
      <c r="C6" s="17" t="s">
        <v>68</v>
      </c>
    </row>
    <row r="7" spans="1:4" x14ac:dyDescent="0.35">
      <c r="A7" s="59"/>
      <c r="B7" s="21" t="s">
        <v>72</v>
      </c>
      <c r="C7" s="17" t="s">
        <v>73</v>
      </c>
      <c r="D7" t="s">
        <v>77</v>
      </c>
    </row>
    <row r="8" spans="1:4" x14ac:dyDescent="0.35">
      <c r="A8" s="59" t="s">
        <v>74</v>
      </c>
      <c r="B8" s="19" t="s">
        <v>82</v>
      </c>
      <c r="C8" s="17" t="s">
        <v>68</v>
      </c>
    </row>
    <row r="9" spans="1:4" x14ac:dyDescent="0.35">
      <c r="A9" s="59"/>
      <c r="B9" s="20" t="s">
        <v>75</v>
      </c>
      <c r="C9" s="17" t="s">
        <v>76</v>
      </c>
      <c r="D9" t="s">
        <v>78</v>
      </c>
    </row>
    <row r="10" spans="1:4" x14ac:dyDescent="0.35">
      <c r="A10" s="59" t="s">
        <v>79</v>
      </c>
      <c r="B10" s="22" t="s">
        <v>85</v>
      </c>
      <c r="C10" s="18" t="s">
        <v>87</v>
      </c>
    </row>
    <row r="11" spans="1:4" x14ac:dyDescent="0.35">
      <c r="A11" s="59"/>
      <c r="B11" s="21" t="s">
        <v>86</v>
      </c>
      <c r="C11" s="17" t="s">
        <v>73</v>
      </c>
      <c r="D11" t="s">
        <v>77</v>
      </c>
    </row>
    <row r="12" spans="1:4" x14ac:dyDescent="0.35">
      <c r="A12" s="59" t="s">
        <v>88</v>
      </c>
      <c r="B12" s="22" t="s">
        <v>90</v>
      </c>
      <c r="C12" s="18" t="s">
        <v>87</v>
      </c>
    </row>
    <row r="13" spans="1:4" x14ac:dyDescent="0.35">
      <c r="A13" s="59"/>
      <c r="B13" s="20" t="s">
        <v>91</v>
      </c>
      <c r="C13" s="17" t="s">
        <v>70</v>
      </c>
    </row>
    <row r="14" spans="1:4" x14ac:dyDescent="0.35">
      <c r="A14" s="59" t="s">
        <v>89</v>
      </c>
      <c r="B14" s="22" t="s">
        <v>101</v>
      </c>
      <c r="C14" s="18" t="s">
        <v>87</v>
      </c>
    </row>
    <row r="15" spans="1:4" x14ac:dyDescent="0.35">
      <c r="A15" s="59"/>
      <c r="B15" s="22" t="s">
        <v>102</v>
      </c>
      <c r="C15" s="18" t="s">
        <v>87</v>
      </c>
    </row>
  </sheetData>
  <mergeCells count="6">
    <mergeCell ref="A14:A15"/>
    <mergeCell ref="A2:A4"/>
    <mergeCell ref="A5:A7"/>
    <mergeCell ref="A8:A9"/>
    <mergeCell ref="A10:A11"/>
    <mergeCell ref="A12:A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CE7A-C330-4C44-B0C5-4EC3B619337C}">
  <dimension ref="A1:AK8"/>
  <sheetViews>
    <sheetView topLeftCell="A10" zoomScaleNormal="100" workbookViewId="0">
      <selection activeCell="A22" sqref="A22"/>
    </sheetView>
  </sheetViews>
  <sheetFormatPr baseColWidth="10" defaultRowHeight="14.5" x14ac:dyDescent="0.35"/>
  <cols>
    <col min="4" max="4" width="8.54296875" customWidth="1"/>
    <col min="5" max="5" width="4.54296875" customWidth="1"/>
    <col min="6" max="6" width="3.90625" hidden="1" customWidth="1"/>
    <col min="8" max="8" width="10.54296875" customWidth="1"/>
    <col min="9" max="9" width="10.90625" hidden="1" customWidth="1"/>
    <col min="10" max="10" width="10.54296875" customWidth="1"/>
    <col min="11" max="11" width="10.36328125" hidden="1" customWidth="1"/>
    <col min="12" max="12" width="10.453125" customWidth="1"/>
    <col min="13" max="13" width="13" customWidth="1"/>
    <col min="14" max="14" width="18.08984375" customWidth="1"/>
    <col min="18" max="18" width="6.6328125" customWidth="1"/>
    <col min="19" max="19" width="3.90625" customWidth="1"/>
    <col min="20" max="20" width="4.6328125" hidden="1" customWidth="1"/>
    <col min="30" max="30" width="24.1796875" customWidth="1"/>
    <col min="31" max="31" width="11.26953125" bestFit="1" customWidth="1"/>
    <col min="32" max="32" width="7.7265625" bestFit="1" customWidth="1"/>
    <col min="33" max="33" width="7.08984375" bestFit="1" customWidth="1"/>
    <col min="34" max="34" width="14.26953125" bestFit="1" customWidth="1"/>
    <col min="35" max="35" width="8.08984375" customWidth="1"/>
    <col min="36" max="36" width="7.7265625" bestFit="1" customWidth="1"/>
  </cols>
  <sheetData>
    <row r="1" spans="1:37" ht="64.5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6</v>
      </c>
      <c r="K1" s="1" t="s">
        <v>29</v>
      </c>
      <c r="L1" s="1" t="s">
        <v>30</v>
      </c>
      <c r="M1" s="1" t="s">
        <v>31</v>
      </c>
      <c r="N1" s="1" t="s">
        <v>32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27</v>
      </c>
      <c r="W1" s="1" t="s">
        <v>28</v>
      </c>
      <c r="X1" s="1" t="s">
        <v>6</v>
      </c>
      <c r="Y1" s="1" t="s">
        <v>29</v>
      </c>
      <c r="Z1" s="1" t="s">
        <v>30</v>
      </c>
      <c r="AA1" s="1" t="s">
        <v>31</v>
      </c>
      <c r="AB1" s="1" t="s">
        <v>32</v>
      </c>
      <c r="AD1" s="27"/>
      <c r="AE1" s="24" t="s">
        <v>100</v>
      </c>
      <c r="AF1" s="24" t="s">
        <v>99</v>
      </c>
      <c r="AG1" s="24" t="s">
        <v>98</v>
      </c>
      <c r="AH1" s="24" t="s">
        <v>96</v>
      </c>
      <c r="AI1" s="24" t="s">
        <v>31</v>
      </c>
      <c r="AJ1" s="24" t="s">
        <v>97</v>
      </c>
      <c r="AK1" s="24" t="s">
        <v>27</v>
      </c>
    </row>
    <row r="2" spans="1:37" x14ac:dyDescent="0.35">
      <c r="A2" s="1">
        <v>0</v>
      </c>
      <c r="B2" t="s">
        <v>12</v>
      </c>
      <c r="C2" t="s">
        <v>16</v>
      </c>
      <c r="D2" t="s">
        <v>18</v>
      </c>
      <c r="E2" t="s">
        <v>23</v>
      </c>
      <c r="F2">
        <v>2050</v>
      </c>
      <c r="G2" t="s">
        <v>58</v>
      </c>
      <c r="H2">
        <v>0.90977795105681936</v>
      </c>
      <c r="I2" t="s">
        <v>52</v>
      </c>
      <c r="J2">
        <v>1.0269282289317691E-2</v>
      </c>
      <c r="K2" t="s">
        <v>25</v>
      </c>
      <c r="L2">
        <v>0.36316278215186187</v>
      </c>
      <c r="M2">
        <v>1.128767989748339E-2</v>
      </c>
      <c r="N2">
        <v>0.39917738359124177</v>
      </c>
      <c r="O2" s="1">
        <v>0</v>
      </c>
      <c r="P2" t="s">
        <v>14</v>
      </c>
      <c r="Q2" t="s">
        <v>17</v>
      </c>
      <c r="R2" t="s">
        <v>18</v>
      </c>
      <c r="S2" t="s">
        <v>23</v>
      </c>
      <c r="T2">
        <v>2050</v>
      </c>
      <c r="U2" t="s">
        <v>58</v>
      </c>
      <c r="V2">
        <v>0.90977795105681936</v>
      </c>
      <c r="W2" t="s">
        <v>52</v>
      </c>
      <c r="X2">
        <v>1.430418646778518E-2</v>
      </c>
      <c r="Y2" t="s">
        <v>25</v>
      </c>
      <c r="Z2">
        <v>0.31700803135826661</v>
      </c>
      <c r="AA2">
        <v>1.5722722727198539E-2</v>
      </c>
      <c r="AB2">
        <v>0.3484454981460286</v>
      </c>
      <c r="AD2" t="s">
        <v>58</v>
      </c>
      <c r="AE2" s="32">
        <f>(X2-J2)/J$8</f>
        <v>0.14269030550388984</v>
      </c>
      <c r="AF2" s="32">
        <f>(X2-J2)/J2</f>
        <v>0.39291004617378922</v>
      </c>
      <c r="AG2" s="33">
        <f>X2/J2</f>
        <v>1.3929100461737891</v>
      </c>
      <c r="AH2" s="25">
        <f>(AA2-M2)/M2</f>
        <v>0.39291004617378905</v>
      </c>
      <c r="AI2" s="25">
        <f>AA2/M2</f>
        <v>1.3929100461737891</v>
      </c>
      <c r="AJ2" s="32">
        <f>(V2-H2)/H2</f>
        <v>0</v>
      </c>
      <c r="AK2" s="25">
        <f>V2/H2</f>
        <v>1</v>
      </c>
    </row>
    <row r="3" spans="1:37" x14ac:dyDescent="0.35">
      <c r="A3" s="1">
        <v>1</v>
      </c>
      <c r="B3" t="s">
        <v>12</v>
      </c>
      <c r="C3" t="s">
        <v>16</v>
      </c>
      <c r="D3" t="s">
        <v>18</v>
      </c>
      <c r="E3" t="s">
        <v>23</v>
      </c>
      <c r="F3">
        <v>2050</v>
      </c>
      <c r="G3" t="s">
        <v>103</v>
      </c>
      <c r="H3">
        <v>4.3975119343490222E-2</v>
      </c>
      <c r="I3" t="s">
        <v>52</v>
      </c>
      <c r="J3">
        <v>2.423813805666811E-3</v>
      </c>
      <c r="K3" t="s">
        <v>25</v>
      </c>
      <c r="L3">
        <v>8.5715723872903299E-2</v>
      </c>
      <c r="M3">
        <v>5.511784485982564E-2</v>
      </c>
      <c r="N3">
        <v>1.9491868391163809</v>
      </c>
      <c r="O3" s="1">
        <v>1</v>
      </c>
      <c r="P3" t="s">
        <v>14</v>
      </c>
      <c r="Q3" t="s">
        <v>17</v>
      </c>
      <c r="R3" t="s">
        <v>18</v>
      </c>
      <c r="S3" t="s">
        <v>23</v>
      </c>
      <c r="T3">
        <v>2050</v>
      </c>
      <c r="U3" t="s">
        <v>103</v>
      </c>
      <c r="V3">
        <v>4.3975119343490222E-2</v>
      </c>
      <c r="W3" t="s">
        <v>52</v>
      </c>
      <c r="X3">
        <v>3.8836034396498671E-3</v>
      </c>
      <c r="Y3" t="s">
        <v>25</v>
      </c>
      <c r="Z3">
        <v>8.6068053136210437E-2</v>
      </c>
      <c r="AA3">
        <v>8.8313653211830781E-2</v>
      </c>
      <c r="AB3">
        <v>1.957198852922531</v>
      </c>
      <c r="AD3" t="s">
        <v>59</v>
      </c>
      <c r="AE3" s="32">
        <f t="shared" ref="AE3:AE7" si="0">(X3-J3)/J$8</f>
        <v>5.1623984023226072E-2</v>
      </c>
      <c r="AF3" s="32">
        <f t="shared" ref="AF3:AF8" si="1">(X3-J3)/J3</f>
        <v>0.6022697084116394</v>
      </c>
      <c r="AG3" s="33">
        <f t="shared" ref="AG3:AG8" si="2">X3/J3</f>
        <v>1.6022697084116393</v>
      </c>
      <c r="AH3" s="25">
        <f>(AA3-M3)/M3</f>
        <v>0.60226970841163896</v>
      </c>
      <c r="AI3" s="25">
        <f>AA3/M3</f>
        <v>1.6022697084116388</v>
      </c>
      <c r="AJ3" s="32">
        <f>(V3-H3)/H3</f>
        <v>0</v>
      </c>
      <c r="AK3" s="25">
        <f>V3/H3</f>
        <v>1</v>
      </c>
    </row>
    <row r="4" spans="1:37" x14ac:dyDescent="0.35">
      <c r="A4" s="1">
        <v>2</v>
      </c>
      <c r="B4" t="s">
        <v>12</v>
      </c>
      <c r="C4" t="s">
        <v>16</v>
      </c>
      <c r="D4" t="s">
        <v>18</v>
      </c>
      <c r="E4" t="s">
        <v>23</v>
      </c>
      <c r="F4">
        <v>2050</v>
      </c>
      <c r="G4" t="s">
        <v>60</v>
      </c>
      <c r="H4">
        <v>4.6246929599690588E-2</v>
      </c>
      <c r="I4" t="s">
        <v>52</v>
      </c>
      <c r="J4">
        <v>1.251167244888981E-2</v>
      </c>
      <c r="K4" t="s">
        <v>25</v>
      </c>
      <c r="L4">
        <v>0.44246264226645537</v>
      </c>
      <c r="M4">
        <v>0.27054060793202389</v>
      </c>
      <c r="N4">
        <v>9.5673949837616004</v>
      </c>
      <c r="O4" s="1">
        <v>2</v>
      </c>
      <c r="P4" t="s">
        <v>14</v>
      </c>
      <c r="Q4" t="s">
        <v>17</v>
      </c>
      <c r="R4" t="s">
        <v>18</v>
      </c>
      <c r="S4" t="s">
        <v>23</v>
      </c>
      <c r="T4">
        <v>2050</v>
      </c>
      <c r="U4" t="s">
        <v>60</v>
      </c>
      <c r="V4">
        <v>4.6246929599690588E-2</v>
      </c>
      <c r="W4" t="s">
        <v>52</v>
      </c>
      <c r="X4">
        <v>2.3077535150528829E-2</v>
      </c>
      <c r="Y4" t="s">
        <v>25</v>
      </c>
      <c r="Z4">
        <v>0.51144215738143239</v>
      </c>
      <c r="AA4">
        <v>0.49900686056968468</v>
      </c>
      <c r="AB4">
        <v>11.05894297866759</v>
      </c>
      <c r="AD4" t="s">
        <v>60</v>
      </c>
      <c r="AE4" s="32">
        <f t="shared" si="0"/>
        <v>0.37365104848206099</v>
      </c>
      <c r="AF4" s="32">
        <f t="shared" si="1"/>
        <v>0.84448044374567621</v>
      </c>
      <c r="AG4" s="33">
        <f t="shared" si="2"/>
        <v>1.8444804437456761</v>
      </c>
      <c r="AH4" s="25">
        <f>(AA4-M4)/M4</f>
        <v>0.8444804437456771</v>
      </c>
      <c r="AI4" s="25">
        <f>AA4/M4</f>
        <v>1.8444804437456772</v>
      </c>
      <c r="AJ4" s="32">
        <f>(V4-H4)/H4</f>
        <v>0</v>
      </c>
      <c r="AK4" s="25">
        <f>V4/H4</f>
        <v>1</v>
      </c>
    </row>
    <row r="5" spans="1:37" x14ac:dyDescent="0.35">
      <c r="A5" s="1">
        <v>3</v>
      </c>
      <c r="B5" t="s">
        <v>12</v>
      </c>
      <c r="C5" t="s">
        <v>16</v>
      </c>
      <c r="D5" t="s">
        <v>18</v>
      </c>
      <c r="E5" t="s">
        <v>23</v>
      </c>
      <c r="F5">
        <v>2050</v>
      </c>
      <c r="G5" t="s">
        <v>61</v>
      </c>
      <c r="H5">
        <v>3.1242684515255099E-2</v>
      </c>
      <c r="I5" t="s">
        <v>52</v>
      </c>
      <c r="J5">
        <v>8.8346042747597744E-4</v>
      </c>
      <c r="K5" t="s">
        <v>25</v>
      </c>
      <c r="L5">
        <v>3.1242684515255081E-2</v>
      </c>
      <c r="M5">
        <v>2.827735328072092E-2</v>
      </c>
      <c r="N5">
        <v>1</v>
      </c>
      <c r="O5" s="1">
        <v>3</v>
      </c>
      <c r="P5" t="s">
        <v>14</v>
      </c>
      <c r="Q5" t="s">
        <v>17</v>
      </c>
      <c r="R5" t="s">
        <v>18</v>
      </c>
      <c r="S5" t="s">
        <v>23</v>
      </c>
      <c r="T5">
        <v>2050</v>
      </c>
      <c r="U5" t="s">
        <v>61</v>
      </c>
      <c r="V5">
        <v>3.1242684515255099E-2</v>
      </c>
      <c r="W5" t="s">
        <v>52</v>
      </c>
      <c r="X5">
        <v>1.409747201500166E-3</v>
      </c>
      <c r="Y5" t="s">
        <v>25</v>
      </c>
      <c r="Z5">
        <v>3.1242684515255088E-2</v>
      </c>
      <c r="AA5">
        <v>4.5122473416515103E-2</v>
      </c>
      <c r="AB5">
        <v>1</v>
      </c>
      <c r="AD5" t="s">
        <v>61</v>
      </c>
      <c r="AE5" s="32">
        <f t="shared" si="0"/>
        <v>1.8611599494461988E-2</v>
      </c>
      <c r="AF5" s="32">
        <f t="shared" si="1"/>
        <v>0.59571063700926097</v>
      </c>
      <c r="AG5" s="33">
        <f t="shared" si="2"/>
        <v>1.5957106370092611</v>
      </c>
      <c r="AH5" s="25">
        <f>(AA5-M5)/M5</f>
        <v>0.5957106370092613</v>
      </c>
      <c r="AI5" s="25">
        <f>AA5/M5</f>
        <v>1.5957106370092613</v>
      </c>
      <c r="AJ5" s="32">
        <f>(V5-H5)/H5</f>
        <v>0</v>
      </c>
      <c r="AK5" s="25">
        <f>V5/H5</f>
        <v>1</v>
      </c>
    </row>
    <row r="6" spans="1:37" x14ac:dyDescent="0.35">
      <c r="A6" s="1">
        <v>4</v>
      </c>
      <c r="B6" t="s">
        <v>12</v>
      </c>
      <c r="C6" t="s">
        <v>16</v>
      </c>
      <c r="D6" t="s">
        <v>18</v>
      </c>
      <c r="E6" t="s">
        <v>23</v>
      </c>
      <c r="F6">
        <v>2050</v>
      </c>
      <c r="G6" t="s">
        <v>62</v>
      </c>
      <c r="H6">
        <v>6.0394699999999996E-9</v>
      </c>
      <c r="I6" t="s">
        <v>53</v>
      </c>
      <c r="J6">
        <v>8.2412398336450718E-4</v>
      </c>
      <c r="K6" t="s">
        <v>25</v>
      </c>
      <c r="L6">
        <v>2.914431118015498E-2</v>
      </c>
      <c r="M6">
        <v>136456.3419247893</v>
      </c>
      <c r="N6">
        <v>4825640.5247736964</v>
      </c>
      <c r="O6" s="1">
        <v>4</v>
      </c>
      <c r="P6" t="s">
        <v>14</v>
      </c>
      <c r="Q6" t="s">
        <v>17</v>
      </c>
      <c r="R6" t="s">
        <v>18</v>
      </c>
      <c r="S6" t="s">
        <v>23</v>
      </c>
      <c r="T6">
        <v>2050</v>
      </c>
      <c r="U6" t="s">
        <v>62</v>
      </c>
      <c r="V6">
        <v>6.0394699999999996E-9</v>
      </c>
      <c r="W6" t="s">
        <v>53</v>
      </c>
      <c r="X6">
        <v>1.08240058005353E-3</v>
      </c>
      <c r="Y6" t="s">
        <v>25</v>
      </c>
      <c r="Z6">
        <v>2.3988059565399719E-2</v>
      </c>
      <c r="AA6">
        <v>179221.12040518949</v>
      </c>
      <c r="AB6">
        <v>3971881.566660604</v>
      </c>
      <c r="AD6" t="s">
        <v>62</v>
      </c>
      <c r="AE6" s="32">
        <f t="shared" si="0"/>
        <v>9.1336906295651082E-3</v>
      </c>
      <c r="AF6" s="32">
        <f t="shared" si="1"/>
        <v>0.31339531660588499</v>
      </c>
      <c r="AG6" s="33">
        <f t="shared" si="2"/>
        <v>1.3133953166058849</v>
      </c>
      <c r="AH6" s="25">
        <f>(AA6-M6)/M6</f>
        <v>0.3133953166058846</v>
      </c>
      <c r="AI6" s="25">
        <f>AA6/M6</f>
        <v>1.3133953166058845</v>
      </c>
      <c r="AJ6" s="32">
        <f>(V6-H6)/H6</f>
        <v>0</v>
      </c>
      <c r="AK6" s="25">
        <f>V6/H6</f>
        <v>1</v>
      </c>
    </row>
    <row r="7" spans="1:37" x14ac:dyDescent="0.35">
      <c r="A7" s="1">
        <v>5</v>
      </c>
      <c r="B7" t="s">
        <v>12</v>
      </c>
      <c r="C7" t="s">
        <v>16</v>
      </c>
      <c r="D7" t="s">
        <v>18</v>
      </c>
      <c r="E7" t="s">
        <v>23</v>
      </c>
      <c r="F7">
        <v>2050</v>
      </c>
      <c r="G7" t="s">
        <v>63</v>
      </c>
      <c r="J7">
        <v>1.3650003260061269E-3</v>
      </c>
      <c r="K7" t="s">
        <v>25</v>
      </c>
      <c r="L7">
        <v>4.8271856013369252E-2</v>
      </c>
      <c r="O7" s="1">
        <v>5</v>
      </c>
      <c r="P7" t="s">
        <v>14</v>
      </c>
      <c r="Q7" t="s">
        <v>17</v>
      </c>
      <c r="R7" t="s">
        <v>18</v>
      </c>
      <c r="S7" t="s">
        <v>23</v>
      </c>
      <c r="T7">
        <v>2050</v>
      </c>
      <c r="U7" t="s">
        <v>63</v>
      </c>
      <c r="X7">
        <v>1.365000576997538E-3</v>
      </c>
      <c r="Y7" t="s">
        <v>25</v>
      </c>
      <c r="Z7">
        <v>3.0251014043435661E-2</v>
      </c>
      <c r="AD7" t="s">
        <v>63</v>
      </c>
      <c r="AE7" s="32">
        <f t="shared" si="0"/>
        <v>8.8760574067859263E-9</v>
      </c>
      <c r="AF7" s="32">
        <f t="shared" si="1"/>
        <v>1.8387644768263495E-7</v>
      </c>
      <c r="AG7" s="33">
        <f t="shared" si="2"/>
        <v>1.0000001838764476</v>
      </c>
      <c r="AH7" s="25">
        <v>0</v>
      </c>
      <c r="AI7" s="25">
        <v>1</v>
      </c>
      <c r="AJ7" s="25">
        <v>0</v>
      </c>
      <c r="AK7" s="25">
        <v>1</v>
      </c>
    </row>
    <row r="8" spans="1:37" x14ac:dyDescent="0.35">
      <c r="A8" s="1">
        <v>6</v>
      </c>
      <c r="B8" t="s">
        <v>12</v>
      </c>
      <c r="C8" t="s">
        <v>16</v>
      </c>
      <c r="D8" t="s">
        <v>18</v>
      </c>
      <c r="E8" t="s">
        <v>23</v>
      </c>
      <c r="F8">
        <v>2050</v>
      </c>
      <c r="G8" t="s">
        <v>24</v>
      </c>
      <c r="H8">
        <v>1</v>
      </c>
      <c r="I8" t="s">
        <v>52</v>
      </c>
      <c r="J8">
        <v>2.827735328072092E-2</v>
      </c>
      <c r="K8" t="s">
        <v>25</v>
      </c>
      <c r="L8">
        <v>1</v>
      </c>
      <c r="M8">
        <v>2.827735328072092E-2</v>
      </c>
      <c r="N8">
        <v>1</v>
      </c>
      <c r="O8" s="1">
        <v>6</v>
      </c>
      <c r="P8" t="s">
        <v>14</v>
      </c>
      <c r="Q8" t="s">
        <v>17</v>
      </c>
      <c r="R8" t="s">
        <v>18</v>
      </c>
      <c r="S8" t="s">
        <v>23</v>
      </c>
      <c r="T8">
        <v>2050</v>
      </c>
      <c r="U8" t="s">
        <v>24</v>
      </c>
      <c r="V8">
        <v>1</v>
      </c>
      <c r="W8" t="s">
        <v>52</v>
      </c>
      <c r="X8">
        <v>4.5122473416515103E-2</v>
      </c>
      <c r="Y8" t="s">
        <v>25</v>
      </c>
      <c r="Z8">
        <v>1</v>
      </c>
      <c r="AA8">
        <v>4.5122473416515103E-2</v>
      </c>
      <c r="AB8">
        <v>1</v>
      </c>
      <c r="AD8" t="s">
        <v>94</v>
      </c>
      <c r="AE8" s="32">
        <f>(X8-J8)/J$8</f>
        <v>0.5957106370092613</v>
      </c>
      <c r="AF8" s="32">
        <f t="shared" si="1"/>
        <v>0.5957106370092613</v>
      </c>
      <c r="AG8" s="33">
        <f t="shared" si="2"/>
        <v>1.5957106370092613</v>
      </c>
      <c r="AH8" s="25">
        <f>(AA8-M8)/M8</f>
        <v>0.5957106370092613</v>
      </c>
      <c r="AI8" s="25">
        <f>AA8/M8</f>
        <v>1.5957106370092613</v>
      </c>
      <c r="AJ8" s="26"/>
      <c r="AK8" s="2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820A-5C80-4039-8E8B-B674DD11CFFD}">
  <dimension ref="A1:AK64"/>
  <sheetViews>
    <sheetView topLeftCell="B12" zoomScaleNormal="100" workbookViewId="0">
      <selection activeCell="J32" sqref="J32"/>
    </sheetView>
  </sheetViews>
  <sheetFormatPr baseColWidth="10" defaultRowHeight="14.5" x14ac:dyDescent="0.35"/>
  <cols>
    <col min="4" max="4" width="8.54296875" customWidth="1"/>
    <col min="5" max="5" width="4.54296875" customWidth="1"/>
    <col min="6" max="6" width="3.90625" hidden="1" customWidth="1"/>
    <col min="8" max="8" width="10.54296875" customWidth="1"/>
    <col min="9" max="9" width="10.90625" hidden="1" customWidth="1"/>
    <col min="10" max="10" width="10.54296875" customWidth="1"/>
    <col min="11" max="11" width="10.36328125" hidden="1" customWidth="1"/>
    <col min="12" max="12" width="10.453125" customWidth="1"/>
    <col min="13" max="13" width="13" customWidth="1"/>
    <col min="14" max="14" width="18.08984375" customWidth="1"/>
    <col min="18" max="18" width="6.6328125" customWidth="1"/>
    <col min="19" max="19" width="3.90625" customWidth="1"/>
    <col min="20" max="20" width="4.6328125" hidden="1" customWidth="1"/>
    <col min="30" max="30" width="24.1796875" customWidth="1"/>
    <col min="31" max="31" width="11.26953125" bestFit="1" customWidth="1"/>
    <col min="32" max="32" width="7.7265625" bestFit="1" customWidth="1"/>
    <col min="33" max="33" width="7.08984375" bestFit="1" customWidth="1"/>
    <col min="34" max="34" width="14.26953125" bestFit="1" customWidth="1"/>
    <col min="35" max="35" width="8.08984375" customWidth="1"/>
    <col min="36" max="36" width="7.7265625" bestFit="1" customWidth="1"/>
  </cols>
  <sheetData>
    <row r="1" spans="1:37" ht="64.5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6</v>
      </c>
      <c r="K1" s="1" t="s">
        <v>29</v>
      </c>
      <c r="L1" s="1" t="s">
        <v>30</v>
      </c>
      <c r="M1" s="1" t="s">
        <v>31</v>
      </c>
      <c r="N1" s="1" t="s">
        <v>32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27</v>
      </c>
      <c r="W1" s="1" t="s">
        <v>28</v>
      </c>
      <c r="X1" s="1" t="s">
        <v>6</v>
      </c>
      <c r="Y1" s="1" t="s">
        <v>29</v>
      </c>
      <c r="Z1" s="1" t="s">
        <v>30</v>
      </c>
      <c r="AA1" s="1" t="s">
        <v>31</v>
      </c>
      <c r="AB1" s="1" t="s">
        <v>32</v>
      </c>
      <c r="AD1" s="27" t="s">
        <v>95</v>
      </c>
      <c r="AE1" s="24" t="s">
        <v>100</v>
      </c>
      <c r="AF1" s="24" t="s">
        <v>99</v>
      </c>
      <c r="AG1" s="24" t="s">
        <v>98</v>
      </c>
      <c r="AH1" s="24" t="s">
        <v>96</v>
      </c>
      <c r="AI1" s="24" t="s">
        <v>31</v>
      </c>
      <c r="AJ1" s="24" t="s">
        <v>97</v>
      </c>
      <c r="AK1" s="24" t="s">
        <v>27</v>
      </c>
    </row>
    <row r="2" spans="1:37" x14ac:dyDescent="0.35">
      <c r="A2" s="1">
        <v>0</v>
      </c>
      <c r="B2" t="s">
        <v>13</v>
      </c>
      <c r="C2" t="s">
        <v>16</v>
      </c>
      <c r="D2" s="16" t="s">
        <v>19</v>
      </c>
      <c r="E2" t="s">
        <v>23</v>
      </c>
      <c r="F2">
        <v>2050</v>
      </c>
      <c r="G2" t="s">
        <v>58</v>
      </c>
      <c r="H2">
        <v>0.90977795105681936</v>
      </c>
      <c r="I2" t="s">
        <v>52</v>
      </c>
      <c r="J2">
        <v>8.6307558605480082E-3</v>
      </c>
      <c r="K2" t="s">
        <v>25</v>
      </c>
      <c r="L2">
        <v>0.66969856011012885</v>
      </c>
      <c r="M2">
        <v>9.4866619382480318E-3</v>
      </c>
      <c r="N2">
        <v>0.73611210222471546</v>
      </c>
      <c r="O2" s="1">
        <v>0</v>
      </c>
      <c r="P2" t="s">
        <v>12</v>
      </c>
      <c r="Q2" t="s">
        <v>16</v>
      </c>
      <c r="R2" s="23" t="s">
        <v>18</v>
      </c>
      <c r="S2" t="s">
        <v>23</v>
      </c>
      <c r="T2">
        <v>2050</v>
      </c>
      <c r="U2" t="s">
        <v>58</v>
      </c>
      <c r="V2">
        <v>0.90977795105681936</v>
      </c>
      <c r="W2" t="s">
        <v>52</v>
      </c>
      <c r="X2">
        <v>1.0269282289317691E-2</v>
      </c>
      <c r="Y2" t="s">
        <v>25</v>
      </c>
      <c r="Z2">
        <v>0.36316278215186187</v>
      </c>
      <c r="AA2">
        <v>1.128767989748339E-2</v>
      </c>
      <c r="AB2">
        <v>0.39917738359124177</v>
      </c>
      <c r="AD2" t="s">
        <v>58</v>
      </c>
      <c r="AE2" s="32">
        <f>(X2-J2)/J$8</f>
        <v>0.12714052022551064</v>
      </c>
      <c r="AF2" s="32">
        <f>(X2-J2)/J2</f>
        <v>0.1898473847765223</v>
      </c>
      <c r="AG2" s="33">
        <f>X2/J2</f>
        <v>1.1898473847765223</v>
      </c>
      <c r="AH2" s="25">
        <f>(AA2-M2)/M2</f>
        <v>0.1898473847765218</v>
      </c>
      <c r="AI2" s="25">
        <f>AA2/M2</f>
        <v>1.1898473847765219</v>
      </c>
      <c r="AJ2" s="32">
        <f>(V2-H2)/H2</f>
        <v>0</v>
      </c>
      <c r="AK2" s="25">
        <f>V2/H2</f>
        <v>1</v>
      </c>
    </row>
    <row r="3" spans="1:37" x14ac:dyDescent="0.35">
      <c r="A3" s="1">
        <v>1</v>
      </c>
      <c r="B3" t="s">
        <v>13</v>
      </c>
      <c r="C3" t="s">
        <v>16</v>
      </c>
      <c r="D3" s="16" t="s">
        <v>19</v>
      </c>
      <c r="E3" t="s">
        <v>23</v>
      </c>
      <c r="F3">
        <v>2050</v>
      </c>
      <c r="G3" t="s">
        <v>103</v>
      </c>
      <c r="H3">
        <v>4.3975119343490222E-2</v>
      </c>
      <c r="I3" t="s">
        <v>52</v>
      </c>
      <c r="J3">
        <v>1.3300306790061699E-3</v>
      </c>
      <c r="K3" t="s">
        <v>25</v>
      </c>
      <c r="L3">
        <v>0.1032029691286127</v>
      </c>
      <c r="M3">
        <v>3.0245072642493209E-2</v>
      </c>
      <c r="N3">
        <v>2.3468490971563498</v>
      </c>
      <c r="O3" s="1">
        <v>1</v>
      </c>
      <c r="P3" t="s">
        <v>12</v>
      </c>
      <c r="Q3" t="s">
        <v>16</v>
      </c>
      <c r="R3" s="23" t="s">
        <v>18</v>
      </c>
      <c r="S3" t="s">
        <v>23</v>
      </c>
      <c r="T3">
        <v>2050</v>
      </c>
      <c r="U3" t="s">
        <v>103</v>
      </c>
      <c r="V3">
        <v>4.3975119343490222E-2</v>
      </c>
      <c r="W3" t="s">
        <v>52</v>
      </c>
      <c r="X3">
        <v>2.423813805666811E-3</v>
      </c>
      <c r="Y3" t="s">
        <v>25</v>
      </c>
      <c r="Z3">
        <v>8.5715723872903299E-2</v>
      </c>
      <c r="AA3">
        <v>5.511784485982564E-2</v>
      </c>
      <c r="AB3">
        <v>1.9491868391163809</v>
      </c>
      <c r="AD3" t="s">
        <v>103</v>
      </c>
      <c r="AE3" s="32">
        <f t="shared" ref="AE3:AE7" si="0">(X3-J3)/J$8</f>
        <v>8.4871475550100453E-2</v>
      </c>
      <c r="AF3" s="32">
        <f t="shared" ref="AF3:AF8" si="1">(X3-J3)/J3</f>
        <v>0.82237435867114084</v>
      </c>
      <c r="AG3" s="33">
        <f t="shared" ref="AG3:AG8" si="2">X3/J3</f>
        <v>1.8223743586711409</v>
      </c>
      <c r="AH3" s="25">
        <f>(AA3-M3)/M3</f>
        <v>0.82237435867114117</v>
      </c>
      <c r="AI3" s="25">
        <f>AA3/M3</f>
        <v>1.8223743586711412</v>
      </c>
      <c r="AJ3" s="32">
        <f>(V3-H3)/H3</f>
        <v>0</v>
      </c>
      <c r="AK3" s="25">
        <f>V3/H3</f>
        <v>1</v>
      </c>
    </row>
    <row r="4" spans="1:37" x14ac:dyDescent="0.35">
      <c r="A4" s="1">
        <v>2</v>
      </c>
      <c r="B4" t="s">
        <v>13</v>
      </c>
      <c r="C4" t="s">
        <v>16</v>
      </c>
      <c r="D4" s="16" t="s">
        <v>19</v>
      </c>
      <c r="E4" t="s">
        <v>23</v>
      </c>
      <c r="F4">
        <v>2050</v>
      </c>
      <c r="G4" t="s">
        <v>60</v>
      </c>
      <c r="H4">
        <v>4.6246929599690588E-2</v>
      </c>
      <c r="I4" t="s">
        <v>52</v>
      </c>
      <c r="J4">
        <v>5.2412578030263659E-4</v>
      </c>
      <c r="K4" t="s">
        <v>25</v>
      </c>
      <c r="L4">
        <v>4.066923987385114E-2</v>
      </c>
      <c r="M4">
        <v>1.1333201681482941E-2</v>
      </c>
      <c r="N4">
        <v>0.87939329650380249</v>
      </c>
      <c r="O4" s="1">
        <v>2</v>
      </c>
      <c r="P4" t="s">
        <v>12</v>
      </c>
      <c r="Q4" t="s">
        <v>16</v>
      </c>
      <c r="R4" s="23" t="s">
        <v>18</v>
      </c>
      <c r="S4" t="s">
        <v>23</v>
      </c>
      <c r="T4">
        <v>2050</v>
      </c>
      <c r="U4" t="s">
        <v>60</v>
      </c>
      <c r="V4">
        <v>4.6246929599690588E-2</v>
      </c>
      <c r="W4" t="s">
        <v>52</v>
      </c>
      <c r="X4">
        <v>1.251167244888981E-2</v>
      </c>
      <c r="Y4" t="s">
        <v>25</v>
      </c>
      <c r="Z4">
        <v>0.44246264226645537</v>
      </c>
      <c r="AA4">
        <v>0.27054060793202389</v>
      </c>
      <c r="AB4">
        <v>9.5673949837616004</v>
      </c>
      <c r="AD4" t="s">
        <v>60</v>
      </c>
      <c r="AE4" s="32">
        <f t="shared" si="0"/>
        <v>0.93016682118222582</v>
      </c>
      <c r="AF4" s="32">
        <f t="shared" si="1"/>
        <v>22.871507411189388</v>
      </c>
      <c r="AG4" s="33">
        <f t="shared" si="2"/>
        <v>23.871507411189388</v>
      </c>
      <c r="AH4" s="25">
        <f>(AA4-M4)/M4</f>
        <v>22.871507411189373</v>
      </c>
      <c r="AI4" s="25">
        <f>AA4/M4</f>
        <v>23.871507411189373</v>
      </c>
      <c r="AJ4" s="32">
        <f>(V4-H4)/H4</f>
        <v>0</v>
      </c>
      <c r="AK4" s="25">
        <f>V4/H4</f>
        <v>1</v>
      </c>
    </row>
    <row r="5" spans="1:37" x14ac:dyDescent="0.35">
      <c r="A5" s="1">
        <v>3</v>
      </c>
      <c r="B5" t="s">
        <v>13</v>
      </c>
      <c r="C5" t="s">
        <v>16</v>
      </c>
      <c r="D5" s="16" t="s">
        <v>19</v>
      </c>
      <c r="E5" t="s">
        <v>23</v>
      </c>
      <c r="F5">
        <v>2050</v>
      </c>
      <c r="G5" t="s">
        <v>61</v>
      </c>
      <c r="H5">
        <v>3.1242684515255099E-2</v>
      </c>
      <c r="I5" t="s">
        <v>52</v>
      </c>
      <c r="J5">
        <v>4.026408275910699E-4</v>
      </c>
      <c r="K5" t="s">
        <v>25</v>
      </c>
      <c r="L5">
        <v>3.1242684515255061E-2</v>
      </c>
      <c r="M5">
        <v>1.2887523394299541E-2</v>
      </c>
      <c r="N5">
        <v>1</v>
      </c>
      <c r="O5" s="1">
        <v>3</v>
      </c>
      <c r="P5" t="s">
        <v>12</v>
      </c>
      <c r="Q5" t="s">
        <v>16</v>
      </c>
      <c r="R5" s="23" t="s">
        <v>18</v>
      </c>
      <c r="S5" t="s">
        <v>23</v>
      </c>
      <c r="T5">
        <v>2050</v>
      </c>
      <c r="U5" t="s">
        <v>61</v>
      </c>
      <c r="V5">
        <v>3.1242684515255099E-2</v>
      </c>
      <c r="W5" t="s">
        <v>52</v>
      </c>
      <c r="X5">
        <v>8.8346042747597744E-4</v>
      </c>
      <c r="Y5" t="s">
        <v>25</v>
      </c>
      <c r="Z5">
        <v>3.1242684515255081E-2</v>
      </c>
      <c r="AA5">
        <v>2.827735328072092E-2</v>
      </c>
      <c r="AB5">
        <v>1</v>
      </c>
      <c r="AD5" t="s">
        <v>61</v>
      </c>
      <c r="AE5" s="32">
        <f t="shared" si="0"/>
        <v>3.7308921596028721E-2</v>
      </c>
      <c r="AF5" s="32">
        <f t="shared" si="1"/>
        <v>1.1941650397491175</v>
      </c>
      <c r="AG5" s="33">
        <f t="shared" si="2"/>
        <v>2.1941650397491173</v>
      </c>
      <c r="AH5" s="25">
        <f>(AA5-M5)/M5</f>
        <v>1.1941650397491166</v>
      </c>
      <c r="AI5" s="25">
        <f>AA5/M5</f>
        <v>2.1941650397491164</v>
      </c>
      <c r="AJ5" s="32">
        <f>(V5-H5)/H5</f>
        <v>0</v>
      </c>
      <c r="AK5" s="25">
        <f>V5/H5</f>
        <v>1</v>
      </c>
    </row>
    <row r="6" spans="1:37" x14ac:dyDescent="0.35">
      <c r="A6" s="1">
        <v>4</v>
      </c>
      <c r="B6" t="s">
        <v>13</v>
      </c>
      <c r="C6" t="s">
        <v>16</v>
      </c>
      <c r="D6" s="16" t="s">
        <v>19</v>
      </c>
      <c r="E6" t="s">
        <v>23</v>
      </c>
      <c r="F6">
        <v>2050</v>
      </c>
      <c r="G6" t="s">
        <v>62</v>
      </c>
      <c r="H6">
        <v>6.0394699999999996E-9</v>
      </c>
      <c r="I6" t="s">
        <v>53</v>
      </c>
      <c r="J6">
        <v>6.3497027616850354E-4</v>
      </c>
      <c r="K6" t="s">
        <v>25</v>
      </c>
      <c r="L6">
        <v>4.9270155074897147E-2</v>
      </c>
      <c r="M6">
        <v>105136.754743132</v>
      </c>
      <c r="N6">
        <v>8158026.2961645965</v>
      </c>
      <c r="O6" s="1">
        <v>4</v>
      </c>
      <c r="P6" t="s">
        <v>12</v>
      </c>
      <c r="Q6" t="s">
        <v>16</v>
      </c>
      <c r="R6" s="23" t="s">
        <v>18</v>
      </c>
      <c r="S6" t="s">
        <v>23</v>
      </c>
      <c r="T6">
        <v>2050</v>
      </c>
      <c r="U6" t="s">
        <v>62</v>
      </c>
      <c r="V6">
        <v>6.0394699999999996E-9</v>
      </c>
      <c r="W6" t="s">
        <v>53</v>
      </c>
      <c r="X6">
        <v>8.2412398336450718E-4</v>
      </c>
      <c r="Y6" t="s">
        <v>25</v>
      </c>
      <c r="Z6">
        <v>2.914431118015498E-2</v>
      </c>
      <c r="AA6">
        <v>136456.3419247893</v>
      </c>
      <c r="AB6">
        <v>4825640.5247736964</v>
      </c>
      <c r="AD6" t="s">
        <v>62</v>
      </c>
      <c r="AE6" s="32">
        <f t="shared" si="0"/>
        <v>1.4677273624168229E-2</v>
      </c>
      <c r="AF6" s="32">
        <f t="shared" si="1"/>
        <v>0.29789379801741694</v>
      </c>
      <c r="AG6" s="33">
        <f t="shared" si="2"/>
        <v>1.297893798017417</v>
      </c>
      <c r="AH6" s="25">
        <f>(AA6-M6)/M6</f>
        <v>0.29789379801741733</v>
      </c>
      <c r="AI6" s="25">
        <f>AA6/M6</f>
        <v>1.2978937980174172</v>
      </c>
      <c r="AJ6" s="32">
        <f>(V6-H6)/H6</f>
        <v>0</v>
      </c>
      <c r="AK6" s="25">
        <f>V6/H6</f>
        <v>1</v>
      </c>
    </row>
    <row r="7" spans="1:37" x14ac:dyDescent="0.35">
      <c r="A7" s="1">
        <v>5</v>
      </c>
      <c r="B7" t="s">
        <v>13</v>
      </c>
      <c r="C7" t="s">
        <v>16</v>
      </c>
      <c r="D7" s="16" t="s">
        <v>19</v>
      </c>
      <c r="E7" t="s">
        <v>23</v>
      </c>
      <c r="F7">
        <v>2050</v>
      </c>
      <c r="G7" t="s">
        <v>63</v>
      </c>
      <c r="J7">
        <v>1.3649999706831469E-3</v>
      </c>
      <c r="K7" t="s">
        <v>25</v>
      </c>
      <c r="L7">
        <v>0.10591639129725509</v>
      </c>
      <c r="O7" s="1">
        <v>5</v>
      </c>
      <c r="P7" t="s">
        <v>12</v>
      </c>
      <c r="Q7" t="s">
        <v>16</v>
      </c>
      <c r="R7" s="23" t="s">
        <v>18</v>
      </c>
      <c r="S7" t="s">
        <v>23</v>
      </c>
      <c r="T7">
        <v>2050</v>
      </c>
      <c r="U7" t="s">
        <v>63</v>
      </c>
      <c r="X7">
        <v>1.3650003260061269E-3</v>
      </c>
      <c r="Y7" t="s">
        <v>25</v>
      </c>
      <c r="Z7">
        <v>4.8271856013369252E-2</v>
      </c>
      <c r="AD7" t="s">
        <v>63</v>
      </c>
      <c r="AE7" s="32">
        <f t="shared" si="0"/>
        <v>2.7571083221513025E-8</v>
      </c>
      <c r="AF7" s="32">
        <f t="shared" si="1"/>
        <v>2.6030988106585731E-7</v>
      </c>
      <c r="AG7" s="33">
        <f t="shared" si="2"/>
        <v>1.000000260309881</v>
      </c>
      <c r="AH7" s="25">
        <v>0</v>
      </c>
      <c r="AI7" s="25">
        <v>1</v>
      </c>
      <c r="AJ7" s="25">
        <v>0</v>
      </c>
      <c r="AK7" s="25">
        <v>1</v>
      </c>
    </row>
    <row r="8" spans="1:37" x14ac:dyDescent="0.35">
      <c r="A8" s="1">
        <v>6</v>
      </c>
      <c r="B8" t="s">
        <v>13</v>
      </c>
      <c r="C8" t="s">
        <v>16</v>
      </c>
      <c r="D8" s="16" t="s">
        <v>19</v>
      </c>
      <c r="E8" t="s">
        <v>23</v>
      </c>
      <c r="F8">
        <v>2050</v>
      </c>
      <c r="G8" t="s">
        <v>24</v>
      </c>
      <c r="H8">
        <v>1</v>
      </c>
      <c r="I8" t="s">
        <v>52</v>
      </c>
      <c r="J8">
        <v>1.2887523394299541E-2</v>
      </c>
      <c r="K8" t="s">
        <v>25</v>
      </c>
      <c r="L8">
        <v>1</v>
      </c>
      <c r="M8">
        <v>1.2887523394299541E-2</v>
      </c>
      <c r="N8">
        <v>1</v>
      </c>
      <c r="O8" s="1">
        <v>6</v>
      </c>
      <c r="P8" t="s">
        <v>12</v>
      </c>
      <c r="Q8" t="s">
        <v>16</v>
      </c>
      <c r="R8" s="23" t="s">
        <v>18</v>
      </c>
      <c r="S8" t="s">
        <v>23</v>
      </c>
      <c r="T8">
        <v>2050</v>
      </c>
      <c r="U8" t="s">
        <v>24</v>
      </c>
      <c r="V8">
        <v>1</v>
      </c>
      <c r="W8" t="s">
        <v>52</v>
      </c>
      <c r="X8">
        <v>2.827735328072092E-2</v>
      </c>
      <c r="Y8" t="s">
        <v>25</v>
      </c>
      <c r="Z8">
        <v>1</v>
      </c>
      <c r="AA8">
        <v>2.827735328072092E-2</v>
      </c>
      <c r="AB8">
        <v>1</v>
      </c>
      <c r="AD8" t="s">
        <v>94</v>
      </c>
      <c r="AE8" s="32">
        <f>(X8-J8)/J$8</f>
        <v>1.1941650397491166</v>
      </c>
      <c r="AF8" s="32">
        <f t="shared" si="1"/>
        <v>1.1941650397491166</v>
      </c>
      <c r="AG8" s="33">
        <f t="shared" si="2"/>
        <v>2.1941650397491164</v>
      </c>
      <c r="AH8" s="25">
        <f>(AA8-M8)/M8</f>
        <v>1.1941650397491166</v>
      </c>
      <c r="AI8" s="25">
        <f>AA8/M8</f>
        <v>2.1941650397491164</v>
      </c>
      <c r="AJ8" s="26"/>
      <c r="AK8" s="26"/>
    </row>
    <row r="53" spans="3:16" x14ac:dyDescent="0.35">
      <c r="P53" t="s">
        <v>112</v>
      </c>
    </row>
    <row r="54" spans="3:16" x14ac:dyDescent="0.35">
      <c r="P54" t="s">
        <v>111</v>
      </c>
    </row>
    <row r="55" spans="3:16" x14ac:dyDescent="0.35">
      <c r="P55" t="s">
        <v>109</v>
      </c>
    </row>
    <row r="56" spans="3:16" x14ac:dyDescent="0.35">
      <c r="P56" t="s">
        <v>60</v>
      </c>
    </row>
    <row r="57" spans="3:16" x14ac:dyDescent="0.35">
      <c r="P57" t="s">
        <v>110</v>
      </c>
    </row>
    <row r="58" spans="3:16" x14ac:dyDescent="0.35">
      <c r="P58" t="s">
        <v>113</v>
      </c>
    </row>
    <row r="59" spans="3:16" x14ac:dyDescent="0.35">
      <c r="C59" t="s">
        <v>112</v>
      </c>
    </row>
    <row r="60" spans="3:16" x14ac:dyDescent="0.35">
      <c r="C60" t="s">
        <v>111</v>
      </c>
    </row>
    <row r="61" spans="3:16" x14ac:dyDescent="0.35">
      <c r="C61" t="s">
        <v>109</v>
      </c>
    </row>
    <row r="62" spans="3:16" x14ac:dyDescent="0.35">
      <c r="C62" t="s">
        <v>60</v>
      </c>
    </row>
    <row r="63" spans="3:16" x14ac:dyDescent="0.35">
      <c r="C63" t="s">
        <v>110</v>
      </c>
    </row>
    <row r="64" spans="3:16" x14ac:dyDescent="0.35">
      <c r="C64" t="s">
        <v>113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6E95-9569-4EE7-847F-4759C906DFD6}">
  <dimension ref="A1:AK61"/>
  <sheetViews>
    <sheetView topLeftCell="A10" zoomScaleNormal="100" workbookViewId="0">
      <selection activeCell="X58" sqref="X58:X61"/>
    </sheetView>
  </sheetViews>
  <sheetFormatPr baseColWidth="10" defaultRowHeight="14.5" x14ac:dyDescent="0.35"/>
  <cols>
    <col min="4" max="4" width="8.54296875" customWidth="1"/>
    <col min="5" max="5" width="4.54296875" customWidth="1"/>
    <col min="6" max="6" width="3.90625" hidden="1" customWidth="1"/>
    <col min="8" max="8" width="10.54296875" customWidth="1"/>
    <col min="9" max="9" width="10.90625" hidden="1" customWidth="1"/>
    <col min="10" max="10" width="10.54296875" customWidth="1"/>
    <col min="11" max="11" width="10.36328125" hidden="1" customWidth="1"/>
    <col min="12" max="12" width="10.453125" customWidth="1"/>
    <col min="13" max="13" width="13" customWidth="1"/>
    <col min="14" max="14" width="18.08984375" customWidth="1"/>
    <col min="18" max="18" width="6.6328125" customWidth="1"/>
    <col min="19" max="19" width="3.90625" customWidth="1"/>
    <col min="20" max="20" width="4.6328125" hidden="1" customWidth="1"/>
    <col min="30" max="30" width="24.1796875" customWidth="1"/>
    <col min="31" max="31" width="11.26953125" bestFit="1" customWidth="1"/>
    <col min="32" max="32" width="7.7265625" bestFit="1" customWidth="1"/>
    <col min="33" max="33" width="7.08984375" bestFit="1" customWidth="1"/>
    <col min="34" max="34" width="14.26953125" bestFit="1" customWidth="1"/>
    <col min="35" max="35" width="8.08984375" customWidth="1"/>
    <col min="36" max="36" width="7.7265625" bestFit="1" customWidth="1"/>
  </cols>
  <sheetData>
    <row r="1" spans="1:37" ht="64.5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6</v>
      </c>
      <c r="K1" s="1" t="s">
        <v>29</v>
      </c>
      <c r="L1" s="1" t="s">
        <v>30</v>
      </c>
      <c r="M1" s="1" t="s">
        <v>31</v>
      </c>
      <c r="N1" s="1" t="s">
        <v>32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27</v>
      </c>
      <c r="W1" s="1" t="s">
        <v>28</v>
      </c>
      <c r="X1" s="1" t="s">
        <v>6</v>
      </c>
      <c r="Y1" s="1" t="s">
        <v>29</v>
      </c>
      <c r="Z1" s="1" t="s">
        <v>30</v>
      </c>
      <c r="AA1" s="1" t="s">
        <v>31</v>
      </c>
      <c r="AB1" s="1" t="s">
        <v>32</v>
      </c>
      <c r="AD1" s="27"/>
      <c r="AE1" s="24" t="s">
        <v>100</v>
      </c>
      <c r="AF1" s="24" t="s">
        <v>99</v>
      </c>
      <c r="AG1" s="24" t="s">
        <v>98</v>
      </c>
      <c r="AH1" s="24" t="s">
        <v>96</v>
      </c>
      <c r="AI1" s="24" t="s">
        <v>31</v>
      </c>
      <c r="AJ1" s="24" t="s">
        <v>97</v>
      </c>
      <c r="AK1" s="24" t="s">
        <v>27</v>
      </c>
    </row>
    <row r="2" spans="1:37" x14ac:dyDescent="0.35">
      <c r="A2" s="1">
        <v>0</v>
      </c>
      <c r="B2" t="s">
        <v>11</v>
      </c>
      <c r="C2" t="s">
        <v>16</v>
      </c>
      <c r="D2" t="s">
        <v>19</v>
      </c>
      <c r="E2" s="29" t="s">
        <v>22</v>
      </c>
      <c r="F2">
        <v>2050</v>
      </c>
      <c r="G2" t="s">
        <v>58</v>
      </c>
      <c r="H2">
        <v>0.94045641483364362</v>
      </c>
      <c r="I2" t="s">
        <v>52</v>
      </c>
      <c r="J2">
        <v>6.9604571399973026E-3</v>
      </c>
      <c r="K2" t="s">
        <v>25</v>
      </c>
      <c r="L2">
        <v>0.6948039200452486</v>
      </c>
      <c r="M2">
        <v>7.4011480279269834E-3</v>
      </c>
      <c r="N2">
        <v>0.73879438651939278</v>
      </c>
      <c r="O2" s="1">
        <v>0</v>
      </c>
      <c r="P2" t="s">
        <v>10</v>
      </c>
      <c r="Q2" t="s">
        <v>16</v>
      </c>
      <c r="R2" t="s">
        <v>19</v>
      </c>
      <c r="S2" s="28" t="s">
        <v>21</v>
      </c>
      <c r="T2">
        <v>2050</v>
      </c>
      <c r="U2" t="s">
        <v>58</v>
      </c>
      <c r="V2">
        <v>0.86085528276763223</v>
      </c>
      <c r="W2" t="s">
        <v>52</v>
      </c>
      <c r="X2">
        <v>1.062298832594458E-2</v>
      </c>
      <c r="Y2" t="s">
        <v>25</v>
      </c>
      <c r="Z2">
        <v>0.60991609559136006</v>
      </c>
      <c r="AA2">
        <v>1.2340039654274861E-2</v>
      </c>
      <c r="AB2">
        <v>0.70850014839949915</v>
      </c>
      <c r="AD2" t="s">
        <v>58</v>
      </c>
      <c r="AE2" s="32">
        <f>(X2-J2)/J$8</f>
        <v>0.36559969756313032</v>
      </c>
      <c r="AF2" s="32">
        <f>(X2-J2)/J2</f>
        <v>0.52619118432624912</v>
      </c>
      <c r="AG2" s="33">
        <f>X2/J2</f>
        <v>1.5261911843262492</v>
      </c>
      <c r="AH2" s="25">
        <f>(AA2-M2)/M2</f>
        <v>0.66731426093787116</v>
      </c>
      <c r="AI2" s="25">
        <f>AA2/M2</f>
        <v>1.6673142609378711</v>
      </c>
      <c r="AJ2" s="32">
        <f>(V2-H2)/H2</f>
        <v>-8.4640958167202199E-2</v>
      </c>
      <c r="AK2" s="25">
        <f>V2/H2</f>
        <v>0.91535904183279782</v>
      </c>
    </row>
    <row r="3" spans="1:37" x14ac:dyDescent="0.35">
      <c r="A3" s="1">
        <v>1</v>
      </c>
      <c r="B3" t="s">
        <v>11</v>
      </c>
      <c r="C3" t="s">
        <v>16</v>
      </c>
      <c r="D3" t="s">
        <v>19</v>
      </c>
      <c r="E3" s="29" t="s">
        <v>22</v>
      </c>
      <c r="F3">
        <v>2050</v>
      </c>
      <c r="G3" t="s">
        <v>103</v>
      </c>
      <c r="H3">
        <v>2.4085503535129119E-2</v>
      </c>
      <c r="I3" t="s">
        <v>52</v>
      </c>
      <c r="J3">
        <v>3.426125211802191E-4</v>
      </c>
      <c r="K3" t="s">
        <v>25</v>
      </c>
      <c r="L3">
        <v>3.420012766182972E-2</v>
      </c>
      <c r="M3">
        <v>1.422484361518591E-2</v>
      </c>
      <c r="N3">
        <v>1.419946550502807</v>
      </c>
      <c r="O3" s="1">
        <v>1</v>
      </c>
      <c r="P3" t="s">
        <v>10</v>
      </c>
      <c r="Q3" t="s">
        <v>16</v>
      </c>
      <c r="R3" t="s">
        <v>19</v>
      </c>
      <c r="S3" s="28" t="s">
        <v>21</v>
      </c>
      <c r="T3">
        <v>2050</v>
      </c>
      <c r="U3" t="s">
        <v>103</v>
      </c>
      <c r="V3">
        <v>8.2040494344195497E-2</v>
      </c>
      <c r="W3" t="s">
        <v>52</v>
      </c>
      <c r="X3">
        <v>3.6028255960408209E-3</v>
      </c>
      <c r="Y3" t="s">
        <v>25</v>
      </c>
      <c r="Z3">
        <v>0.20685528904019021</v>
      </c>
      <c r="AA3">
        <v>4.3915210711985758E-2</v>
      </c>
      <c r="AB3">
        <v>2.5213803341108911</v>
      </c>
      <c r="AD3" t="s">
        <v>103</v>
      </c>
      <c r="AE3" s="32">
        <f t="shared" ref="AE3:AE7" si="0">(X3-J3)/J$8</f>
        <v>0.32543966280306702</v>
      </c>
      <c r="AF3" s="32">
        <f t="shared" ref="AF3:AF8" si="1">(X3-J3)/J3</f>
        <v>9.5157440937358011</v>
      </c>
      <c r="AG3" s="33">
        <f t="shared" ref="AG3:AG8" si="2">X3/J3</f>
        <v>10.515744093735801</v>
      </c>
      <c r="AH3" s="25">
        <f>(AA3-M3)/M3</f>
        <v>2.0872192271487275</v>
      </c>
      <c r="AI3" s="25">
        <f>AA3/M3</f>
        <v>3.0872192271487275</v>
      </c>
      <c r="AJ3" s="32">
        <f>(V3-H3)/H3</f>
        <v>2.4062187748966108</v>
      </c>
      <c r="AK3" s="25">
        <f>V3/H3</f>
        <v>3.4062187748966108</v>
      </c>
    </row>
    <row r="4" spans="1:37" x14ac:dyDescent="0.35">
      <c r="A4" s="1">
        <v>2</v>
      </c>
      <c r="B4" t="s">
        <v>11</v>
      </c>
      <c r="C4" t="s">
        <v>16</v>
      </c>
      <c r="D4" t="s">
        <v>19</v>
      </c>
      <c r="E4" s="29" t="s">
        <v>22</v>
      </c>
      <c r="F4">
        <v>2050</v>
      </c>
      <c r="G4" t="s">
        <v>60</v>
      </c>
      <c r="H4">
        <v>3.5458081631227323E-2</v>
      </c>
      <c r="I4" t="s">
        <v>52</v>
      </c>
      <c r="J4">
        <v>4.0184814521954701E-4</v>
      </c>
      <c r="K4" t="s">
        <v>25</v>
      </c>
      <c r="L4">
        <v>4.0113122018529047E-2</v>
      </c>
      <c r="M4">
        <v>1.133304811576852E-2</v>
      </c>
      <c r="N4">
        <v>1.1312829169867491</v>
      </c>
      <c r="O4" s="1">
        <v>2</v>
      </c>
      <c r="P4" t="s">
        <v>10</v>
      </c>
      <c r="Q4" t="s">
        <v>16</v>
      </c>
      <c r="R4" t="s">
        <v>19</v>
      </c>
      <c r="S4" s="28" t="s">
        <v>21</v>
      </c>
      <c r="T4">
        <v>2050</v>
      </c>
      <c r="U4" t="s">
        <v>60</v>
      </c>
      <c r="V4">
        <v>5.7104222888172101E-2</v>
      </c>
      <c r="W4" t="s">
        <v>52</v>
      </c>
      <c r="X4">
        <v>6.4718751670110456E-4</v>
      </c>
      <c r="Y4" t="s">
        <v>25</v>
      </c>
      <c r="Z4">
        <v>3.7158101956843402E-2</v>
      </c>
      <c r="AA4">
        <v>1.1333444077656039E-2</v>
      </c>
      <c r="AB4">
        <v>0.65070672670934648</v>
      </c>
      <c r="AD4" t="s">
        <v>60</v>
      </c>
      <c r="AE4" s="32">
        <f t="shared" si="0"/>
        <v>2.4490166898275007E-2</v>
      </c>
      <c r="AF4" s="32">
        <f t="shared" si="1"/>
        <v>0.6105275696806266</v>
      </c>
      <c r="AG4" s="33">
        <f t="shared" si="2"/>
        <v>1.6105275696806267</v>
      </c>
      <c r="AH4" s="25">
        <f>(AA4-M4)/M4</f>
        <v>3.493869288074518E-5</v>
      </c>
      <c r="AI4" s="25">
        <f>AA4/M4</f>
        <v>1.0000349386928808</v>
      </c>
      <c r="AJ4" s="32">
        <f>(V4-H4)/H4</f>
        <v>0.61047130191841492</v>
      </c>
      <c r="AK4" s="25">
        <f>V4/H4</f>
        <v>1.6104713019184149</v>
      </c>
    </row>
    <row r="5" spans="1:37" x14ac:dyDescent="0.35">
      <c r="A5" s="1">
        <v>3</v>
      </c>
      <c r="B5" t="s">
        <v>11</v>
      </c>
      <c r="C5" t="s">
        <v>16</v>
      </c>
      <c r="D5" t="s">
        <v>19</v>
      </c>
      <c r="E5" s="29" t="s">
        <v>22</v>
      </c>
      <c r="F5">
        <v>2050</v>
      </c>
      <c r="G5" t="s">
        <v>61</v>
      </c>
      <c r="H5">
        <v>3.1242684515255099E-2</v>
      </c>
      <c r="I5" t="s">
        <v>52</v>
      </c>
      <c r="J5">
        <v>3.1298523257141108E-4</v>
      </c>
      <c r="K5" t="s">
        <v>25</v>
      </c>
      <c r="L5">
        <v>3.1242684515255061E-2</v>
      </c>
      <c r="M5">
        <v>1.0017872581294589E-2</v>
      </c>
      <c r="N5">
        <v>1</v>
      </c>
      <c r="O5" s="1">
        <v>3</v>
      </c>
      <c r="P5" t="s">
        <v>10</v>
      </c>
      <c r="Q5" t="s">
        <v>16</v>
      </c>
      <c r="R5" t="s">
        <v>19</v>
      </c>
      <c r="S5" s="28" t="s">
        <v>21</v>
      </c>
      <c r="T5">
        <v>2050</v>
      </c>
      <c r="U5" t="s">
        <v>61</v>
      </c>
      <c r="V5">
        <v>3.1242684515255099E-2</v>
      </c>
      <c r="W5" t="s">
        <v>52</v>
      </c>
      <c r="X5">
        <v>5.4415791823780445E-4</v>
      </c>
      <c r="Y5" t="s">
        <v>25</v>
      </c>
      <c r="Z5">
        <v>3.1242684515255081E-2</v>
      </c>
      <c r="AA5">
        <v>1.7417130655725321E-2</v>
      </c>
      <c r="AB5">
        <v>1</v>
      </c>
      <c r="AD5" t="s">
        <v>61</v>
      </c>
      <c r="AE5" s="32">
        <f t="shared" si="0"/>
        <v>2.3076025752018437E-2</v>
      </c>
      <c r="AF5" s="32">
        <f t="shared" si="1"/>
        <v>0.73860572835061389</v>
      </c>
      <c r="AG5" s="33">
        <f t="shared" si="2"/>
        <v>1.738605728350614</v>
      </c>
      <c r="AH5" s="25">
        <f>(AA5-M5)/M5</f>
        <v>0.73860572835061356</v>
      </c>
      <c r="AI5" s="25">
        <f>AA5/M5</f>
        <v>1.7386057283506136</v>
      </c>
      <c r="AJ5" s="32">
        <f>(V5-H5)/H5</f>
        <v>0</v>
      </c>
      <c r="AK5" s="25">
        <f>V5/H5</f>
        <v>1</v>
      </c>
    </row>
    <row r="6" spans="1:37" x14ac:dyDescent="0.35">
      <c r="A6" s="1">
        <v>4</v>
      </c>
      <c r="B6" t="s">
        <v>11</v>
      </c>
      <c r="C6" t="s">
        <v>16</v>
      </c>
      <c r="D6" t="s">
        <v>19</v>
      </c>
      <c r="E6" s="29" t="s">
        <v>22</v>
      </c>
      <c r="F6">
        <v>2050</v>
      </c>
      <c r="G6" t="s">
        <v>62</v>
      </c>
      <c r="H6">
        <v>6.0394699999999996E-9</v>
      </c>
      <c r="I6" t="s">
        <v>53</v>
      </c>
      <c r="J6">
        <v>6.3496960479894832E-4</v>
      </c>
      <c r="K6" t="s">
        <v>25</v>
      </c>
      <c r="L6">
        <v>6.338367748703104E-2</v>
      </c>
      <c r="M6">
        <v>105136.64357947771</v>
      </c>
      <c r="N6">
        <v>10494907.249647919</v>
      </c>
      <c r="O6" s="1">
        <v>4</v>
      </c>
      <c r="P6" t="s">
        <v>10</v>
      </c>
      <c r="Q6" t="s">
        <v>16</v>
      </c>
      <c r="R6" t="s">
        <v>19</v>
      </c>
      <c r="S6" s="28" t="s">
        <v>21</v>
      </c>
      <c r="T6">
        <v>2050</v>
      </c>
      <c r="U6" t="s">
        <v>62</v>
      </c>
      <c r="V6">
        <v>6.0394699999999996E-9</v>
      </c>
      <c r="W6" t="s">
        <v>53</v>
      </c>
      <c r="X6">
        <v>6.3497133589339894E-4</v>
      </c>
      <c r="Y6" t="s">
        <v>25</v>
      </c>
      <c r="Z6">
        <v>3.6456713131716237E-2</v>
      </c>
      <c r="AA6">
        <v>105136.93020967051</v>
      </c>
      <c r="AB6">
        <v>6036409.3424946629</v>
      </c>
      <c r="AD6" t="s">
        <v>62</v>
      </c>
      <c r="AE6" s="32">
        <f t="shared" si="0"/>
        <v>1.7280060577452164E-7</v>
      </c>
      <c r="AF6" s="32">
        <f t="shared" si="1"/>
        <v>2.7262634896796292E-6</v>
      </c>
      <c r="AG6" s="33">
        <f t="shared" si="2"/>
        <v>1.0000027262634896</v>
      </c>
      <c r="AH6" s="25">
        <f>(AA6-M6)/M6</f>
        <v>2.7262634895128705E-6</v>
      </c>
      <c r="AI6" s="25">
        <f>AA6/M6</f>
        <v>1.0000027262634894</v>
      </c>
      <c r="AJ6" s="32">
        <f>(V6-H6)/H6</f>
        <v>0</v>
      </c>
      <c r="AK6" s="25">
        <f>V6/H6</f>
        <v>1</v>
      </c>
    </row>
    <row r="7" spans="1:37" x14ac:dyDescent="0.35">
      <c r="A7" s="1">
        <v>5</v>
      </c>
      <c r="B7" t="s">
        <v>11</v>
      </c>
      <c r="C7" t="s">
        <v>16</v>
      </c>
      <c r="D7" t="s">
        <v>19</v>
      </c>
      <c r="E7" s="29" t="s">
        <v>22</v>
      </c>
      <c r="F7">
        <v>2050</v>
      </c>
      <c r="G7" t="s">
        <v>63</v>
      </c>
      <c r="J7">
        <v>1.364999937527164E-3</v>
      </c>
      <c r="K7" t="s">
        <v>25</v>
      </c>
      <c r="L7">
        <v>0.13625646827210669</v>
      </c>
      <c r="O7" s="1">
        <v>5</v>
      </c>
      <c r="P7" t="s">
        <v>10</v>
      </c>
      <c r="Q7" t="s">
        <v>16</v>
      </c>
      <c r="R7" t="s">
        <v>19</v>
      </c>
      <c r="S7" s="28" t="s">
        <v>21</v>
      </c>
      <c r="T7">
        <v>2050</v>
      </c>
      <c r="U7" t="s">
        <v>63</v>
      </c>
      <c r="X7">
        <v>1.3649999629076169E-3</v>
      </c>
      <c r="Y7" t="s">
        <v>25</v>
      </c>
      <c r="Z7">
        <v>7.8371115764634847E-2</v>
      </c>
      <c r="AD7" t="s">
        <v>63</v>
      </c>
      <c r="AE7" s="32">
        <f t="shared" si="0"/>
        <v>2.5335172454712202E-9</v>
      </c>
      <c r="AF7" s="32">
        <f t="shared" si="1"/>
        <v>1.8593739274173445E-8</v>
      </c>
      <c r="AG7" s="33">
        <f t="shared" si="2"/>
        <v>1.0000000185937392</v>
      </c>
      <c r="AH7" s="25">
        <v>0</v>
      </c>
      <c r="AI7" s="25">
        <v>1</v>
      </c>
      <c r="AJ7" s="25">
        <v>0</v>
      </c>
      <c r="AK7" s="25">
        <v>1</v>
      </c>
    </row>
    <row r="8" spans="1:37" x14ac:dyDescent="0.35">
      <c r="A8" s="1">
        <v>6</v>
      </c>
      <c r="B8" t="s">
        <v>11</v>
      </c>
      <c r="C8" t="s">
        <v>16</v>
      </c>
      <c r="D8" t="s">
        <v>19</v>
      </c>
      <c r="E8" s="29" t="s">
        <v>22</v>
      </c>
      <c r="F8">
        <v>2050</v>
      </c>
      <c r="G8" t="s">
        <v>24</v>
      </c>
      <c r="H8">
        <v>1</v>
      </c>
      <c r="I8" t="s">
        <v>52</v>
      </c>
      <c r="J8">
        <v>1.0017872581294589E-2</v>
      </c>
      <c r="K8" t="s">
        <v>25</v>
      </c>
      <c r="L8">
        <v>1</v>
      </c>
      <c r="M8">
        <v>1.0017872581294589E-2</v>
      </c>
      <c r="N8">
        <v>1</v>
      </c>
      <c r="O8" s="1">
        <v>6</v>
      </c>
      <c r="P8" t="s">
        <v>10</v>
      </c>
      <c r="Q8" t="s">
        <v>16</v>
      </c>
      <c r="R8" t="s">
        <v>19</v>
      </c>
      <c r="S8" s="28" t="s">
        <v>21</v>
      </c>
      <c r="T8">
        <v>2050</v>
      </c>
      <c r="U8" t="s">
        <v>24</v>
      </c>
      <c r="V8">
        <v>1</v>
      </c>
      <c r="W8" t="s">
        <v>52</v>
      </c>
      <c r="X8">
        <v>1.7417130655725321E-2</v>
      </c>
      <c r="Y8" t="s">
        <v>25</v>
      </c>
      <c r="Z8">
        <v>1</v>
      </c>
      <c r="AA8">
        <v>1.7417130655725321E-2</v>
      </c>
      <c r="AB8">
        <v>1</v>
      </c>
      <c r="AD8" t="s">
        <v>94</v>
      </c>
      <c r="AE8" s="32">
        <f>(X8-J8)/J$8</f>
        <v>0.73860572835061356</v>
      </c>
      <c r="AF8" s="32">
        <f t="shared" si="1"/>
        <v>0.73860572835061356</v>
      </c>
      <c r="AG8" s="33">
        <f t="shared" si="2"/>
        <v>1.7386057283506136</v>
      </c>
      <c r="AH8" s="25">
        <f>(AA8-M8)/M8</f>
        <v>0.73860572835061356</v>
      </c>
      <c r="AI8" s="25">
        <f>AA8/M8</f>
        <v>1.7386057283506136</v>
      </c>
      <c r="AJ8" s="26"/>
      <c r="AK8" s="26"/>
    </row>
    <row r="10" spans="1:37" x14ac:dyDescent="0.35">
      <c r="M10">
        <f>12.34/M2/1000</f>
        <v>1.667308903083291</v>
      </c>
    </row>
    <row r="32" spans="2:14" x14ac:dyDescent="0.35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</row>
    <row r="33" spans="1:1" x14ac:dyDescent="0.35">
      <c r="A33" s="34"/>
    </row>
    <row r="34" spans="1:1" x14ac:dyDescent="0.35">
      <c r="A34" s="34"/>
    </row>
    <row r="35" spans="1:1" x14ac:dyDescent="0.35">
      <c r="A35" s="34"/>
    </row>
    <row r="36" spans="1:1" x14ac:dyDescent="0.35">
      <c r="A36" s="34"/>
    </row>
    <row r="37" spans="1:1" x14ac:dyDescent="0.35">
      <c r="A37" s="34"/>
    </row>
    <row r="38" spans="1:1" x14ac:dyDescent="0.35">
      <c r="A38" s="34"/>
    </row>
    <row r="39" spans="1:1" x14ac:dyDescent="0.35">
      <c r="A39" s="34"/>
    </row>
    <row r="53" spans="7:24" x14ac:dyDescent="0.35">
      <c r="X53" t="s">
        <v>112</v>
      </c>
    </row>
    <row r="54" spans="7:24" x14ac:dyDescent="0.35">
      <c r="X54" t="s">
        <v>111</v>
      </c>
    </row>
    <row r="55" spans="7:24" x14ac:dyDescent="0.35">
      <c r="G55" t="s">
        <v>112</v>
      </c>
    </row>
    <row r="56" spans="7:24" x14ac:dyDescent="0.35">
      <c r="G56" t="s">
        <v>111</v>
      </c>
    </row>
    <row r="57" spans="7:24" x14ac:dyDescent="0.35">
      <c r="G57" t="s">
        <v>109</v>
      </c>
    </row>
    <row r="58" spans="7:24" x14ac:dyDescent="0.35">
      <c r="G58" t="s">
        <v>60</v>
      </c>
      <c r="X58" t="s">
        <v>113</v>
      </c>
    </row>
    <row r="59" spans="7:24" x14ac:dyDescent="0.35">
      <c r="G59" t="s">
        <v>110</v>
      </c>
      <c r="X59" t="s">
        <v>110</v>
      </c>
    </row>
    <row r="60" spans="7:24" x14ac:dyDescent="0.35">
      <c r="G60" t="s">
        <v>113</v>
      </c>
      <c r="X60" t="s">
        <v>60</v>
      </c>
    </row>
    <row r="61" spans="7:24" x14ac:dyDescent="0.35">
      <c r="X61" t="s">
        <v>109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8EDF-F248-4A29-9C8F-B5E580919290}">
  <dimension ref="A1:AK66"/>
  <sheetViews>
    <sheetView zoomScaleNormal="100" workbookViewId="0">
      <selection activeCell="Q71" sqref="Q71"/>
    </sheetView>
  </sheetViews>
  <sheetFormatPr baseColWidth="10" defaultRowHeight="14.5" x14ac:dyDescent="0.35"/>
  <cols>
    <col min="4" max="4" width="8.54296875" customWidth="1"/>
    <col min="5" max="5" width="4.54296875" customWidth="1"/>
    <col min="6" max="6" width="3.90625" hidden="1" customWidth="1"/>
    <col min="8" max="8" width="10.54296875" customWidth="1"/>
    <col min="9" max="9" width="10.90625" hidden="1" customWidth="1"/>
    <col min="10" max="10" width="10.54296875" customWidth="1"/>
    <col min="11" max="11" width="10.36328125" hidden="1" customWidth="1"/>
    <col min="12" max="12" width="10.453125" customWidth="1"/>
    <col min="13" max="13" width="13" customWidth="1"/>
    <col min="14" max="14" width="18.08984375" customWidth="1"/>
    <col min="18" max="18" width="6.6328125" customWidth="1"/>
    <col min="19" max="19" width="3.90625" customWidth="1"/>
    <col min="20" max="20" width="4.6328125" hidden="1" customWidth="1"/>
    <col min="30" max="30" width="24.1796875" customWidth="1"/>
    <col min="31" max="31" width="11.26953125" bestFit="1" customWidth="1"/>
    <col min="32" max="32" width="7.7265625" bestFit="1" customWidth="1"/>
    <col min="33" max="33" width="7.08984375" bestFit="1" customWidth="1"/>
    <col min="34" max="34" width="14.26953125" bestFit="1" customWidth="1"/>
    <col min="35" max="35" width="8.08984375" customWidth="1"/>
    <col min="36" max="36" width="7.7265625" bestFit="1" customWidth="1"/>
  </cols>
  <sheetData>
    <row r="1" spans="1:37" ht="64.5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6</v>
      </c>
      <c r="K1" s="1" t="s">
        <v>29</v>
      </c>
      <c r="L1" s="1" t="s">
        <v>30</v>
      </c>
      <c r="M1" s="1" t="s">
        <v>31</v>
      </c>
      <c r="N1" s="1" t="s">
        <v>32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27</v>
      </c>
      <c r="W1" s="1" t="s">
        <v>28</v>
      </c>
      <c r="X1" s="1" t="s">
        <v>6</v>
      </c>
      <c r="Y1" s="1" t="s">
        <v>29</v>
      </c>
      <c r="Z1" s="1" t="s">
        <v>30</v>
      </c>
      <c r="AA1" s="1" t="s">
        <v>31</v>
      </c>
      <c r="AB1" s="1" t="s">
        <v>32</v>
      </c>
      <c r="AD1" s="27"/>
      <c r="AE1" s="24" t="s">
        <v>100</v>
      </c>
      <c r="AF1" s="24" t="s">
        <v>99</v>
      </c>
      <c r="AG1" s="24" t="s">
        <v>98</v>
      </c>
      <c r="AH1" s="24" t="s">
        <v>96</v>
      </c>
      <c r="AI1" s="24" t="s">
        <v>31</v>
      </c>
      <c r="AJ1" s="24" t="s">
        <v>97</v>
      </c>
      <c r="AK1" s="24" t="s">
        <v>27</v>
      </c>
    </row>
    <row r="2" spans="1:37" x14ac:dyDescent="0.35">
      <c r="A2" s="1">
        <v>0</v>
      </c>
      <c r="B2" t="s">
        <v>9</v>
      </c>
      <c r="C2" t="s">
        <v>16</v>
      </c>
      <c r="D2" t="s">
        <v>18</v>
      </c>
      <c r="E2" s="29" t="s">
        <v>22</v>
      </c>
      <c r="F2">
        <v>2050</v>
      </c>
      <c r="G2" t="s">
        <v>58</v>
      </c>
      <c r="H2">
        <v>0.94045641483364362</v>
      </c>
      <c r="I2" t="s">
        <v>52</v>
      </c>
      <c r="J2">
        <v>8.5595628134413817E-3</v>
      </c>
      <c r="K2" t="s">
        <v>25</v>
      </c>
      <c r="L2">
        <v>0.39364663212177958</v>
      </c>
      <c r="M2">
        <v>9.1014986749337803E-3</v>
      </c>
      <c r="N2">
        <v>0.41856977730478989</v>
      </c>
      <c r="O2" s="1">
        <v>0</v>
      </c>
      <c r="P2" t="s">
        <v>8</v>
      </c>
      <c r="Q2" t="s">
        <v>16</v>
      </c>
      <c r="R2" t="s">
        <v>18</v>
      </c>
      <c r="S2" s="28" t="s">
        <v>21</v>
      </c>
      <c r="T2">
        <v>2050</v>
      </c>
      <c r="U2" t="s">
        <v>58</v>
      </c>
      <c r="V2">
        <v>0.86085528276763223</v>
      </c>
      <c r="W2" t="s">
        <v>52</v>
      </c>
      <c r="X2">
        <v>1.236839941812084E-2</v>
      </c>
      <c r="Y2" t="s">
        <v>25</v>
      </c>
      <c r="Z2">
        <v>0.32923343800023469</v>
      </c>
      <c r="AA2">
        <v>1.4367571025825259E-2</v>
      </c>
      <c r="AB2">
        <v>0.38244922763528388</v>
      </c>
      <c r="AD2" t="s">
        <v>58</v>
      </c>
      <c r="AE2" s="32">
        <f t="shared" ref="AE2:AE8" si="0">(X2-J2)/J$8</f>
        <v>0.17516498615791012</v>
      </c>
      <c r="AF2" s="32">
        <f t="shared" ref="AF2:AF8" si="1">(X2-J2)/J2</f>
        <v>0.44498027384042432</v>
      </c>
      <c r="AG2" s="33">
        <f t="shared" ref="AG2:AG8" si="2">X2/J2</f>
        <v>1.4449802738404243</v>
      </c>
      <c r="AH2" s="25">
        <f>(AA2-M2)/M2</f>
        <v>0.57859398094454961</v>
      </c>
      <c r="AI2" s="25">
        <f>AA2/M2</f>
        <v>1.5785939809445495</v>
      </c>
      <c r="AJ2" s="32">
        <f>(V2-H2)/H2</f>
        <v>-8.4640958167202199E-2</v>
      </c>
      <c r="AK2" s="25">
        <f>V2/H2</f>
        <v>0.91535904183279782</v>
      </c>
    </row>
    <row r="3" spans="1:37" x14ac:dyDescent="0.35">
      <c r="A3" s="1">
        <v>1</v>
      </c>
      <c r="B3" t="s">
        <v>9</v>
      </c>
      <c r="C3" t="s">
        <v>16</v>
      </c>
      <c r="D3" t="s">
        <v>18</v>
      </c>
      <c r="E3" s="29" t="s">
        <v>22</v>
      </c>
      <c r="F3">
        <v>2050</v>
      </c>
      <c r="G3" t="s">
        <v>103</v>
      </c>
      <c r="H3">
        <v>2.4085503535129119E-2</v>
      </c>
      <c r="I3" t="s">
        <v>52</v>
      </c>
      <c r="J3">
        <v>7.2340166433419587E-4</v>
      </c>
      <c r="K3" t="s">
        <v>25</v>
      </c>
      <c r="L3">
        <v>3.3268595025585927E-2</v>
      </c>
      <c r="M3">
        <v>3.0034732854104639E-2</v>
      </c>
      <c r="N3">
        <v>1.381270479857857</v>
      </c>
      <c r="O3" s="1">
        <v>1</v>
      </c>
      <c r="P3" t="s">
        <v>8</v>
      </c>
      <c r="Q3" t="s">
        <v>16</v>
      </c>
      <c r="R3" t="s">
        <v>18</v>
      </c>
      <c r="S3" s="28" t="s">
        <v>21</v>
      </c>
      <c r="T3">
        <v>2050</v>
      </c>
      <c r="U3" t="s">
        <v>103</v>
      </c>
      <c r="V3">
        <v>8.2040494344195497E-2</v>
      </c>
      <c r="W3" t="s">
        <v>52</v>
      </c>
      <c r="X3">
        <v>6.3870097424183273E-3</v>
      </c>
      <c r="Y3" t="s">
        <v>25</v>
      </c>
      <c r="Z3">
        <v>0.17001530310838431</v>
      </c>
      <c r="AA3">
        <v>7.7851916830511139E-2</v>
      </c>
      <c r="AB3">
        <v>2.072333967115024</v>
      </c>
      <c r="AD3" t="s">
        <v>103</v>
      </c>
      <c r="AE3" s="32">
        <f t="shared" si="0"/>
        <v>0.26046426601304007</v>
      </c>
      <c r="AF3" s="32">
        <f t="shared" si="1"/>
        <v>7.8291333256701874</v>
      </c>
      <c r="AG3" s="33">
        <f t="shared" si="2"/>
        <v>8.8291333256701865</v>
      </c>
      <c r="AH3" s="25">
        <f>(AA3-M3)/M3</f>
        <v>1.5920629029291218</v>
      </c>
      <c r="AI3" s="25">
        <f>AA3/M3</f>
        <v>2.592062902929122</v>
      </c>
      <c r="AJ3" s="32">
        <f>(V3-H3)/H3</f>
        <v>2.4062187748966108</v>
      </c>
      <c r="AK3" s="25">
        <f>V3/H3</f>
        <v>3.4062187748966108</v>
      </c>
    </row>
    <row r="4" spans="1:37" x14ac:dyDescent="0.35">
      <c r="A4" s="1">
        <v>2</v>
      </c>
      <c r="B4" t="s">
        <v>9</v>
      </c>
      <c r="C4" t="s">
        <v>16</v>
      </c>
      <c r="D4" t="s">
        <v>18</v>
      </c>
      <c r="E4" s="29" t="s">
        <v>22</v>
      </c>
      <c r="F4">
        <v>2050</v>
      </c>
      <c r="G4" t="s">
        <v>60</v>
      </c>
      <c r="H4">
        <v>3.5458081631227323E-2</v>
      </c>
      <c r="I4" t="s">
        <v>52</v>
      </c>
      <c r="J4">
        <v>9.5928442604028483E-3</v>
      </c>
      <c r="K4" t="s">
        <v>25</v>
      </c>
      <c r="L4">
        <v>0.44116632097686581</v>
      </c>
      <c r="M4">
        <v>0.27054041897051179</v>
      </c>
      <c r="N4">
        <v>12.44191170760738</v>
      </c>
      <c r="O4" s="1">
        <v>2</v>
      </c>
      <c r="P4" t="s">
        <v>8</v>
      </c>
      <c r="Q4" t="s">
        <v>16</v>
      </c>
      <c r="R4" t="s">
        <v>18</v>
      </c>
      <c r="S4" s="28" t="s">
        <v>21</v>
      </c>
      <c r="T4">
        <v>2050</v>
      </c>
      <c r="U4" t="s">
        <v>60</v>
      </c>
      <c r="V4">
        <v>5.7104222888172101E-2</v>
      </c>
      <c r="W4" t="s">
        <v>52</v>
      </c>
      <c r="X4">
        <v>1.544902651954695E-2</v>
      </c>
      <c r="Y4" t="s">
        <v>25</v>
      </c>
      <c r="Z4">
        <v>0.41123640520011751</v>
      </c>
      <c r="AA4">
        <v>0.2705408766318555</v>
      </c>
      <c r="AB4">
        <v>7.2015060253152736</v>
      </c>
      <c r="AD4" t="s">
        <v>60</v>
      </c>
      <c r="AE4" s="32">
        <f>(X4-J4)/J$8</f>
        <v>0.26932058022675504</v>
      </c>
      <c r="AF4" s="32">
        <f t="shared" si="1"/>
        <v>0.61047402628197922</v>
      </c>
      <c r="AG4" s="33">
        <f t="shared" si="2"/>
        <v>1.6104740262819792</v>
      </c>
      <c r="AH4" s="25">
        <f>(AA4-M4)/M4</f>
        <v>1.6916560765774657E-6</v>
      </c>
      <c r="AI4" s="25">
        <f>AA4/M4</f>
        <v>1.0000016916560766</v>
      </c>
      <c r="AJ4" s="32">
        <f>(V4-H4)/H4</f>
        <v>0.61047130191841492</v>
      </c>
      <c r="AK4" s="25">
        <f>V4/H4</f>
        <v>1.6104713019184149</v>
      </c>
    </row>
    <row r="5" spans="1:37" x14ac:dyDescent="0.35">
      <c r="A5" s="1">
        <v>3</v>
      </c>
      <c r="B5" t="s">
        <v>9</v>
      </c>
      <c r="C5" t="s">
        <v>16</v>
      </c>
      <c r="D5" t="s">
        <v>18</v>
      </c>
      <c r="E5" s="29" t="s">
        <v>22</v>
      </c>
      <c r="F5">
        <v>2050</v>
      </c>
      <c r="G5" t="s">
        <v>61</v>
      </c>
      <c r="H5">
        <v>3.1242684515255099E-2</v>
      </c>
      <c r="I5" t="s">
        <v>52</v>
      </c>
      <c r="J5">
        <v>6.7934969779222612E-4</v>
      </c>
      <c r="K5" t="s">
        <v>25</v>
      </c>
      <c r="L5">
        <v>3.124268451525512E-2</v>
      </c>
      <c r="M5">
        <v>2.174428056784029E-2</v>
      </c>
      <c r="N5">
        <v>1</v>
      </c>
      <c r="O5" s="1">
        <v>3</v>
      </c>
      <c r="P5" t="s">
        <v>8</v>
      </c>
      <c r="Q5" t="s">
        <v>16</v>
      </c>
      <c r="R5" t="s">
        <v>18</v>
      </c>
      <c r="S5" s="28" t="s">
        <v>21</v>
      </c>
      <c r="T5">
        <v>2050</v>
      </c>
      <c r="U5" t="s">
        <v>61</v>
      </c>
      <c r="V5">
        <v>3.1242684515255099E-2</v>
      </c>
      <c r="W5" t="s">
        <v>52</v>
      </c>
      <c r="X5">
        <v>1.173702171098243E-3</v>
      </c>
      <c r="Y5" t="s">
        <v>25</v>
      </c>
      <c r="Z5">
        <v>3.1242684515255081E-2</v>
      </c>
      <c r="AA5">
        <v>3.7567263802992031E-2</v>
      </c>
      <c r="AB5">
        <v>1</v>
      </c>
      <c r="AD5" t="s">
        <v>61</v>
      </c>
      <c r="AE5" s="32">
        <f t="shared" si="0"/>
        <v>2.2734827752230274E-2</v>
      </c>
      <c r="AF5" s="32">
        <f t="shared" si="1"/>
        <v>0.72768483582546728</v>
      </c>
      <c r="AG5" s="33">
        <f t="shared" si="2"/>
        <v>1.7276848358254673</v>
      </c>
      <c r="AH5" s="25">
        <f>(AA5-M5)/M5</f>
        <v>0.72768483582546639</v>
      </c>
      <c r="AI5" s="25">
        <f>AA5/M5</f>
        <v>1.7276848358254664</v>
      </c>
      <c r="AJ5" s="32">
        <f>(V5-H5)/H5</f>
        <v>0</v>
      </c>
      <c r="AK5" s="25">
        <f>V5/H5</f>
        <v>1</v>
      </c>
    </row>
    <row r="6" spans="1:37" x14ac:dyDescent="0.35">
      <c r="A6" s="1">
        <v>4</v>
      </c>
      <c r="B6" t="s">
        <v>9</v>
      </c>
      <c r="C6" t="s">
        <v>16</v>
      </c>
      <c r="D6" t="s">
        <v>18</v>
      </c>
      <c r="E6" s="29" t="s">
        <v>22</v>
      </c>
      <c r="F6">
        <v>2050</v>
      </c>
      <c r="G6" t="s">
        <v>62</v>
      </c>
      <c r="H6">
        <v>6.0394699999999996E-9</v>
      </c>
      <c r="I6" t="s">
        <v>53</v>
      </c>
      <c r="J6">
        <v>8.2412247664768643E-4</v>
      </c>
      <c r="K6" t="s">
        <v>25</v>
      </c>
      <c r="L6">
        <v>3.7900655028640547E-2</v>
      </c>
      <c r="M6">
        <v>136456.09244647069</v>
      </c>
      <c r="N6">
        <v>6275493.549705606</v>
      </c>
      <c r="O6" s="1">
        <v>4</v>
      </c>
      <c r="P6" t="s">
        <v>8</v>
      </c>
      <c r="Q6" t="s">
        <v>16</v>
      </c>
      <c r="R6" t="s">
        <v>18</v>
      </c>
      <c r="S6" s="28" t="s">
        <v>21</v>
      </c>
      <c r="T6">
        <v>2050</v>
      </c>
      <c r="U6" t="s">
        <v>62</v>
      </c>
      <c r="V6">
        <v>6.0394699999999996E-9</v>
      </c>
      <c r="W6" t="s">
        <v>53</v>
      </c>
      <c r="X6">
        <v>8.2412612588840994E-4</v>
      </c>
      <c r="Y6" t="s">
        <v>25</v>
      </c>
      <c r="Z6">
        <v>2.193734763889757E-2</v>
      </c>
      <c r="AA6">
        <v>136456.69667841881</v>
      </c>
      <c r="AB6">
        <v>3632329.9294304941</v>
      </c>
      <c r="AD6" t="s">
        <v>62</v>
      </c>
      <c r="AE6" s="32">
        <f t="shared" si="0"/>
        <v>1.6782531443739975E-7</v>
      </c>
      <c r="AF6" s="32">
        <f t="shared" si="1"/>
        <v>4.4280320303324208E-6</v>
      </c>
      <c r="AG6" s="33">
        <f t="shared" si="2"/>
        <v>1.0000044280320304</v>
      </c>
      <c r="AH6" s="25">
        <f>(AA6-M6)/M6</f>
        <v>4.4280320305765475E-6</v>
      </c>
      <c r="AI6" s="25">
        <f>AA6/M6</f>
        <v>1.0000044280320306</v>
      </c>
      <c r="AJ6" s="32">
        <f>(V6-H6)/H6</f>
        <v>0</v>
      </c>
      <c r="AK6" s="25">
        <f>V6/H6</f>
        <v>1</v>
      </c>
    </row>
    <row r="7" spans="1:37" x14ac:dyDescent="0.35">
      <c r="A7" s="1">
        <v>5</v>
      </c>
      <c r="B7" t="s">
        <v>9</v>
      </c>
      <c r="C7" t="s">
        <v>16</v>
      </c>
      <c r="D7" t="s">
        <v>18</v>
      </c>
      <c r="E7" s="29" t="s">
        <v>22</v>
      </c>
      <c r="F7">
        <v>2050</v>
      </c>
      <c r="G7" t="s">
        <v>63</v>
      </c>
      <c r="J7">
        <v>1.364999655221952E-3</v>
      </c>
      <c r="K7" t="s">
        <v>25</v>
      </c>
      <c r="L7">
        <v>6.2775112331872829E-2</v>
      </c>
      <c r="O7" s="1">
        <v>5</v>
      </c>
      <c r="P7" t="s">
        <v>8</v>
      </c>
      <c r="Q7" t="s">
        <v>16</v>
      </c>
      <c r="R7" t="s">
        <v>18</v>
      </c>
      <c r="S7" s="28" t="s">
        <v>21</v>
      </c>
      <c r="T7">
        <v>2050</v>
      </c>
      <c r="U7" t="s">
        <v>63</v>
      </c>
      <c r="X7">
        <v>1.3649998259192551E-3</v>
      </c>
      <c r="Y7" t="s">
        <v>25</v>
      </c>
      <c r="Z7">
        <v>3.6334821537110762E-2</v>
      </c>
      <c r="AD7" t="s">
        <v>63</v>
      </c>
      <c r="AE7" s="32">
        <f t="shared" si="0"/>
        <v>7.8502161774460606E-9</v>
      </c>
      <c r="AF7" s="32">
        <f t="shared" si="1"/>
        <v>1.2505300087627501E-7</v>
      </c>
      <c r="AG7" s="33">
        <f t="shared" si="2"/>
        <v>1.0000001250530008</v>
      </c>
      <c r="AH7" s="25">
        <v>0</v>
      </c>
      <c r="AI7" s="25">
        <v>1</v>
      </c>
      <c r="AJ7" s="25">
        <v>0</v>
      </c>
      <c r="AK7" s="25">
        <v>1</v>
      </c>
    </row>
    <row r="8" spans="1:37" x14ac:dyDescent="0.35">
      <c r="A8" s="1">
        <v>6</v>
      </c>
      <c r="B8" t="s">
        <v>9</v>
      </c>
      <c r="C8" t="s">
        <v>16</v>
      </c>
      <c r="D8" t="s">
        <v>18</v>
      </c>
      <c r="E8" s="29" t="s">
        <v>22</v>
      </c>
      <c r="F8">
        <v>2050</v>
      </c>
      <c r="G8" t="s">
        <v>24</v>
      </c>
      <c r="H8">
        <v>1</v>
      </c>
      <c r="I8" t="s">
        <v>52</v>
      </c>
      <c r="J8">
        <v>2.174428056784029E-2</v>
      </c>
      <c r="K8" t="s">
        <v>25</v>
      </c>
      <c r="L8">
        <v>1</v>
      </c>
      <c r="M8">
        <v>2.174428056784029E-2</v>
      </c>
      <c r="N8">
        <v>1</v>
      </c>
      <c r="O8" s="1">
        <v>6</v>
      </c>
      <c r="P8" t="s">
        <v>8</v>
      </c>
      <c r="Q8" t="s">
        <v>16</v>
      </c>
      <c r="R8" t="s">
        <v>18</v>
      </c>
      <c r="S8" s="28" t="s">
        <v>21</v>
      </c>
      <c r="T8">
        <v>2050</v>
      </c>
      <c r="U8" t="s">
        <v>24</v>
      </c>
      <c r="V8">
        <v>1</v>
      </c>
      <c r="W8" t="s">
        <v>52</v>
      </c>
      <c r="X8">
        <v>3.7567263802992031E-2</v>
      </c>
      <c r="Y8" t="s">
        <v>25</v>
      </c>
      <c r="Z8">
        <v>1</v>
      </c>
      <c r="AA8">
        <v>3.7567263802992031E-2</v>
      </c>
      <c r="AB8">
        <v>1</v>
      </c>
      <c r="AD8" t="s">
        <v>94</v>
      </c>
      <c r="AE8" s="32">
        <f t="shared" si="0"/>
        <v>0.72768483582546639</v>
      </c>
      <c r="AF8" s="32">
        <f t="shared" si="1"/>
        <v>0.72768483582546639</v>
      </c>
      <c r="AG8" s="33">
        <f t="shared" si="2"/>
        <v>1.7276848358254664</v>
      </c>
      <c r="AH8" s="25">
        <f>(AA8-M8)/M8</f>
        <v>0.72768483582546639</v>
      </c>
      <c r="AI8" s="25">
        <f>AA8/M8</f>
        <v>1.7276848358254664</v>
      </c>
      <c r="AJ8" s="26"/>
      <c r="AK8" s="26"/>
    </row>
    <row r="9" spans="1:37" x14ac:dyDescent="0.35">
      <c r="J9">
        <f>AA2/J2</f>
        <v>1.6785402875090021</v>
      </c>
      <c r="V9">
        <f>V4/H4</f>
        <v>1.6104713019184149</v>
      </c>
    </row>
    <row r="61" spans="7:21" x14ac:dyDescent="0.35">
      <c r="G61" t="s">
        <v>112</v>
      </c>
      <c r="U61" t="s">
        <v>113</v>
      </c>
    </row>
    <row r="62" spans="7:21" x14ac:dyDescent="0.35">
      <c r="G62" t="s">
        <v>111</v>
      </c>
      <c r="U62" t="s">
        <v>110</v>
      </c>
    </row>
    <row r="63" spans="7:21" x14ac:dyDescent="0.35">
      <c r="G63" t="s">
        <v>109</v>
      </c>
      <c r="U63" t="s">
        <v>60</v>
      </c>
    </row>
    <row r="64" spans="7:21" x14ac:dyDescent="0.35">
      <c r="G64" t="s">
        <v>60</v>
      </c>
      <c r="U64" t="s">
        <v>109</v>
      </c>
    </row>
    <row r="65" spans="7:7" x14ac:dyDescent="0.35">
      <c r="G65" t="s">
        <v>110</v>
      </c>
    </row>
    <row r="66" spans="7:7" x14ac:dyDescent="0.35">
      <c r="G66" t="s">
        <v>113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FAA2-B409-4980-A7BC-AFFA35EC193D}">
  <dimension ref="A1:F3"/>
  <sheetViews>
    <sheetView workbookViewId="0">
      <selection activeCell="D3" sqref="D2:D3"/>
    </sheetView>
  </sheetViews>
  <sheetFormatPr baseColWidth="10" defaultRowHeight="14.5" x14ac:dyDescent="0.35"/>
  <cols>
    <col min="1" max="1" width="25.54296875" customWidth="1"/>
    <col min="2" max="2" width="16.453125" customWidth="1"/>
    <col min="3" max="3" width="22.90625" customWidth="1"/>
  </cols>
  <sheetData>
    <row r="1" spans="1:6" ht="81" customHeight="1" thickBot="1" x14ac:dyDescent="0.4">
      <c r="A1" s="36" t="s">
        <v>104</v>
      </c>
      <c r="B1" s="37" t="s">
        <v>106</v>
      </c>
      <c r="C1" s="37" t="s">
        <v>106</v>
      </c>
    </row>
    <row r="2" spans="1:6" ht="23.5" thickBot="1" x14ac:dyDescent="0.4">
      <c r="A2" s="38" t="s">
        <v>107</v>
      </c>
      <c r="B2" s="39">
        <f>'RCP45 - N03 vs M0'!J8*1000</f>
        <v>10.01787258129459</v>
      </c>
      <c r="C2" s="39">
        <f>'RCP45 - N03 vs M0'!X8*1000</f>
        <v>17.41713065572532</v>
      </c>
    </row>
    <row r="3" spans="1:6" ht="23.5" thickBot="1" x14ac:dyDescent="0.4">
      <c r="A3" s="38" t="s">
        <v>108</v>
      </c>
      <c r="B3" s="39">
        <f>'Base - N03 vs M0'!J8*1000</f>
        <v>21.744280567840288</v>
      </c>
      <c r="C3" s="39">
        <f>'Base - N03 vs M0'!X8*1000</f>
        <v>37.567263802992031</v>
      </c>
      <c r="F3" s="35" t="s">
        <v>105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4C49-8FC4-43AE-BB42-3F769AFB6BDE}">
  <dimension ref="A1"/>
  <sheetViews>
    <sheetView topLeftCell="A3" workbookViewId="0">
      <selection activeCell="H19" sqref="H19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Base vs RCP45 background</vt:lpstr>
      <vt:lpstr>elec 1 kWh</vt:lpstr>
      <vt:lpstr>contrib an. aggreg</vt:lpstr>
      <vt:lpstr>contrib an. detail</vt:lpstr>
      <vt:lpstr>scenario influence</vt:lpstr>
      <vt:lpstr>N1 Base - image vs tiam</vt:lpstr>
      <vt:lpstr>N1 - RCP45 vs Base</vt:lpstr>
      <vt:lpstr>RCP45 - N03 vs M0</vt:lpstr>
      <vt:lpstr>Base - N03 vs M0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Joanna SCHLESINGER</cp:lastModifiedBy>
  <dcterms:created xsi:type="dcterms:W3CDTF">2025-02-20T10:56:43Z</dcterms:created>
  <dcterms:modified xsi:type="dcterms:W3CDTF">2025-06-06T17:53:52Z</dcterms:modified>
</cp:coreProperties>
</file>