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chlesinger\0.Joanna\RTE_scenarios\"/>
    </mc:Choice>
  </mc:AlternateContent>
  <xr:revisionPtr revIDLastSave="0" documentId="13_ncr:1_{687763BC-C798-4687-8C11-B2DBCEAAE42E}" xr6:coauthVersionLast="47" xr6:coauthVersionMax="47" xr10:uidLastSave="{00000000-0000-0000-0000-000000000000}"/>
  <bookViews>
    <workbookView xWindow="28680" yWindow="-120" windowWidth="25440" windowHeight="15270" activeTab="1" xr2:uid="{00000000-000D-0000-FFFF-FFFF00000000}"/>
  </bookViews>
  <sheets>
    <sheet name="elec 1 kWh" sheetId="1" r:id="rId1"/>
    <sheet name="contrib an. aggreg" sheetId="2" r:id="rId2"/>
    <sheet name="contrib an. detai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2" l="1"/>
  <c r="T16" i="2"/>
  <c r="T17" i="2"/>
  <c r="V17" i="2" s="1"/>
  <c r="Y17" i="2" s="1"/>
  <c r="T15" i="2"/>
  <c r="U15" i="2" s="1"/>
  <c r="X15" i="2" s="1"/>
  <c r="S16" i="2"/>
  <c r="U16" i="2" s="1"/>
  <c r="X16" i="2" s="1"/>
  <c r="S17" i="2"/>
  <c r="S15" i="2"/>
  <c r="R16" i="2"/>
  <c r="V16" i="2" s="1"/>
  <c r="Y16" i="2" s="1"/>
  <c r="R17" i="2"/>
  <c r="U17" i="2" s="1"/>
  <c r="X17" i="2" s="1"/>
  <c r="R15" i="2"/>
  <c r="R14" i="2"/>
  <c r="V15" i="2" l="1"/>
  <c r="Y15" i="2" s="1"/>
</calcChain>
</file>

<file path=xl/sharedStrings.xml><?xml version="1.0" encoding="utf-8"?>
<sst xmlns="http://schemas.openxmlformats.org/spreadsheetml/2006/main" count="917" uniqueCount="99">
  <si>
    <t>db_name</t>
  </si>
  <si>
    <t>model</t>
  </si>
  <si>
    <t>IAM scenario</t>
  </si>
  <si>
    <t>FR scenario</t>
  </si>
  <si>
    <t>year</t>
  </si>
  <si>
    <t>warning</t>
  </si>
  <si>
    <t>act</t>
  </si>
  <si>
    <t>impact</t>
  </si>
  <si>
    <t>unit</t>
  </si>
  <si>
    <t>ei_cutoff_3.9_tiam-ucl_SSP2-RCP45_2020_Reference - N1 2025-05-15</t>
  </si>
  <si>
    <t>ei_cutoff_3.9_tiam-ucl_SSP2-RCP45_2050_Reference - N1 2025-05-15</t>
  </si>
  <si>
    <t>ei_cutoff_3.9_tiam-ucl_SSP2-RCP45_2050_Reference - M0 2025-05-15</t>
  </si>
  <si>
    <t>ei_cutoff_3.9_tiam-ucl_SSP2-RCP45_2050_Reference - N03 2025-05-15</t>
  </si>
  <si>
    <t>tiam-ucl</t>
  </si>
  <si>
    <t>RCP45</t>
  </si>
  <si>
    <t>N1</t>
  </si>
  <si>
    <t>M0</t>
  </si>
  <si>
    <t>N03</t>
  </si>
  <si>
    <t xml:space="preserve"> </t>
  </si>
  <si>
    <t>market for electricity, high voltage, FE2050</t>
  </si>
  <si>
    <t>kg CO2-Eq</t>
  </si>
  <si>
    <t>amount (kWh)</t>
  </si>
  <si>
    <t>contribution to impact</t>
  </si>
  <si>
    <t>percentage contribution</t>
  </si>
  <si>
    <t>impact/kWh (absolute)</t>
  </si>
  <si>
    <t>label</t>
  </si>
  <si>
    <t>color</t>
  </si>
  <si>
    <t>market for electricity, from direct French production, FE2050</t>
  </si>
  <si>
    <t>market for electricity, from storage, FE2050</t>
  </si>
  <si>
    <t>market for electricity, from import, FE2050</t>
  </si>
  <si>
    <t>g CO2-Eq</t>
  </si>
  <si>
    <t>consumption mix</t>
  </si>
  <si>
    <t>from direct electricity production</t>
  </si>
  <si>
    <t>from storage</t>
  </si>
  <si>
    <t>from imports</t>
  </si>
  <si>
    <t>orange</t>
  </si>
  <si>
    <t>deepskyblue</t>
  </si>
  <si>
    <t>royalblue</t>
  </si>
  <si>
    <t>midnightblue</t>
  </si>
  <si>
    <t>amount</t>
  </si>
  <si>
    <t>unit amount</t>
  </si>
  <si>
    <t>contribution to impact before reallocation</t>
  </si>
  <si>
    <t>% impact</t>
  </si>
  <si>
    <t>contribution of losses/kWh (absolute)</t>
  </si>
  <si>
    <t>contribution of grid/kWh (absolute)</t>
  </si>
  <si>
    <t>% contribution of grid/kWh (absolute)</t>
  </si>
  <si>
    <t>electricity production, nuclear, pressure water reactor</t>
  </si>
  <si>
    <t>electricity production, hydro, run-of-river</t>
  </si>
  <si>
    <t>electricity production, hydro, reservoir, alpine region</t>
  </si>
  <si>
    <t>electricity production, photovoltaic</t>
  </si>
  <si>
    <t>electricity production, wind, 1-3MW turbine, onshore</t>
  </si>
  <si>
    <t>electricity production, wind, 1-3MW turbine, offshore</t>
  </si>
  <si>
    <t>heat and power co-generation, wood chips, 6667 kW</t>
  </si>
  <si>
    <t>treatment of municipal solid waste, incineration</t>
  </si>
  <si>
    <t>electricity production, natural gas, combined cycle power plant</t>
  </si>
  <si>
    <t>electricity production, oil</t>
  </si>
  <si>
    <t>electricity production, hard coal</t>
  </si>
  <si>
    <t>electricity production, hydro, pumped storage, FE2050</t>
  </si>
  <si>
    <t>electricity supply, high voltage, from vanadium-redox flow battery system, FE2050</t>
  </si>
  <si>
    <t>market group for electricity, high voltage</t>
  </si>
  <si>
    <t>kilowatt hour</t>
  </si>
  <si>
    <t>kg Sb-Eq</t>
  </si>
  <si>
    <t>gold</t>
  </si>
  <si>
    <t>dodgerblue</t>
  </si>
  <si>
    <t>coral</t>
  </si>
  <si>
    <t>aquamarine</t>
  </si>
  <si>
    <t>mediumaquamarine</t>
  </si>
  <si>
    <t>chartreuse</t>
  </si>
  <si>
    <t>slategrey</t>
  </si>
  <si>
    <t>black</t>
  </si>
  <si>
    <t>rebeccapurple</t>
  </si>
  <si>
    <t>magenta</t>
  </si>
  <si>
    <t>nuclear</t>
  </si>
  <si>
    <t>hydro</t>
  </si>
  <si>
    <t>photovoltaic</t>
  </si>
  <si>
    <t>onshore wind</t>
  </si>
  <si>
    <t>offshore wind</t>
  </si>
  <si>
    <t>biomass and waste</t>
  </si>
  <si>
    <t>gas</t>
  </si>
  <si>
    <t>oil and coal</t>
  </si>
  <si>
    <t>storage</t>
  </si>
  <si>
    <t>imports</t>
  </si>
  <si>
    <t>electricity production, Evolutionary Power Reactor (EPR)</t>
  </si>
  <si>
    <t>electricity production, from hydrogen, with gas turbine, for grid-balancing, FE2050</t>
  </si>
  <si>
    <t>electricity production, from vehicle-to-grid, FE2050</t>
  </si>
  <si>
    <t>electricity production, wave energy converter</t>
  </si>
  <si>
    <t>blue</t>
  </si>
  <si>
    <t>wave</t>
  </si>
  <si>
    <t>electricity production, Small Modular Reactor (SMR)</t>
  </si>
  <si>
    <t>goldenrod</t>
  </si>
  <si>
    <t>(a2-a1)/a1</t>
  </si>
  <si>
    <t>(alpha2-alpha1)/alpha1</t>
  </si>
  <si>
    <t>contrib de varation de a à variation de P</t>
  </si>
  <si>
    <t>contrib de variation de alpha à variation de P</t>
  </si>
  <si>
    <t>somme 100%</t>
  </si>
  <si>
    <t>direct electricity production in France</t>
  </si>
  <si>
    <t>diff consumption mix</t>
  </si>
  <si>
    <t>diff prod mix</t>
  </si>
  <si>
    <t>electricity from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</si>
</sst>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7000D"/>
        <bgColor indexed="64"/>
      </patternFill>
    </fill>
    <fill>
      <patternFill patternType="solid">
        <fgColor rgb="FFFEEAE1"/>
        <bgColor indexed="64"/>
      </patternFill>
    </fill>
    <fill>
      <patternFill patternType="solid">
        <fgColor rgb="FFFDD4C2"/>
        <bgColor indexed="64"/>
      </patternFill>
    </fill>
    <fill>
      <patternFill patternType="solid">
        <fgColor rgb="FFFFF5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9" fontId="0" fillId="0" borderId="0" xfId="1" applyFont="1"/>
    <xf numFmtId="9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/>
              <a:t>Comparison</a:t>
            </a:r>
            <a:r>
              <a:rPr lang="fr-FR" sz="1600" b="1" baseline="0"/>
              <a:t> M0 vs N03</a:t>
            </a:r>
            <a:endParaRPr lang="fr-F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'contrib an. aggreg'!$X$14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'contrib an. aggreg'!$W$15:$W$17</c:f>
              <c:strCache>
                <c:ptCount val="3"/>
                <c:pt idx="0">
                  <c:v>direct electricity production in France</c:v>
                </c:pt>
                <c:pt idx="1">
                  <c:v>electricity from storage</c:v>
                </c:pt>
                <c:pt idx="2">
                  <c:v>imports</c:v>
                </c:pt>
              </c:strCache>
            </c:strRef>
          </c:cat>
          <c:val>
            <c:numRef>
              <c:f>'contrib an. aggreg'!$X$15:$X$17</c:f>
              <c:numCache>
                <c:formatCode>0%</c:formatCode>
                <c:ptCount val="3"/>
                <c:pt idx="0">
                  <c:v>-6.9460302522535586E-2</c:v>
                </c:pt>
                <c:pt idx="1">
                  <c:v>0.19797470052130167</c:v>
                </c:pt>
                <c:pt idx="2">
                  <c:v>2.9795460180432814E-2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A-4587-9020-D003A241B5AB}"/>
            </c:ext>
          </c:extLst>
        </c:ser>
        <c:ser>
          <c:idx val="1"/>
          <c:order val="1"/>
          <c:tx>
            <c:strRef>
              <c:f>'contrib an. aggreg'!$Y$14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cat>
            <c:strRef>
              <c:f>'contrib an. aggreg'!$W$15:$W$17</c:f>
              <c:strCache>
                <c:ptCount val="3"/>
                <c:pt idx="0">
                  <c:v>direct electricity production in France</c:v>
                </c:pt>
                <c:pt idx="1">
                  <c:v>electricity from storage</c:v>
                </c:pt>
                <c:pt idx="2">
                  <c:v>imports</c:v>
                </c:pt>
              </c:strCache>
            </c:strRef>
          </c:cat>
          <c:val>
            <c:numRef>
              <c:f>'contrib an. aggreg'!$Y$15:$Y$17</c:f>
              <c:numCache>
                <c:formatCode>0%</c:formatCode>
                <c:ptCount val="3"/>
                <c:pt idx="0">
                  <c:v>0.43112832766860004</c:v>
                </c:pt>
                <c:pt idx="1">
                  <c:v>0.1505603828582622</c:v>
                </c:pt>
                <c:pt idx="2">
                  <c:v>1.4558099005249874E-6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A-4587-9020-D003A241B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0898303"/>
        <c:axId val="390887743"/>
      </c:barChart>
      <c:catAx>
        <c:axId val="39089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0887743"/>
        <c:crosses val="autoZero"/>
        <c:auto val="0"/>
        <c:lblAlgn val="ctr"/>
        <c:lblOffset val="100"/>
        <c:noMultiLvlLbl val="0"/>
      </c:catAx>
      <c:valAx>
        <c:axId val="39088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089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1</xdr:row>
      <xdr:rowOff>66674</xdr:rowOff>
    </xdr:from>
    <xdr:to>
      <xdr:col>19</xdr:col>
      <xdr:colOff>552450</xdr:colOff>
      <xdr:row>24</xdr:row>
      <xdr:rowOff>130175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7DCDE60-1A13-A99A-682F-F80CE9168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/>
  </sheetViews>
  <sheetFormatPr baseColWidth="10" defaultColWidth="8.7265625" defaultRowHeight="14.5" x14ac:dyDescent="0.35"/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1">
        <v>0</v>
      </c>
      <c r="B2" t="s">
        <v>9</v>
      </c>
      <c r="C2" t="s">
        <v>13</v>
      </c>
      <c r="D2" t="s">
        <v>14</v>
      </c>
      <c r="E2" t="s">
        <v>15</v>
      </c>
      <c r="F2">
        <v>2020</v>
      </c>
      <c r="G2" t="s">
        <v>18</v>
      </c>
      <c r="H2" t="s">
        <v>19</v>
      </c>
      <c r="I2" s="2">
        <v>5.4183852017686898E-2</v>
      </c>
      <c r="J2" t="s">
        <v>20</v>
      </c>
    </row>
    <row r="3" spans="1:10" x14ac:dyDescent="0.35">
      <c r="A3" s="1">
        <v>1</v>
      </c>
      <c r="B3" t="s">
        <v>10</v>
      </c>
      <c r="C3" t="s">
        <v>13</v>
      </c>
      <c r="D3" t="s">
        <v>14</v>
      </c>
      <c r="E3" t="s">
        <v>15</v>
      </c>
      <c r="F3">
        <v>2050</v>
      </c>
      <c r="G3" t="s">
        <v>18</v>
      </c>
      <c r="H3" t="s">
        <v>19</v>
      </c>
      <c r="I3" s="3">
        <v>1.2887550885641211E-2</v>
      </c>
      <c r="J3" t="s">
        <v>20</v>
      </c>
    </row>
    <row r="4" spans="1:10" x14ac:dyDescent="0.35">
      <c r="A4" s="1">
        <v>2</v>
      </c>
      <c r="B4" t="s">
        <v>11</v>
      </c>
      <c r="C4" t="s">
        <v>13</v>
      </c>
      <c r="D4" t="s">
        <v>14</v>
      </c>
      <c r="E4" t="s">
        <v>16</v>
      </c>
      <c r="F4">
        <v>2050</v>
      </c>
      <c r="G4" t="s">
        <v>18</v>
      </c>
      <c r="H4" t="s">
        <v>19</v>
      </c>
      <c r="I4" s="4">
        <v>1.7417168796779198E-2</v>
      </c>
      <c r="J4" t="s">
        <v>20</v>
      </c>
    </row>
    <row r="5" spans="1:10" x14ac:dyDescent="0.35">
      <c r="A5" s="1">
        <v>3</v>
      </c>
      <c r="B5" t="s">
        <v>12</v>
      </c>
      <c r="C5" t="s">
        <v>13</v>
      </c>
      <c r="D5" t="s">
        <v>14</v>
      </c>
      <c r="E5" t="s">
        <v>17</v>
      </c>
      <c r="F5">
        <v>2050</v>
      </c>
      <c r="G5" t="s">
        <v>18</v>
      </c>
      <c r="H5" t="s">
        <v>19</v>
      </c>
      <c r="I5" s="5">
        <v>1.001789253699914E-2</v>
      </c>
      <c r="J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"/>
  <sheetViews>
    <sheetView tabSelected="1" topLeftCell="I1" workbookViewId="0">
      <selection activeCell="X15" sqref="X15"/>
    </sheetView>
  </sheetViews>
  <sheetFormatPr baseColWidth="10" defaultColWidth="8.7265625" defaultRowHeight="14.5" x14ac:dyDescent="0.35"/>
  <cols>
    <col min="8" max="8" width="37.26953125" customWidth="1"/>
    <col min="9" max="9" width="26.08984375" customWidth="1"/>
  </cols>
  <sheetData>
    <row r="1" spans="1:2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</v>
      </c>
      <c r="J1" s="1" t="s">
        <v>22</v>
      </c>
      <c r="K1" s="1" t="s">
        <v>8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25" x14ac:dyDescent="0.35">
      <c r="A2" s="1">
        <v>0</v>
      </c>
      <c r="B2" t="s">
        <v>9</v>
      </c>
      <c r="C2" t="s">
        <v>13</v>
      </c>
      <c r="D2" t="s">
        <v>14</v>
      </c>
      <c r="E2" t="s">
        <v>15</v>
      </c>
      <c r="F2">
        <v>2020</v>
      </c>
      <c r="G2" t="s">
        <v>18</v>
      </c>
      <c r="H2" t="s">
        <v>19</v>
      </c>
      <c r="I2">
        <v>1</v>
      </c>
      <c r="J2">
        <v>54.183852017686903</v>
      </c>
      <c r="K2" t="s">
        <v>30</v>
      </c>
      <c r="L2">
        <v>100.0000002065548</v>
      </c>
      <c r="M2">
        <v>54.183852017686903</v>
      </c>
      <c r="N2" t="s">
        <v>31</v>
      </c>
      <c r="O2" t="s">
        <v>35</v>
      </c>
    </row>
    <row r="3" spans="1:25" x14ac:dyDescent="0.35">
      <c r="A3" s="1">
        <v>1</v>
      </c>
      <c r="B3" t="s">
        <v>9</v>
      </c>
      <c r="C3" t="s">
        <v>13</v>
      </c>
      <c r="D3" t="s">
        <v>14</v>
      </c>
      <c r="E3" t="s">
        <v>15</v>
      </c>
      <c r="F3">
        <v>2020</v>
      </c>
      <c r="G3" t="s">
        <v>18</v>
      </c>
      <c r="H3" t="s">
        <v>27</v>
      </c>
      <c r="I3">
        <v>0.98475069079214206</v>
      </c>
      <c r="J3">
        <v>52.07815742925397</v>
      </c>
      <c r="K3" t="s">
        <v>30</v>
      </c>
      <c r="L3">
        <v>96.113797003255414</v>
      </c>
      <c r="M3">
        <v>52.884611218055447</v>
      </c>
      <c r="N3" t="s">
        <v>32</v>
      </c>
      <c r="O3" t="s">
        <v>36</v>
      </c>
    </row>
    <row r="4" spans="1:25" x14ac:dyDescent="0.35">
      <c r="A4" s="1">
        <v>2</v>
      </c>
      <c r="B4" t="s">
        <v>9</v>
      </c>
      <c r="C4" t="s">
        <v>13</v>
      </c>
      <c r="D4" t="s">
        <v>14</v>
      </c>
      <c r="E4" t="s">
        <v>15</v>
      </c>
      <c r="F4">
        <v>2020</v>
      </c>
      <c r="G4" t="s">
        <v>18</v>
      </c>
      <c r="H4" t="s">
        <v>28</v>
      </c>
      <c r="I4">
        <v>1.088404736366903E-2</v>
      </c>
      <c r="J4">
        <v>0.85233569519613939</v>
      </c>
      <c r="K4" t="s">
        <v>30</v>
      </c>
      <c r="L4">
        <v>1.5730437486771089</v>
      </c>
      <c r="M4">
        <v>78.310546317653632</v>
      </c>
      <c r="N4" t="s">
        <v>33</v>
      </c>
      <c r="O4" t="s">
        <v>37</v>
      </c>
    </row>
    <row r="5" spans="1:25" x14ac:dyDescent="0.35">
      <c r="A5" s="1">
        <v>3</v>
      </c>
      <c r="B5" t="s">
        <v>9</v>
      </c>
      <c r="C5" t="s">
        <v>13</v>
      </c>
      <c r="D5" t="s">
        <v>14</v>
      </c>
      <c r="E5" t="s">
        <v>15</v>
      </c>
      <c r="F5">
        <v>2020</v>
      </c>
      <c r="G5" t="s">
        <v>18</v>
      </c>
      <c r="H5" t="s">
        <v>29</v>
      </c>
      <c r="I5">
        <v>4.3652618441889224E-3</v>
      </c>
      <c r="J5">
        <v>1.2533587813174549</v>
      </c>
      <c r="K5" t="s">
        <v>30</v>
      </c>
      <c r="L5">
        <v>2.313159248067489</v>
      </c>
      <c r="M5">
        <v>287.12109973103622</v>
      </c>
      <c r="N5" t="s">
        <v>34</v>
      </c>
      <c r="O5" t="s">
        <v>38</v>
      </c>
    </row>
    <row r="7" spans="1:25" x14ac:dyDescent="0.3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21</v>
      </c>
      <c r="J7" s="1" t="s">
        <v>22</v>
      </c>
      <c r="K7" s="1" t="s">
        <v>8</v>
      </c>
      <c r="L7" s="1" t="s">
        <v>23</v>
      </c>
      <c r="M7" s="1" t="s">
        <v>24</v>
      </c>
      <c r="N7" s="1" t="s">
        <v>25</v>
      </c>
      <c r="O7" s="1" t="s">
        <v>26</v>
      </c>
    </row>
    <row r="8" spans="1:25" x14ac:dyDescent="0.35">
      <c r="A8" s="1">
        <v>0</v>
      </c>
      <c r="B8" t="s">
        <v>10</v>
      </c>
      <c r="C8" t="s">
        <v>13</v>
      </c>
      <c r="D8" t="s">
        <v>14</v>
      </c>
      <c r="E8" t="s">
        <v>15</v>
      </c>
      <c r="F8">
        <v>2050</v>
      </c>
      <c r="G8" t="s">
        <v>18</v>
      </c>
      <c r="H8" t="s">
        <v>19</v>
      </c>
      <c r="I8">
        <v>1</v>
      </c>
      <c r="J8">
        <v>12.887550885641209</v>
      </c>
      <c r="K8" t="s">
        <v>30</v>
      </c>
      <c r="L8">
        <v>99.999999364239329</v>
      </c>
      <c r="M8">
        <v>12.887550885641209</v>
      </c>
      <c r="N8" t="s">
        <v>31</v>
      </c>
      <c r="O8" t="s">
        <v>35</v>
      </c>
    </row>
    <row r="9" spans="1:25" x14ac:dyDescent="0.35">
      <c r="A9" s="1">
        <v>1</v>
      </c>
      <c r="B9" t="s">
        <v>10</v>
      </c>
      <c r="C9" t="s">
        <v>13</v>
      </c>
      <c r="D9" t="s">
        <v>14</v>
      </c>
      <c r="E9" t="s">
        <v>15</v>
      </c>
      <c r="F9">
        <v>2050</v>
      </c>
      <c r="G9" t="s">
        <v>18</v>
      </c>
      <c r="H9" t="s">
        <v>27</v>
      </c>
      <c r="I9">
        <v>0.90977795105681925</v>
      </c>
      <c r="J9">
        <v>10.78733273222106</v>
      </c>
      <c r="K9" t="s">
        <v>30</v>
      </c>
      <c r="L9">
        <v>83.703511701810228</v>
      </c>
      <c r="M9">
        <v>11.85710504380793</v>
      </c>
      <c r="N9" t="s">
        <v>32</v>
      </c>
      <c r="O9" t="s">
        <v>36</v>
      </c>
    </row>
    <row r="10" spans="1:25" x14ac:dyDescent="0.35">
      <c r="A10" s="1">
        <v>2</v>
      </c>
      <c r="B10" t="s">
        <v>10</v>
      </c>
      <c r="C10" t="s">
        <v>13</v>
      </c>
      <c r="D10" t="s">
        <v>14</v>
      </c>
      <c r="E10" t="s">
        <v>15</v>
      </c>
      <c r="F10">
        <v>2050</v>
      </c>
      <c r="G10" t="s">
        <v>18</v>
      </c>
      <c r="H10" t="s">
        <v>28</v>
      </c>
      <c r="I10">
        <v>4.3975119343490222E-2</v>
      </c>
      <c r="J10">
        <v>1.4637128137896349</v>
      </c>
      <c r="K10" t="s">
        <v>30</v>
      </c>
      <c r="L10">
        <v>11.357571484856249</v>
      </c>
      <c r="M10">
        <v>33.285021977008299</v>
      </c>
      <c r="N10" t="s">
        <v>33</v>
      </c>
      <c r="O10" t="s">
        <v>37</v>
      </c>
    </row>
    <row r="11" spans="1:25" x14ac:dyDescent="0.35">
      <c r="A11" s="1">
        <v>3</v>
      </c>
      <c r="B11" t="s">
        <v>10</v>
      </c>
      <c r="C11" t="s">
        <v>13</v>
      </c>
      <c r="D11" t="s">
        <v>14</v>
      </c>
      <c r="E11" t="s">
        <v>15</v>
      </c>
      <c r="F11">
        <v>2050</v>
      </c>
      <c r="G11" t="s">
        <v>18</v>
      </c>
      <c r="H11" t="s">
        <v>29</v>
      </c>
      <c r="I11">
        <v>4.6246929599690588E-2</v>
      </c>
      <c r="J11">
        <v>0.63650542156449907</v>
      </c>
      <c r="K11" t="s">
        <v>30</v>
      </c>
      <c r="L11">
        <v>4.9389168133335302</v>
      </c>
      <c r="M11">
        <v>13.7631930827416</v>
      </c>
      <c r="N11" t="s">
        <v>34</v>
      </c>
      <c r="O11" t="s">
        <v>38</v>
      </c>
    </row>
    <row r="13" spans="1:25" x14ac:dyDescent="0.35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21</v>
      </c>
      <c r="J13" s="1" t="s">
        <v>22</v>
      </c>
      <c r="K13" s="1" t="s">
        <v>8</v>
      </c>
      <c r="L13" s="1" t="s">
        <v>23</v>
      </c>
      <c r="M13" s="1" t="s">
        <v>24</v>
      </c>
      <c r="N13" s="1" t="s">
        <v>25</v>
      </c>
      <c r="O13" s="1" t="s">
        <v>26</v>
      </c>
      <c r="Q13" s="9" t="s">
        <v>97</v>
      </c>
      <c r="R13" s="8" t="s">
        <v>96</v>
      </c>
      <c r="S13" t="s">
        <v>90</v>
      </c>
      <c r="T13" t="s">
        <v>91</v>
      </c>
      <c r="U13" t="s">
        <v>92</v>
      </c>
      <c r="V13" t="s">
        <v>93</v>
      </c>
    </row>
    <row r="14" spans="1:25" x14ac:dyDescent="0.35">
      <c r="A14" s="1">
        <v>0</v>
      </c>
      <c r="B14" t="s">
        <v>11</v>
      </c>
      <c r="C14" t="s">
        <v>13</v>
      </c>
      <c r="D14" t="s">
        <v>14</v>
      </c>
      <c r="E14" t="s">
        <v>16</v>
      </c>
      <c r="F14">
        <v>2050</v>
      </c>
      <c r="G14" t="s">
        <v>18</v>
      </c>
      <c r="H14" t="s">
        <v>19</v>
      </c>
      <c r="I14">
        <v>1</v>
      </c>
      <c r="J14">
        <v>17.417168796779201</v>
      </c>
      <c r="K14" t="s">
        <v>30</v>
      </c>
      <c r="L14">
        <v>99.999998823993437</v>
      </c>
      <c r="M14">
        <v>17.417168796779201</v>
      </c>
      <c r="N14" t="s">
        <v>31</v>
      </c>
      <c r="O14" t="s">
        <v>35</v>
      </c>
      <c r="Q14" s="6">
        <f>(M15-M21)/M21</f>
        <v>0.52535208488409191</v>
      </c>
      <c r="R14" s="6">
        <f>(J14-J20)/J20</f>
        <v>0.73860607233031017</v>
      </c>
      <c r="U14" t="s">
        <v>94</v>
      </c>
      <c r="X14" t="s">
        <v>39</v>
      </c>
      <c r="Y14" t="s">
        <v>7</v>
      </c>
    </row>
    <row r="15" spans="1:25" x14ac:dyDescent="0.35">
      <c r="A15" s="1">
        <v>1</v>
      </c>
      <c r="B15" t="s">
        <v>11</v>
      </c>
      <c r="C15" t="s">
        <v>13</v>
      </c>
      <c r="D15" t="s">
        <v>14</v>
      </c>
      <c r="E15" t="s">
        <v>16</v>
      </c>
      <c r="F15">
        <v>2050</v>
      </c>
      <c r="G15" t="s">
        <v>18</v>
      </c>
      <c r="H15" t="s">
        <v>27</v>
      </c>
      <c r="I15">
        <v>0.86085528276763223</v>
      </c>
      <c r="J15">
        <v>12.74282187217328</v>
      </c>
      <c r="K15" t="s">
        <v>30</v>
      </c>
      <c r="L15">
        <v>73.162417330842374</v>
      </c>
      <c r="M15">
        <v>14.8025134157339</v>
      </c>
      <c r="N15" t="s">
        <v>32</v>
      </c>
      <c r="O15" t="s">
        <v>36</v>
      </c>
      <c r="R15" s="6">
        <f>(J15-J21)/(J$14-J$20)</f>
        <v>0.48874057452170871</v>
      </c>
      <c r="S15" s="6">
        <f>(I15-I21)/I21</f>
        <v>-8.4640958167202199E-2</v>
      </c>
      <c r="T15" s="6">
        <f>(M15-M21)/M21</f>
        <v>0.52535208488409191</v>
      </c>
      <c r="U15" s="7">
        <f>R15*S15/(S15+T15)</f>
        <v>-9.3865273679102149E-2</v>
      </c>
      <c r="V15" s="7">
        <f>R15*T15/(S15+T15)</f>
        <v>0.58260584820081085</v>
      </c>
      <c r="W15" t="s">
        <v>95</v>
      </c>
      <c r="X15" s="6">
        <f t="shared" ref="X15:Y17" si="0">U15*0.74</f>
        <v>-6.9460302522535586E-2</v>
      </c>
      <c r="Y15" s="6">
        <f t="shared" si="0"/>
        <v>0.43112832766860004</v>
      </c>
    </row>
    <row r="16" spans="1:25" x14ac:dyDescent="0.35">
      <c r="A16" s="1">
        <v>2</v>
      </c>
      <c r="B16" t="s">
        <v>11</v>
      </c>
      <c r="C16" t="s">
        <v>13</v>
      </c>
      <c r="D16" t="s">
        <v>14</v>
      </c>
      <c r="E16" t="s">
        <v>16</v>
      </c>
      <c r="F16">
        <v>2050</v>
      </c>
      <c r="G16" t="s">
        <v>18</v>
      </c>
      <c r="H16" t="s">
        <v>28</v>
      </c>
      <c r="I16">
        <v>8.2040494344195497E-2</v>
      </c>
      <c r="J16">
        <v>3.8883963332345881</v>
      </c>
      <c r="K16" t="s">
        <v>30</v>
      </c>
      <c r="L16">
        <v>22.32507666932549</v>
      </c>
      <c r="M16">
        <v>47.396061717047637</v>
      </c>
      <c r="N16" t="s">
        <v>33</v>
      </c>
      <c r="O16" t="s">
        <v>37</v>
      </c>
      <c r="R16" s="6">
        <f>(J16-J22)/(J$14-J$20)</f>
        <v>0.47099335591832958</v>
      </c>
      <c r="S16" s="6">
        <f>(I16-I22)/I22</f>
        <v>2.4062187748966108</v>
      </c>
      <c r="T16" s="6">
        <f>(M16-M22)/M22</f>
        <v>1.8299369517176851</v>
      </c>
      <c r="U16" s="7">
        <f>R16*S16/(S16+T16)</f>
        <v>0.26753337908284008</v>
      </c>
      <c r="V16" s="7">
        <f>R16*T16/(S16+T16)</f>
        <v>0.20345997683548947</v>
      </c>
      <c r="W16" t="s">
        <v>98</v>
      </c>
      <c r="X16" s="6">
        <f t="shared" si="0"/>
        <v>0.19797470052130167</v>
      </c>
      <c r="Y16" s="6">
        <f t="shared" si="0"/>
        <v>0.1505603828582622</v>
      </c>
    </row>
    <row r="17" spans="1:25" x14ac:dyDescent="0.35">
      <c r="A17" s="1">
        <v>3</v>
      </c>
      <c r="B17" t="s">
        <v>11</v>
      </c>
      <c r="C17" t="s">
        <v>13</v>
      </c>
      <c r="D17" t="s">
        <v>14</v>
      </c>
      <c r="E17" t="s">
        <v>16</v>
      </c>
      <c r="F17">
        <v>2050</v>
      </c>
      <c r="G17" t="s">
        <v>18</v>
      </c>
      <c r="H17" t="s">
        <v>29</v>
      </c>
      <c r="I17">
        <v>5.7104222888172101E-2</v>
      </c>
      <c r="J17">
        <v>0.78595079619838371</v>
      </c>
      <c r="K17" t="s">
        <v>30</v>
      </c>
      <c r="L17">
        <v>4.51250599983213</v>
      </c>
      <c r="M17">
        <v>13.763444390750591</v>
      </c>
      <c r="N17" t="s">
        <v>34</v>
      </c>
      <c r="O17" t="s">
        <v>38</v>
      </c>
      <c r="R17" s="6">
        <f>(J17-J23)/(J$14-J$20)</f>
        <v>4.0266102689639649E-2</v>
      </c>
      <c r="S17" s="6">
        <f>(I17-I23)/I23</f>
        <v>0.61047130191841492</v>
      </c>
      <c r="T17" s="6">
        <f>(M17-M23)/M23</f>
        <v>2.9827703950108868E-5</v>
      </c>
      <c r="U17" s="7">
        <f>R17*S17/(S17+T17)</f>
        <v>4.0264135378963263E-2</v>
      </c>
      <c r="V17" s="7">
        <f>R17*T17/(S17+T17)</f>
        <v>1.9673106763851183E-6</v>
      </c>
      <c r="W17" t="s">
        <v>81</v>
      </c>
      <c r="X17" s="6">
        <f t="shared" si="0"/>
        <v>2.9795460180432814E-2</v>
      </c>
      <c r="Y17" s="6">
        <f t="shared" si="0"/>
        <v>1.4558099005249874E-6</v>
      </c>
    </row>
    <row r="19" spans="1:25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21</v>
      </c>
      <c r="J19" s="1" t="s">
        <v>22</v>
      </c>
      <c r="K19" s="1" t="s">
        <v>8</v>
      </c>
      <c r="L19" s="1" t="s">
        <v>23</v>
      </c>
      <c r="M19" s="1" t="s">
        <v>24</v>
      </c>
      <c r="N19" s="1" t="s">
        <v>25</v>
      </c>
      <c r="O19" s="1" t="s">
        <v>26</v>
      </c>
    </row>
    <row r="20" spans="1:25" x14ac:dyDescent="0.35">
      <c r="A20" s="1">
        <v>0</v>
      </c>
      <c r="B20" t="s">
        <v>12</v>
      </c>
      <c r="C20" t="s">
        <v>13</v>
      </c>
      <c r="D20" t="s">
        <v>14</v>
      </c>
      <c r="E20" t="s">
        <v>17</v>
      </c>
      <c r="F20">
        <v>2050</v>
      </c>
      <c r="G20" t="s">
        <v>18</v>
      </c>
      <c r="H20" t="s">
        <v>19</v>
      </c>
      <c r="I20">
        <v>1</v>
      </c>
      <c r="J20">
        <v>10.01789253699914</v>
      </c>
      <c r="K20" t="s">
        <v>30</v>
      </c>
      <c r="L20">
        <v>100.0000004023659</v>
      </c>
      <c r="M20">
        <v>10.01789253699914</v>
      </c>
      <c r="N20" t="s">
        <v>31</v>
      </c>
      <c r="O20" t="s">
        <v>35</v>
      </c>
    </row>
    <row r="21" spans="1:25" x14ac:dyDescent="0.35">
      <c r="A21" s="1">
        <v>1</v>
      </c>
      <c r="B21" t="s">
        <v>12</v>
      </c>
      <c r="C21" t="s">
        <v>13</v>
      </c>
      <c r="D21" t="s">
        <v>14</v>
      </c>
      <c r="E21" t="s">
        <v>17</v>
      </c>
      <c r="F21">
        <v>2050</v>
      </c>
      <c r="G21" t="s">
        <v>18</v>
      </c>
      <c r="H21" t="s">
        <v>27</v>
      </c>
      <c r="I21">
        <v>0.94045641483364362</v>
      </c>
      <c r="J21">
        <v>9.1264953419235333</v>
      </c>
      <c r="K21" t="s">
        <v>30</v>
      </c>
      <c r="L21">
        <v>91.101949286623963</v>
      </c>
      <c r="M21">
        <v>9.7043256848196524</v>
      </c>
      <c r="N21" t="s">
        <v>32</v>
      </c>
      <c r="O21" t="s">
        <v>36</v>
      </c>
    </row>
    <row r="22" spans="1:25" x14ac:dyDescent="0.35">
      <c r="A22" s="1">
        <v>2</v>
      </c>
      <c r="B22" t="s">
        <v>12</v>
      </c>
      <c r="C22" t="s">
        <v>13</v>
      </c>
      <c r="D22" t="s">
        <v>14</v>
      </c>
      <c r="E22" t="s">
        <v>17</v>
      </c>
      <c r="F22">
        <v>2050</v>
      </c>
      <c r="G22" t="s">
        <v>18</v>
      </c>
      <c r="H22" t="s">
        <v>28</v>
      </c>
      <c r="I22">
        <v>2.4085503535129119E-2</v>
      </c>
      <c r="J22">
        <v>0.40338637627395119</v>
      </c>
      <c r="K22" t="s">
        <v>30</v>
      </c>
      <c r="L22">
        <v>4.0266590643412421</v>
      </c>
      <c r="M22">
        <v>16.748098111613292</v>
      </c>
      <c r="N22" t="s">
        <v>33</v>
      </c>
      <c r="O22" t="s">
        <v>37</v>
      </c>
    </row>
    <row r="23" spans="1:25" x14ac:dyDescent="0.35">
      <c r="A23" s="1">
        <v>3</v>
      </c>
      <c r="B23" t="s">
        <v>12</v>
      </c>
      <c r="C23" t="s">
        <v>13</v>
      </c>
      <c r="D23" t="s">
        <v>14</v>
      </c>
      <c r="E23" t="s">
        <v>17</v>
      </c>
      <c r="F23">
        <v>2050</v>
      </c>
      <c r="G23" t="s">
        <v>18</v>
      </c>
      <c r="H23" t="s">
        <v>29</v>
      </c>
      <c r="I23">
        <v>3.5458081631227323E-2</v>
      </c>
      <c r="J23">
        <v>0.48801077849306701</v>
      </c>
      <c r="K23" t="s">
        <v>30</v>
      </c>
      <c r="L23">
        <v>4.8713916490347957</v>
      </c>
      <c r="M23">
        <v>13.76303387105083</v>
      </c>
      <c r="N23" t="s">
        <v>34</v>
      </c>
      <c r="O23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7"/>
  <sheetViews>
    <sheetView workbookViewId="0">
      <selection activeCell="L1" sqref="L1:L1048576"/>
    </sheetView>
  </sheetViews>
  <sheetFormatPr baseColWidth="10" defaultColWidth="8.7265625" defaultRowHeight="14.5" x14ac:dyDescent="0.35"/>
  <sheetData>
    <row r="1" spans="1:2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39</v>
      </c>
      <c r="J1" s="1" t="s">
        <v>40</v>
      </c>
      <c r="K1" s="1" t="s">
        <v>41</v>
      </c>
      <c r="L1" s="1" t="s">
        <v>8</v>
      </c>
      <c r="M1" s="1" t="s">
        <v>22</v>
      </c>
      <c r="N1" s="1" t="s">
        <v>42</v>
      </c>
      <c r="O1" s="1" t="s">
        <v>24</v>
      </c>
      <c r="P1" s="1" t="s">
        <v>43</v>
      </c>
      <c r="Q1" s="1" t="s">
        <v>44</v>
      </c>
      <c r="R1" s="1" t="s">
        <v>45</v>
      </c>
      <c r="S1" s="1" t="s">
        <v>26</v>
      </c>
      <c r="T1" s="1" t="s">
        <v>25</v>
      </c>
    </row>
    <row r="2" spans="1:20" x14ac:dyDescent="0.35">
      <c r="A2" s="1">
        <v>0</v>
      </c>
      <c r="B2" t="s">
        <v>9</v>
      </c>
      <c r="C2" t="s">
        <v>13</v>
      </c>
      <c r="D2" t="s">
        <v>14</v>
      </c>
      <c r="E2" t="s">
        <v>15</v>
      </c>
      <c r="F2">
        <v>2020</v>
      </c>
      <c r="G2" t="s">
        <v>18</v>
      </c>
      <c r="H2" t="s">
        <v>46</v>
      </c>
      <c r="I2">
        <v>0.6901754327089229</v>
      </c>
      <c r="J2" t="s">
        <v>60</v>
      </c>
      <c r="K2">
        <v>9.3128813127221844E-8</v>
      </c>
      <c r="L2" t="s">
        <v>61</v>
      </c>
      <c r="M2">
        <v>1.401798540579271E-7</v>
      </c>
      <c r="N2">
        <v>40.785912069226207</v>
      </c>
      <c r="O2">
        <v>2.031075686187849E-7</v>
      </c>
      <c r="P2">
        <v>5.3634471022109471E-9</v>
      </c>
      <c r="Q2">
        <v>6.2809134390629202E-8</v>
      </c>
      <c r="R2">
        <v>30.92407378895685</v>
      </c>
      <c r="S2" t="s">
        <v>62</v>
      </c>
      <c r="T2" t="s">
        <v>72</v>
      </c>
    </row>
    <row r="3" spans="1:20" x14ac:dyDescent="0.35">
      <c r="A3" s="1">
        <v>1</v>
      </c>
      <c r="B3" t="s">
        <v>9</v>
      </c>
      <c r="C3" t="s">
        <v>13</v>
      </c>
      <c r="D3" t="s">
        <v>14</v>
      </c>
      <c r="E3" t="s">
        <v>15</v>
      </c>
      <c r="F3">
        <v>2020</v>
      </c>
      <c r="G3" t="s">
        <v>18</v>
      </c>
      <c r="H3" t="s">
        <v>47</v>
      </c>
      <c r="I3">
        <v>8.4311417026214946E-2</v>
      </c>
      <c r="J3" t="s">
        <v>60</v>
      </c>
      <c r="K3">
        <v>1.6498143308009321E-9</v>
      </c>
      <c r="L3" t="s">
        <v>61</v>
      </c>
      <c r="M3">
        <v>7.0109188999091984E-9</v>
      </c>
      <c r="N3">
        <v>2.039856038500437</v>
      </c>
      <c r="O3">
        <v>8.3155035785121404E-8</v>
      </c>
      <c r="P3">
        <v>7.778003117176582E-10</v>
      </c>
      <c r="Q3">
        <v>6.2809134390629202E-8</v>
      </c>
      <c r="R3">
        <v>75.532568530103845</v>
      </c>
      <c r="S3" t="s">
        <v>63</v>
      </c>
      <c r="T3" t="s">
        <v>73</v>
      </c>
    </row>
    <row r="4" spans="1:20" x14ac:dyDescent="0.35">
      <c r="A4" s="1">
        <v>2</v>
      </c>
      <c r="B4" t="s">
        <v>9</v>
      </c>
      <c r="C4" t="s">
        <v>13</v>
      </c>
      <c r="D4" t="s">
        <v>14</v>
      </c>
      <c r="E4" t="s">
        <v>15</v>
      </c>
      <c r="F4">
        <v>2020</v>
      </c>
      <c r="G4" t="s">
        <v>18</v>
      </c>
      <c r="H4" t="s">
        <v>48</v>
      </c>
      <c r="I4">
        <v>1.6059317526220342E-2</v>
      </c>
      <c r="J4" t="s">
        <v>60</v>
      </c>
      <c r="K4">
        <v>4.9005961372379722E-10</v>
      </c>
      <c r="L4" t="s">
        <v>61</v>
      </c>
      <c r="M4">
        <v>1.5182105220486701E-9</v>
      </c>
      <c r="N4">
        <v>0.44172967129258772</v>
      </c>
      <c r="O4">
        <v>9.4537673818944025E-8</v>
      </c>
      <c r="P4">
        <v>1.212945417319772E-9</v>
      </c>
      <c r="Q4">
        <v>6.2809134390629202E-8</v>
      </c>
      <c r="R4">
        <v>66.438205906059778</v>
      </c>
      <c r="S4" t="s">
        <v>63</v>
      </c>
      <c r="T4" t="s">
        <v>73</v>
      </c>
    </row>
    <row r="5" spans="1:20" x14ac:dyDescent="0.35">
      <c r="A5" s="1">
        <v>3</v>
      </c>
      <c r="B5" t="s">
        <v>9</v>
      </c>
      <c r="C5" t="s">
        <v>13</v>
      </c>
      <c r="D5" t="s">
        <v>14</v>
      </c>
      <c r="E5" t="s">
        <v>15</v>
      </c>
      <c r="F5">
        <v>2020</v>
      </c>
      <c r="G5" t="s">
        <v>18</v>
      </c>
      <c r="H5" t="s">
        <v>49</v>
      </c>
      <c r="I5">
        <v>2.6242913441980969E-2</v>
      </c>
      <c r="J5" t="s">
        <v>60</v>
      </c>
      <c r="K5">
        <v>1.091519013377945E-7</v>
      </c>
      <c r="L5" t="s">
        <v>61</v>
      </c>
      <c r="M5">
        <v>1.1513880723360871E-7</v>
      </c>
      <c r="N5">
        <v>33.500115256540248</v>
      </c>
      <c r="O5">
        <v>4.38742472279851E-6</v>
      </c>
      <c r="P5">
        <v>1.6532505920987471E-7</v>
      </c>
      <c r="Q5">
        <v>6.2809134390629202E-8</v>
      </c>
      <c r="R5">
        <v>1.4315717843374529</v>
      </c>
      <c r="S5" t="s">
        <v>64</v>
      </c>
      <c r="T5" t="s">
        <v>74</v>
      </c>
    </row>
    <row r="6" spans="1:20" x14ac:dyDescent="0.35">
      <c r="A6" s="1">
        <v>4</v>
      </c>
      <c r="B6" t="s">
        <v>9</v>
      </c>
      <c r="C6" t="s">
        <v>13</v>
      </c>
      <c r="D6" t="s">
        <v>14</v>
      </c>
      <c r="E6" t="s">
        <v>15</v>
      </c>
      <c r="F6">
        <v>2020</v>
      </c>
      <c r="G6" t="s">
        <v>18</v>
      </c>
      <c r="H6" t="s">
        <v>50</v>
      </c>
      <c r="I6">
        <v>6.7703022865264903E-2</v>
      </c>
      <c r="J6" t="s">
        <v>60</v>
      </c>
      <c r="K6">
        <v>3.1948199346987229E-8</v>
      </c>
      <c r="L6" t="s">
        <v>61</v>
      </c>
      <c r="M6">
        <v>3.7470456766949123E-8</v>
      </c>
      <c r="N6">
        <v>10.90218537578872</v>
      </c>
      <c r="O6">
        <v>5.5345323120237474E-7</v>
      </c>
      <c r="P6">
        <v>1.8756757149423381E-8</v>
      </c>
      <c r="Q6">
        <v>6.2809134390629202E-8</v>
      </c>
      <c r="R6">
        <v>11.34858933864685</v>
      </c>
      <c r="S6" t="s">
        <v>65</v>
      </c>
      <c r="T6" t="s">
        <v>75</v>
      </c>
    </row>
    <row r="7" spans="1:20" x14ac:dyDescent="0.35">
      <c r="A7" s="1">
        <v>5</v>
      </c>
      <c r="B7" t="s">
        <v>9</v>
      </c>
      <c r="C7" t="s">
        <v>13</v>
      </c>
      <c r="D7" t="s">
        <v>14</v>
      </c>
      <c r="E7" t="s">
        <v>15</v>
      </c>
      <c r="F7">
        <v>2020</v>
      </c>
      <c r="G7" t="s">
        <v>18</v>
      </c>
      <c r="H7" t="s">
        <v>51</v>
      </c>
      <c r="I7">
        <v>2.9901455401623949E-3</v>
      </c>
      <c r="J7" t="s">
        <v>60</v>
      </c>
      <c r="K7">
        <v>1.8262512754037069E-9</v>
      </c>
      <c r="L7" t="s">
        <v>61</v>
      </c>
      <c r="M7">
        <v>2.0866502575936749E-9</v>
      </c>
      <c r="N7">
        <v>0.60711957861131149</v>
      </c>
      <c r="O7">
        <v>6.9784237240851804E-7</v>
      </c>
      <c r="P7">
        <v>2.427658725482168E-8</v>
      </c>
      <c r="Q7">
        <v>6.2809134390629202E-8</v>
      </c>
      <c r="R7">
        <v>9.0004758773605449</v>
      </c>
      <c r="S7" t="s">
        <v>66</v>
      </c>
      <c r="T7" t="s">
        <v>76</v>
      </c>
    </row>
    <row r="8" spans="1:20" x14ac:dyDescent="0.35">
      <c r="A8" s="1">
        <v>6</v>
      </c>
      <c r="B8" t="s">
        <v>9</v>
      </c>
      <c r="C8" t="s">
        <v>13</v>
      </c>
      <c r="D8" t="s">
        <v>14</v>
      </c>
      <c r="E8" t="s">
        <v>15</v>
      </c>
      <c r="F8">
        <v>2020</v>
      </c>
      <c r="G8" t="s">
        <v>18</v>
      </c>
      <c r="H8" t="s">
        <v>52</v>
      </c>
      <c r="I8">
        <v>1.775642420797759E-2</v>
      </c>
      <c r="J8" t="s">
        <v>60</v>
      </c>
      <c r="K8">
        <v>6.2483732028620877E-9</v>
      </c>
      <c r="L8" t="s">
        <v>61</v>
      </c>
      <c r="M8">
        <v>7.612001547771627E-9</v>
      </c>
      <c r="N8">
        <v>2.2147435370415902</v>
      </c>
      <c r="O8">
        <v>4.2869000304417792E-7</v>
      </c>
      <c r="P8">
        <v>1.398720303280819E-8</v>
      </c>
      <c r="Q8">
        <v>6.2809134390629202E-8</v>
      </c>
      <c r="R8">
        <v>14.651411030025001</v>
      </c>
      <c r="S8" t="s">
        <v>67</v>
      </c>
      <c r="T8" t="s">
        <v>77</v>
      </c>
    </row>
    <row r="9" spans="1:20" x14ac:dyDescent="0.35">
      <c r="A9" s="1">
        <v>7</v>
      </c>
      <c r="B9" t="s">
        <v>9</v>
      </c>
      <c r="C9" t="s">
        <v>13</v>
      </c>
      <c r="D9" t="s">
        <v>14</v>
      </c>
      <c r="E9" t="s">
        <v>15</v>
      </c>
      <c r="F9">
        <v>2020</v>
      </c>
      <c r="G9" t="s">
        <v>18</v>
      </c>
      <c r="H9" t="s">
        <v>53</v>
      </c>
      <c r="I9">
        <v>4.0309159790225674E-3</v>
      </c>
      <c r="J9" t="s">
        <v>60</v>
      </c>
      <c r="K9">
        <v>0</v>
      </c>
      <c r="L9" t="s">
        <v>61</v>
      </c>
      <c r="M9">
        <v>2.5317834344376309E-10</v>
      </c>
      <c r="N9">
        <v>7.3663292938388802E-2</v>
      </c>
      <c r="O9">
        <v>6.2809134390629202E-8</v>
      </c>
      <c r="P9">
        <v>0</v>
      </c>
      <c r="Q9">
        <v>6.2809134390629202E-8</v>
      </c>
      <c r="R9">
        <v>100</v>
      </c>
      <c r="S9" t="s">
        <v>67</v>
      </c>
      <c r="T9" t="s">
        <v>77</v>
      </c>
    </row>
    <row r="10" spans="1:20" x14ac:dyDescent="0.35">
      <c r="A10" s="1">
        <v>8</v>
      </c>
      <c r="B10" t="s">
        <v>9</v>
      </c>
      <c r="C10" t="s">
        <v>13</v>
      </c>
      <c r="D10" t="s">
        <v>14</v>
      </c>
      <c r="E10" t="s">
        <v>15</v>
      </c>
      <c r="F10">
        <v>2020</v>
      </c>
      <c r="G10" t="s">
        <v>18</v>
      </c>
      <c r="H10" t="s">
        <v>54</v>
      </c>
      <c r="I10">
        <v>6.8969167654914634E-2</v>
      </c>
      <c r="J10" t="s">
        <v>60</v>
      </c>
      <c r="K10">
        <v>1.761144169605127E-8</v>
      </c>
      <c r="L10" t="s">
        <v>61</v>
      </c>
      <c r="M10">
        <v>2.2643361687582091E-8</v>
      </c>
      <c r="N10">
        <v>6.5881803412334454</v>
      </c>
      <c r="O10">
        <v>3.2831136662222081E-7</v>
      </c>
      <c r="P10">
        <v>1.0149843695171421E-8</v>
      </c>
      <c r="Q10">
        <v>6.2809134390629202E-8</v>
      </c>
      <c r="R10">
        <v>19.130965533368819</v>
      </c>
      <c r="S10" t="s">
        <v>68</v>
      </c>
      <c r="T10" t="s">
        <v>78</v>
      </c>
    </row>
    <row r="11" spans="1:20" x14ac:dyDescent="0.35">
      <c r="A11" s="1">
        <v>9</v>
      </c>
      <c r="B11" t="s">
        <v>9</v>
      </c>
      <c r="C11" t="s">
        <v>13</v>
      </c>
      <c r="D11" t="s">
        <v>14</v>
      </c>
      <c r="E11" t="s">
        <v>15</v>
      </c>
      <c r="F11">
        <v>2020</v>
      </c>
      <c r="G11" t="s">
        <v>18</v>
      </c>
      <c r="H11" t="s">
        <v>55</v>
      </c>
      <c r="I11">
        <v>3.8403712395952078E-3</v>
      </c>
      <c r="J11" t="s">
        <v>60</v>
      </c>
      <c r="K11">
        <v>8.8343304205763619E-10</v>
      </c>
      <c r="L11" t="s">
        <v>61</v>
      </c>
      <c r="M11">
        <v>1.159758467344713E-9</v>
      </c>
      <c r="N11">
        <v>0.33743655383686799</v>
      </c>
      <c r="O11">
        <v>3.019912386040462E-7</v>
      </c>
      <c r="P11">
        <v>9.1436555995913034E-9</v>
      </c>
      <c r="Q11">
        <v>6.2809134390629202E-8</v>
      </c>
      <c r="R11">
        <v>20.79833000485851</v>
      </c>
      <c r="S11" t="s">
        <v>69</v>
      </c>
      <c r="T11" t="s">
        <v>79</v>
      </c>
    </row>
    <row r="12" spans="1:20" x14ac:dyDescent="0.35">
      <c r="A12" s="1">
        <v>10</v>
      </c>
      <c r="B12" t="s">
        <v>9</v>
      </c>
      <c r="C12" t="s">
        <v>13</v>
      </c>
      <c r="D12" t="s">
        <v>14</v>
      </c>
      <c r="E12" t="s">
        <v>15</v>
      </c>
      <c r="F12">
        <v>2020</v>
      </c>
      <c r="G12" t="s">
        <v>18</v>
      </c>
      <c r="H12" t="s">
        <v>56</v>
      </c>
      <c r="I12">
        <v>2.6715626018654851E-3</v>
      </c>
      <c r="J12" t="s">
        <v>60</v>
      </c>
      <c r="K12">
        <v>6.155152852472465E-10</v>
      </c>
      <c r="L12" t="s">
        <v>61</v>
      </c>
      <c r="M12">
        <v>8.0777955500591585E-10</v>
      </c>
      <c r="N12">
        <v>0.23502682409824399</v>
      </c>
      <c r="O12">
        <v>3.0236220346918459E-7</v>
      </c>
      <c r="P12">
        <v>9.1578371579379447E-9</v>
      </c>
      <c r="Q12">
        <v>6.2809134390629202E-8</v>
      </c>
      <c r="R12">
        <v>20.772812762303619</v>
      </c>
      <c r="S12" t="s">
        <v>69</v>
      </c>
      <c r="T12" t="s">
        <v>79</v>
      </c>
    </row>
    <row r="13" spans="1:20" x14ac:dyDescent="0.35">
      <c r="A13" s="1">
        <v>11</v>
      </c>
      <c r="B13" t="s">
        <v>9</v>
      </c>
      <c r="C13" t="s">
        <v>13</v>
      </c>
      <c r="D13" t="s">
        <v>14</v>
      </c>
      <c r="E13" t="s">
        <v>15</v>
      </c>
      <c r="F13">
        <v>2020</v>
      </c>
      <c r="G13" t="s">
        <v>18</v>
      </c>
      <c r="H13" t="s">
        <v>57</v>
      </c>
      <c r="I13">
        <v>1.084651616586327E-2</v>
      </c>
      <c r="J13" t="s">
        <v>60</v>
      </c>
      <c r="K13">
        <v>4.9654443186610684E-9</v>
      </c>
      <c r="L13" t="s">
        <v>61</v>
      </c>
      <c r="M13">
        <v>5.8440729763176596E-9</v>
      </c>
      <c r="N13">
        <v>1.70035735976538</v>
      </c>
      <c r="O13">
        <v>5.3879724023372908E-7</v>
      </c>
      <c r="P13">
        <v>1.8196475541697229E-8</v>
      </c>
      <c r="Q13">
        <v>6.2809134390629202E-8</v>
      </c>
      <c r="R13">
        <v>11.657285839731241</v>
      </c>
      <c r="S13" t="s">
        <v>70</v>
      </c>
      <c r="T13" t="s">
        <v>80</v>
      </c>
    </row>
    <row r="14" spans="1:20" x14ac:dyDescent="0.35">
      <c r="A14" s="1">
        <v>12</v>
      </c>
      <c r="B14" t="s">
        <v>9</v>
      </c>
      <c r="C14" t="s">
        <v>13</v>
      </c>
      <c r="D14" t="s">
        <v>14</v>
      </c>
      <c r="E14" t="s">
        <v>15</v>
      </c>
      <c r="F14">
        <v>2020</v>
      </c>
      <c r="G14" t="s">
        <v>18</v>
      </c>
      <c r="H14" t="s">
        <v>58</v>
      </c>
      <c r="I14">
        <v>3.7531197805755272E-5</v>
      </c>
      <c r="J14" t="s">
        <v>60</v>
      </c>
      <c r="K14">
        <v>6.0845303548366099E-11</v>
      </c>
      <c r="L14" t="s">
        <v>61</v>
      </c>
      <c r="M14">
        <v>6.5621107823191884E-11</v>
      </c>
      <c r="N14">
        <v>1.9092734484200059E-2</v>
      </c>
      <c r="O14">
        <v>1.7484416075079039E-6</v>
      </c>
      <c r="P14">
        <v>6.4439782618181046E-8</v>
      </c>
      <c r="Q14">
        <v>6.2809134390629202E-8</v>
      </c>
      <c r="R14">
        <v>3.592292366008869</v>
      </c>
      <c r="S14" t="s">
        <v>70</v>
      </c>
      <c r="T14" t="s">
        <v>80</v>
      </c>
    </row>
    <row r="15" spans="1:20" x14ac:dyDescent="0.35">
      <c r="A15" s="1">
        <v>13</v>
      </c>
      <c r="B15" t="s">
        <v>9</v>
      </c>
      <c r="C15" t="s">
        <v>13</v>
      </c>
      <c r="D15" t="s">
        <v>14</v>
      </c>
      <c r="E15" t="s">
        <v>15</v>
      </c>
      <c r="F15">
        <v>2020</v>
      </c>
      <c r="G15" t="s">
        <v>18</v>
      </c>
      <c r="H15" t="s">
        <v>59</v>
      </c>
      <c r="I15">
        <v>4.3652618441889224E-3</v>
      </c>
      <c r="J15" t="s">
        <v>60</v>
      </c>
      <c r="K15">
        <v>1.5695141678814681E-9</v>
      </c>
      <c r="L15" t="s">
        <v>61</v>
      </c>
      <c r="M15">
        <v>1.9060781307825958E-9</v>
      </c>
      <c r="N15">
        <v>0.55458136664237578</v>
      </c>
      <c r="O15">
        <v>4.3664691805830268E-7</v>
      </c>
      <c r="P15">
        <v>1.429138670392206E-8</v>
      </c>
      <c r="Q15">
        <v>6.2809134390629202E-8</v>
      </c>
      <c r="R15">
        <v>14.384421781775339</v>
      </c>
      <c r="S15" t="s">
        <v>71</v>
      </c>
      <c r="T15" t="s">
        <v>81</v>
      </c>
    </row>
    <row r="16" spans="1:20" x14ac:dyDescent="0.35">
      <c r="A16" s="1">
        <v>14</v>
      </c>
      <c r="B16" t="s">
        <v>9</v>
      </c>
      <c r="C16" t="s">
        <v>13</v>
      </c>
      <c r="D16" t="s">
        <v>14</v>
      </c>
      <c r="E16" t="s">
        <v>15</v>
      </c>
      <c r="F16">
        <v>2020</v>
      </c>
      <c r="G16" t="s">
        <v>18</v>
      </c>
      <c r="H16" t="s">
        <v>19</v>
      </c>
      <c r="I16">
        <v>3.1242684515255099E-2</v>
      </c>
      <c r="J16" t="s">
        <v>60</v>
      </c>
      <c r="K16">
        <v>1.0738009115237639E-8</v>
      </c>
      <c r="L16" t="s">
        <v>61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8" spans="1:20" x14ac:dyDescent="0.35"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39</v>
      </c>
      <c r="J18" s="1" t="s">
        <v>40</v>
      </c>
      <c r="K18" s="1" t="s">
        <v>41</v>
      </c>
      <c r="L18" s="1" t="s">
        <v>8</v>
      </c>
      <c r="M18" s="1" t="s">
        <v>22</v>
      </c>
      <c r="N18" s="1" t="s">
        <v>42</v>
      </c>
      <c r="O18" s="1" t="s">
        <v>24</v>
      </c>
      <c r="P18" s="1" t="s">
        <v>43</v>
      </c>
      <c r="Q18" s="1" t="s">
        <v>44</v>
      </c>
      <c r="R18" s="1" t="s">
        <v>45</v>
      </c>
      <c r="S18" s="1" t="s">
        <v>26</v>
      </c>
      <c r="T18" s="1" t="s">
        <v>25</v>
      </c>
    </row>
    <row r="19" spans="1:20" x14ac:dyDescent="0.35">
      <c r="A19" s="1">
        <v>0</v>
      </c>
      <c r="B19" t="s">
        <v>10</v>
      </c>
      <c r="C19" t="s">
        <v>13</v>
      </c>
      <c r="D19" t="s">
        <v>14</v>
      </c>
      <c r="E19" t="s">
        <v>15</v>
      </c>
      <c r="F19">
        <v>2050</v>
      </c>
      <c r="G19" t="s">
        <v>18</v>
      </c>
      <c r="H19" t="s">
        <v>46</v>
      </c>
      <c r="I19">
        <v>0.1238413121453323</v>
      </c>
      <c r="J19" t="s">
        <v>60</v>
      </c>
      <c r="K19">
        <v>1.7230230079190209E-8</v>
      </c>
      <c r="L19" t="s">
        <v>61</v>
      </c>
      <c r="M19">
        <v>2.571252250786285E-8</v>
      </c>
      <c r="N19">
        <v>2.0376095032167361</v>
      </c>
      <c r="O19">
        <v>2.0762475834952611E-7</v>
      </c>
      <c r="P19">
        <v>4.7339323424264066E-9</v>
      </c>
      <c r="Q19">
        <v>6.3759305348065535E-8</v>
      </c>
      <c r="R19">
        <v>30.708912489487339</v>
      </c>
      <c r="S19" t="s">
        <v>62</v>
      </c>
      <c r="T19" t="s">
        <v>72</v>
      </c>
    </row>
    <row r="20" spans="1:20" x14ac:dyDescent="0.35">
      <c r="A20" s="1">
        <v>1</v>
      </c>
      <c r="B20" t="s">
        <v>10</v>
      </c>
      <c r="C20" t="s">
        <v>13</v>
      </c>
      <c r="D20" t="s">
        <v>14</v>
      </c>
      <c r="E20" t="s">
        <v>15</v>
      </c>
      <c r="F20">
        <v>2050</v>
      </c>
      <c r="G20" t="s">
        <v>18</v>
      </c>
      <c r="H20" t="s">
        <v>82</v>
      </c>
      <c r="I20">
        <v>0.1200885451119403</v>
      </c>
      <c r="J20" t="s">
        <v>60</v>
      </c>
      <c r="K20">
        <v>1.046425605663357E-8</v>
      </c>
      <c r="L20" t="s">
        <v>61</v>
      </c>
      <c r="M20">
        <v>1.8477063258229681E-8</v>
      </c>
      <c r="N20">
        <v>1.4642297221127389</v>
      </c>
      <c r="O20">
        <v>1.538619960880226E-7</v>
      </c>
      <c r="P20">
        <v>2.9648538473597021E-9</v>
      </c>
      <c r="Q20">
        <v>6.3759305348065535E-8</v>
      </c>
      <c r="R20">
        <v>41.439281283982318</v>
      </c>
      <c r="S20" t="s">
        <v>62</v>
      </c>
      <c r="T20" t="s">
        <v>72</v>
      </c>
    </row>
    <row r="21" spans="1:20" x14ac:dyDescent="0.35">
      <c r="A21" s="1">
        <v>2</v>
      </c>
      <c r="B21" t="s">
        <v>10</v>
      </c>
      <c r="C21" t="s">
        <v>13</v>
      </c>
      <c r="D21" t="s">
        <v>14</v>
      </c>
      <c r="E21" t="s">
        <v>15</v>
      </c>
      <c r="F21">
        <v>2050</v>
      </c>
      <c r="G21" t="s">
        <v>18</v>
      </c>
      <c r="H21" t="s">
        <v>47</v>
      </c>
      <c r="I21">
        <v>7.0702130932249987E-2</v>
      </c>
      <c r="J21" t="s">
        <v>60</v>
      </c>
      <c r="K21">
        <v>1.5682679448121099E-9</v>
      </c>
      <c r="L21" t="s">
        <v>61</v>
      </c>
      <c r="M21">
        <v>6.1295468175772154E-9</v>
      </c>
      <c r="N21">
        <v>0.48574086195113381</v>
      </c>
      <c r="O21">
        <v>8.6695361748726167E-8</v>
      </c>
      <c r="P21">
        <v>7.5471725099771662E-10</v>
      </c>
      <c r="Q21">
        <v>6.3759305348065535E-8</v>
      </c>
      <c r="R21">
        <v>73.544079016432917</v>
      </c>
      <c r="S21" t="s">
        <v>63</v>
      </c>
      <c r="T21" t="s">
        <v>73</v>
      </c>
    </row>
    <row r="22" spans="1:20" x14ac:dyDescent="0.35">
      <c r="A22" s="1">
        <v>3</v>
      </c>
      <c r="B22" t="s">
        <v>10</v>
      </c>
      <c r="C22" t="s">
        <v>13</v>
      </c>
      <c r="D22" t="s">
        <v>14</v>
      </c>
      <c r="E22" t="s">
        <v>15</v>
      </c>
      <c r="F22">
        <v>2050</v>
      </c>
      <c r="G22" t="s">
        <v>18</v>
      </c>
      <c r="H22" t="s">
        <v>48</v>
      </c>
      <c r="I22">
        <v>1.346707255845492E-2</v>
      </c>
      <c r="J22" t="s">
        <v>60</v>
      </c>
      <c r="K22">
        <v>5.0351245499456587E-10</v>
      </c>
      <c r="L22" t="s">
        <v>61</v>
      </c>
      <c r="M22">
        <v>1.379295593807308E-9</v>
      </c>
      <c r="N22">
        <v>0.1093033874380589</v>
      </c>
      <c r="O22">
        <v>1.0241985315073959E-7</v>
      </c>
      <c r="P22">
        <v>1.2721359701077301E-9</v>
      </c>
      <c r="Q22">
        <v>6.3759305348065535E-8</v>
      </c>
      <c r="R22">
        <v>62.252877139186843</v>
      </c>
      <c r="S22" t="s">
        <v>63</v>
      </c>
      <c r="T22" t="s">
        <v>73</v>
      </c>
    </row>
    <row r="23" spans="1:20" x14ac:dyDescent="0.35">
      <c r="A23" s="1">
        <v>4</v>
      </c>
      <c r="B23" t="s">
        <v>10</v>
      </c>
      <c r="C23" t="s">
        <v>13</v>
      </c>
      <c r="D23" t="s">
        <v>14</v>
      </c>
      <c r="E23" t="s">
        <v>15</v>
      </c>
      <c r="F23">
        <v>2050</v>
      </c>
      <c r="G23" t="s">
        <v>18</v>
      </c>
      <c r="H23" t="s">
        <v>49</v>
      </c>
      <c r="I23">
        <v>0.19353555708011469</v>
      </c>
      <c r="J23" t="s">
        <v>60</v>
      </c>
      <c r="K23">
        <v>6.9158233211925371E-7</v>
      </c>
      <c r="L23" t="s">
        <v>61</v>
      </c>
      <c r="M23">
        <v>7.2745302592612781E-7</v>
      </c>
      <c r="N23">
        <v>57.647599465107859</v>
      </c>
      <c r="O23">
        <v>3.758756462643173E-6</v>
      </c>
      <c r="P23">
        <v>1.2158489882845851E-7</v>
      </c>
      <c r="Q23">
        <v>6.3759305348065535E-8</v>
      </c>
      <c r="R23">
        <v>1.696287215778532</v>
      </c>
      <c r="S23" t="s">
        <v>64</v>
      </c>
      <c r="T23" t="s">
        <v>74</v>
      </c>
    </row>
    <row r="24" spans="1:20" x14ac:dyDescent="0.35">
      <c r="A24" s="1">
        <v>5</v>
      </c>
      <c r="B24" t="s">
        <v>10</v>
      </c>
      <c r="C24" t="s">
        <v>13</v>
      </c>
      <c r="D24" t="s">
        <v>14</v>
      </c>
      <c r="E24" t="s">
        <v>15</v>
      </c>
      <c r="F24">
        <v>2050</v>
      </c>
      <c r="G24" t="s">
        <v>18</v>
      </c>
      <c r="H24" t="s">
        <v>50</v>
      </c>
      <c r="I24">
        <v>0.1572141332383965</v>
      </c>
      <c r="J24" t="s">
        <v>60</v>
      </c>
      <c r="K24">
        <v>7.4697087750936671E-8</v>
      </c>
      <c r="L24" t="s">
        <v>61</v>
      </c>
      <c r="M24">
        <v>8.7262510612964009E-8</v>
      </c>
      <c r="N24">
        <v>6.9151877590055051</v>
      </c>
      <c r="O24">
        <v>5.5505512650469415E-7</v>
      </c>
      <c r="P24">
        <v>1.6166224266841129E-8</v>
      </c>
      <c r="Q24">
        <v>6.3759305348065535E-8</v>
      </c>
      <c r="R24">
        <v>11.487022153920471</v>
      </c>
      <c r="S24" t="s">
        <v>65</v>
      </c>
      <c r="T24" t="s">
        <v>75</v>
      </c>
    </row>
    <row r="25" spans="1:20" x14ac:dyDescent="0.35">
      <c r="A25" s="1">
        <v>6</v>
      </c>
      <c r="B25" t="s">
        <v>10</v>
      </c>
      <c r="C25" t="s">
        <v>13</v>
      </c>
      <c r="D25" t="s">
        <v>14</v>
      </c>
      <c r="E25" t="s">
        <v>15</v>
      </c>
      <c r="F25">
        <v>2050</v>
      </c>
      <c r="G25" t="s">
        <v>18</v>
      </c>
      <c r="H25" t="s">
        <v>51</v>
      </c>
      <c r="I25">
        <v>0.21471188530380569</v>
      </c>
      <c r="J25" t="s">
        <v>60</v>
      </c>
      <c r="K25">
        <v>1.320300345810738E-7</v>
      </c>
      <c r="L25" t="s">
        <v>61</v>
      </c>
      <c r="M25">
        <v>1.502122204174226E-7</v>
      </c>
      <c r="N25">
        <v>11.9036880853767</v>
      </c>
      <c r="O25">
        <v>6.9959900079532372E-7</v>
      </c>
      <c r="P25">
        <v>2.0922480248581791E-8</v>
      </c>
      <c r="Q25">
        <v>6.3759305348065535E-8</v>
      </c>
      <c r="R25">
        <v>9.1136930263739906</v>
      </c>
      <c r="S25" t="s">
        <v>66</v>
      </c>
      <c r="T25" t="s">
        <v>76</v>
      </c>
    </row>
    <row r="26" spans="1:20" x14ac:dyDescent="0.35">
      <c r="A26" s="1">
        <v>7</v>
      </c>
      <c r="B26" t="s">
        <v>10</v>
      </c>
      <c r="C26" t="s">
        <v>13</v>
      </c>
      <c r="D26" t="s">
        <v>14</v>
      </c>
      <c r="E26" t="s">
        <v>15</v>
      </c>
      <c r="F26">
        <v>2050</v>
      </c>
      <c r="G26" t="s">
        <v>18</v>
      </c>
      <c r="H26" t="s">
        <v>52</v>
      </c>
      <c r="I26">
        <v>1.313468462121163E-2</v>
      </c>
      <c r="J26" t="s">
        <v>60</v>
      </c>
      <c r="K26">
        <v>6.6340114252030629E-9</v>
      </c>
      <c r="L26" t="s">
        <v>61</v>
      </c>
      <c r="M26">
        <v>7.6971911898754887E-9</v>
      </c>
      <c r="N26">
        <v>0.60997009965748494</v>
      </c>
      <c r="O26">
        <v>5.8602025186391173E-7</v>
      </c>
      <c r="P26">
        <v>1.718514024261608E-8</v>
      </c>
      <c r="Q26">
        <v>6.3759305348065535E-8</v>
      </c>
      <c r="R26">
        <v>10.880051524716251</v>
      </c>
      <c r="S26" t="s">
        <v>67</v>
      </c>
      <c r="T26" t="s">
        <v>77</v>
      </c>
    </row>
    <row r="27" spans="1:20" x14ac:dyDescent="0.35">
      <c r="A27" s="1">
        <v>8</v>
      </c>
      <c r="B27" t="s">
        <v>10</v>
      </c>
      <c r="C27" t="s">
        <v>13</v>
      </c>
      <c r="D27" t="s">
        <v>14</v>
      </c>
      <c r="E27" t="s">
        <v>15</v>
      </c>
      <c r="F27">
        <v>2050</v>
      </c>
      <c r="G27" t="s">
        <v>18</v>
      </c>
      <c r="H27" t="s">
        <v>53</v>
      </c>
      <c r="I27">
        <v>2.412493094341404E-3</v>
      </c>
      <c r="J27" t="s">
        <v>60</v>
      </c>
      <c r="K27">
        <v>0</v>
      </c>
      <c r="L27" t="s">
        <v>61</v>
      </c>
      <c r="M27">
        <v>1.5381888385221301E-10</v>
      </c>
      <c r="N27">
        <v>1.218950102680965E-2</v>
      </c>
      <c r="O27">
        <v>6.3759305348065535E-8</v>
      </c>
      <c r="P27">
        <v>0</v>
      </c>
      <c r="Q27">
        <v>6.3759305348065535E-8</v>
      </c>
      <c r="R27">
        <v>100</v>
      </c>
      <c r="S27" t="s">
        <v>67</v>
      </c>
      <c r="T27" t="s">
        <v>77</v>
      </c>
    </row>
    <row r="28" spans="1:20" x14ac:dyDescent="0.35">
      <c r="A28" s="1">
        <v>9</v>
      </c>
      <c r="B28" t="s">
        <v>10</v>
      </c>
      <c r="C28" t="s">
        <v>13</v>
      </c>
      <c r="D28" t="s">
        <v>14</v>
      </c>
      <c r="E28" t="s">
        <v>15</v>
      </c>
      <c r="F28">
        <v>2050</v>
      </c>
      <c r="G28" t="s">
        <v>18</v>
      </c>
      <c r="H28" t="s">
        <v>54</v>
      </c>
      <c r="I28">
        <v>6.7013697097184535E-4</v>
      </c>
      <c r="J28" t="s">
        <v>60</v>
      </c>
      <c r="K28">
        <v>4.2617898078222601E-10</v>
      </c>
      <c r="L28" t="s">
        <v>61</v>
      </c>
      <c r="M28">
        <v>4.8340713430232035E-10</v>
      </c>
      <c r="N28">
        <v>3.8307986720321457E-2</v>
      </c>
      <c r="O28">
        <v>7.2135571568492054E-7</v>
      </c>
      <c r="P28">
        <v>2.163839094244217E-8</v>
      </c>
      <c r="Q28">
        <v>6.3759305348065535E-8</v>
      </c>
      <c r="R28">
        <v>8.8388161293664496</v>
      </c>
      <c r="S28" t="s">
        <v>68</v>
      </c>
      <c r="T28" t="s">
        <v>78</v>
      </c>
    </row>
    <row r="29" spans="1:20" x14ac:dyDescent="0.35">
      <c r="A29" s="1">
        <v>10</v>
      </c>
      <c r="B29" t="s">
        <v>10</v>
      </c>
      <c r="C29" t="s">
        <v>13</v>
      </c>
      <c r="D29" t="s">
        <v>14</v>
      </c>
      <c r="E29" t="s">
        <v>15</v>
      </c>
      <c r="F29">
        <v>2050</v>
      </c>
      <c r="G29" t="s">
        <v>18</v>
      </c>
      <c r="H29" t="s">
        <v>57</v>
      </c>
      <c r="I29">
        <v>2.1842904673904678E-2</v>
      </c>
      <c r="J29" t="s">
        <v>60</v>
      </c>
      <c r="K29">
        <v>3.0994380035251422E-8</v>
      </c>
      <c r="L29" t="s">
        <v>61</v>
      </c>
      <c r="M29">
        <v>3.3441648313292192E-8</v>
      </c>
      <c r="N29">
        <v>2.6501102871396092</v>
      </c>
      <c r="O29">
        <v>1.531007382605314E-6</v>
      </c>
      <c r="P29">
        <v>4.8280201969131053E-8</v>
      </c>
      <c r="Q29">
        <v>6.3759305348065535E-8</v>
      </c>
      <c r="R29">
        <v>4.1645328476186938</v>
      </c>
      <c r="S29" t="s">
        <v>70</v>
      </c>
      <c r="T29" t="s">
        <v>80</v>
      </c>
    </row>
    <row r="30" spans="1:20" x14ac:dyDescent="0.35">
      <c r="A30" s="1">
        <v>11</v>
      </c>
      <c r="B30" t="s">
        <v>10</v>
      </c>
      <c r="C30" t="s">
        <v>13</v>
      </c>
      <c r="D30" t="s">
        <v>14</v>
      </c>
      <c r="E30" t="s">
        <v>15</v>
      </c>
      <c r="F30">
        <v>2050</v>
      </c>
      <c r="G30" t="s">
        <v>18</v>
      </c>
      <c r="H30" t="s">
        <v>83</v>
      </c>
      <c r="I30">
        <v>8.2453348769044171E-3</v>
      </c>
      <c r="J30" t="s">
        <v>60</v>
      </c>
      <c r="K30">
        <v>1.1006116197141251E-7</v>
      </c>
      <c r="L30" t="s">
        <v>61</v>
      </c>
      <c r="M30">
        <v>1.143316958710064E-7</v>
      </c>
      <c r="N30">
        <v>9.0603070917841091</v>
      </c>
      <c r="O30">
        <v>1.386622830702184E-5</v>
      </c>
      <c r="P30">
        <v>4.541740428238739E-7</v>
      </c>
      <c r="Q30">
        <v>6.3759305348065535E-8</v>
      </c>
      <c r="R30">
        <v>0.45981721875860021</v>
      </c>
      <c r="S30" t="s">
        <v>70</v>
      </c>
      <c r="T30" t="s">
        <v>80</v>
      </c>
    </row>
    <row r="31" spans="1:20" x14ac:dyDescent="0.35">
      <c r="A31" s="1">
        <v>12</v>
      </c>
      <c r="B31" t="s">
        <v>10</v>
      </c>
      <c r="C31" t="s">
        <v>13</v>
      </c>
      <c r="D31" t="s">
        <v>14</v>
      </c>
      <c r="E31" t="s">
        <v>15</v>
      </c>
      <c r="F31">
        <v>2050</v>
      </c>
      <c r="G31" t="s">
        <v>18</v>
      </c>
      <c r="H31" t="s">
        <v>84</v>
      </c>
      <c r="I31">
        <v>2.748444958968138E-3</v>
      </c>
      <c r="J31" t="s">
        <v>60</v>
      </c>
      <c r="K31">
        <v>1.630480529772018E-8</v>
      </c>
      <c r="L31" t="s">
        <v>61</v>
      </c>
      <c r="M31">
        <v>1.703481317117974E-8</v>
      </c>
      <c r="N31">
        <v>1.349937455280908</v>
      </c>
      <c r="O31">
        <v>6.19798228652729E-6</v>
      </c>
      <c r="P31">
        <v>2.0184829617131801E-7</v>
      </c>
      <c r="Q31">
        <v>6.3759305348065535E-8</v>
      </c>
      <c r="R31">
        <v>1.0287106739020659</v>
      </c>
      <c r="S31" t="s">
        <v>70</v>
      </c>
      <c r="T31" t="s">
        <v>80</v>
      </c>
    </row>
    <row r="32" spans="1:20" x14ac:dyDescent="0.35">
      <c r="A32" s="1">
        <v>13</v>
      </c>
      <c r="B32" t="s">
        <v>10</v>
      </c>
      <c r="C32" t="s">
        <v>13</v>
      </c>
      <c r="D32" t="s">
        <v>14</v>
      </c>
      <c r="E32" t="s">
        <v>15</v>
      </c>
      <c r="F32">
        <v>2050</v>
      </c>
      <c r="G32" t="s">
        <v>18</v>
      </c>
      <c r="H32" t="s">
        <v>58</v>
      </c>
      <c r="I32">
        <v>1.113843483371298E-2</v>
      </c>
      <c r="J32" t="s">
        <v>60</v>
      </c>
      <c r="K32">
        <v>3.1010117718065443E-8</v>
      </c>
      <c r="L32" t="s">
        <v>61</v>
      </c>
      <c r="M32">
        <v>3.2775411907637793E-8</v>
      </c>
      <c r="N32">
        <v>2.5973138479285112</v>
      </c>
      <c r="O32">
        <v>2.9425509415771431E-6</v>
      </c>
      <c r="P32">
        <v>9.4727431426592103E-8</v>
      </c>
      <c r="Q32">
        <v>6.3759305348065535E-8</v>
      </c>
      <c r="R32">
        <v>2.1668037907915338</v>
      </c>
      <c r="S32" t="s">
        <v>70</v>
      </c>
      <c r="T32" t="s">
        <v>80</v>
      </c>
    </row>
    <row r="33" spans="1:20" x14ac:dyDescent="0.35">
      <c r="A33" s="1">
        <v>14</v>
      </c>
      <c r="B33" t="s">
        <v>10</v>
      </c>
      <c r="C33" t="s">
        <v>13</v>
      </c>
      <c r="D33" t="s">
        <v>14</v>
      </c>
      <c r="E33" t="s">
        <v>15</v>
      </c>
      <c r="F33">
        <v>2050</v>
      </c>
      <c r="G33" t="s">
        <v>18</v>
      </c>
      <c r="H33" t="s">
        <v>59</v>
      </c>
      <c r="I33">
        <v>4.6246929599690588E-2</v>
      </c>
      <c r="J33" t="s">
        <v>60</v>
      </c>
      <c r="K33">
        <v>3.5205760371843547E-8</v>
      </c>
      <c r="L33" t="s">
        <v>61</v>
      </c>
      <c r="M33">
        <v>3.9352304008613562E-8</v>
      </c>
      <c r="N33">
        <v>3.1185049462535108</v>
      </c>
      <c r="O33">
        <v>8.5091711707660801E-7</v>
      </c>
      <c r="P33">
        <v>2.5901644528221179E-8</v>
      </c>
      <c r="Q33">
        <v>6.3759305348065535E-8</v>
      </c>
      <c r="R33">
        <v>7.4930100791855718</v>
      </c>
      <c r="S33" t="s">
        <v>71</v>
      </c>
      <c r="T33" t="s">
        <v>81</v>
      </c>
    </row>
    <row r="34" spans="1:20" x14ac:dyDescent="0.35">
      <c r="A34" s="1">
        <v>15</v>
      </c>
      <c r="B34" t="s">
        <v>10</v>
      </c>
      <c r="C34" t="s">
        <v>13</v>
      </c>
      <c r="D34" t="s">
        <v>14</v>
      </c>
      <c r="E34" t="s">
        <v>15</v>
      </c>
      <c r="F34">
        <v>2050</v>
      </c>
      <c r="G34" t="s">
        <v>18</v>
      </c>
      <c r="H34" t="s">
        <v>19</v>
      </c>
      <c r="I34">
        <v>3.1242684515255099E-2</v>
      </c>
      <c r="J34" t="s">
        <v>60</v>
      </c>
      <c r="K34">
        <v>3.9425033478512733E-8</v>
      </c>
      <c r="L34" t="s">
        <v>61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6" spans="1:20" x14ac:dyDescent="0.35">
      <c r="B36" s="1" t="s">
        <v>0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5</v>
      </c>
      <c r="H36" s="1" t="s">
        <v>6</v>
      </c>
      <c r="I36" s="1" t="s">
        <v>39</v>
      </c>
      <c r="J36" s="1" t="s">
        <v>40</v>
      </c>
      <c r="K36" s="1" t="s">
        <v>41</v>
      </c>
      <c r="L36" s="1" t="s">
        <v>8</v>
      </c>
      <c r="M36" s="1" t="s">
        <v>22</v>
      </c>
      <c r="N36" s="1" t="s">
        <v>42</v>
      </c>
      <c r="O36" s="1" t="s">
        <v>24</v>
      </c>
      <c r="P36" s="1" t="s">
        <v>43</v>
      </c>
      <c r="Q36" s="1" t="s">
        <v>44</v>
      </c>
      <c r="R36" s="1" t="s">
        <v>45</v>
      </c>
      <c r="S36" s="1" t="s">
        <v>26</v>
      </c>
      <c r="T36" s="1" t="s">
        <v>25</v>
      </c>
    </row>
    <row r="37" spans="1:20" x14ac:dyDescent="0.35">
      <c r="A37" s="1">
        <v>0</v>
      </c>
      <c r="B37" t="s">
        <v>11</v>
      </c>
      <c r="C37" t="s">
        <v>13</v>
      </c>
      <c r="D37" t="s">
        <v>14</v>
      </c>
      <c r="E37" t="s">
        <v>16</v>
      </c>
      <c r="F37">
        <v>2050</v>
      </c>
      <c r="G37" t="s">
        <v>18</v>
      </c>
      <c r="H37" t="s">
        <v>47</v>
      </c>
      <c r="I37">
        <v>6.3879361199835186E-2</v>
      </c>
      <c r="J37" t="s">
        <v>60</v>
      </c>
      <c r="K37">
        <v>1.4169410663449619E-9</v>
      </c>
      <c r="L37" t="s">
        <v>61</v>
      </c>
      <c r="M37">
        <v>5.5370563628977301E-9</v>
      </c>
      <c r="N37">
        <v>0.26800569427909787</v>
      </c>
      <c r="O37">
        <v>8.6679895648549724E-8</v>
      </c>
      <c r="P37">
        <v>7.3889840971648669E-10</v>
      </c>
      <c r="Q37">
        <v>6.3759481335561849E-8</v>
      </c>
      <c r="R37">
        <v>73.557404353691823</v>
      </c>
      <c r="S37" t="s">
        <v>63</v>
      </c>
      <c r="T37" t="s">
        <v>73</v>
      </c>
    </row>
    <row r="38" spans="1:20" x14ac:dyDescent="0.35">
      <c r="A38" s="1">
        <v>1</v>
      </c>
      <c r="B38" t="s">
        <v>11</v>
      </c>
      <c r="C38" t="s">
        <v>13</v>
      </c>
      <c r="D38" t="s">
        <v>14</v>
      </c>
      <c r="E38" t="s">
        <v>16</v>
      </c>
      <c r="F38">
        <v>2050</v>
      </c>
      <c r="G38" t="s">
        <v>18</v>
      </c>
      <c r="H38" t="s">
        <v>48</v>
      </c>
      <c r="I38">
        <v>1.2167497371459781E-2</v>
      </c>
      <c r="J38" t="s">
        <v>60</v>
      </c>
      <c r="K38">
        <v>4.5492604681423472E-10</v>
      </c>
      <c r="L38" t="s">
        <v>61</v>
      </c>
      <c r="M38">
        <v>1.245873613643526E-9</v>
      </c>
      <c r="N38">
        <v>6.0303020400139122E-2</v>
      </c>
      <c r="O38">
        <v>1.023935798470655E-7</v>
      </c>
      <c r="P38">
        <v>1.2454693689722739E-9</v>
      </c>
      <c r="Q38">
        <v>6.3759481335561849E-8</v>
      </c>
      <c r="R38">
        <v>62.269022560586997</v>
      </c>
      <c r="S38" t="s">
        <v>63</v>
      </c>
      <c r="T38" t="s">
        <v>73</v>
      </c>
    </row>
    <row r="39" spans="1:20" x14ac:dyDescent="0.35">
      <c r="A39" s="1">
        <v>2</v>
      </c>
      <c r="B39" t="s">
        <v>11</v>
      </c>
      <c r="C39" t="s">
        <v>13</v>
      </c>
      <c r="D39" t="s">
        <v>14</v>
      </c>
      <c r="E39" t="s">
        <v>16</v>
      </c>
      <c r="F39">
        <v>2050</v>
      </c>
      <c r="G39" t="s">
        <v>18</v>
      </c>
      <c r="H39" t="s">
        <v>49</v>
      </c>
      <c r="I39">
        <v>0.30818352720644221</v>
      </c>
      <c r="J39" t="s">
        <v>60</v>
      </c>
      <c r="K39">
        <v>1.1012700624675501E-6</v>
      </c>
      <c r="L39" t="s">
        <v>61</v>
      </c>
      <c r="M39">
        <v>1.1576045845467729E-6</v>
      </c>
      <c r="N39">
        <v>56.030605442449037</v>
      </c>
      <c r="O39">
        <v>3.756218234764155E-6</v>
      </c>
      <c r="P39">
        <v>1.1903588929917751E-7</v>
      </c>
      <c r="Q39">
        <v>6.3759481335561849E-8</v>
      </c>
      <c r="R39">
        <v>1.697438150570215</v>
      </c>
      <c r="S39" t="s">
        <v>64</v>
      </c>
      <c r="T39" t="s">
        <v>74</v>
      </c>
    </row>
    <row r="40" spans="1:20" x14ac:dyDescent="0.35">
      <c r="A40" s="1">
        <v>3</v>
      </c>
      <c r="B40" t="s">
        <v>11</v>
      </c>
      <c r="C40" t="s">
        <v>13</v>
      </c>
      <c r="D40" t="s">
        <v>14</v>
      </c>
      <c r="E40" t="s">
        <v>16</v>
      </c>
      <c r="F40">
        <v>2050</v>
      </c>
      <c r="G40" t="s">
        <v>18</v>
      </c>
      <c r="H40" t="s">
        <v>50</v>
      </c>
      <c r="I40">
        <v>0.1807929296555647</v>
      </c>
      <c r="J40" t="s">
        <v>60</v>
      </c>
      <c r="K40">
        <v>8.5900224405305808E-8</v>
      </c>
      <c r="L40" t="s">
        <v>61</v>
      </c>
      <c r="M40">
        <v>1.002889486728123E-7</v>
      </c>
      <c r="N40">
        <v>4.8542054759781594</v>
      </c>
      <c r="O40">
        <v>5.5471720527941235E-7</v>
      </c>
      <c r="P40">
        <v>1.582728289752486E-8</v>
      </c>
      <c r="Q40">
        <v>6.3759481335561849E-8</v>
      </c>
      <c r="R40">
        <v>11.494051514671529</v>
      </c>
      <c r="S40" t="s">
        <v>65</v>
      </c>
      <c r="T40" t="s">
        <v>75</v>
      </c>
    </row>
    <row r="41" spans="1:20" x14ac:dyDescent="0.35">
      <c r="A41" s="1">
        <v>4</v>
      </c>
      <c r="B41" t="s">
        <v>11</v>
      </c>
      <c r="C41" t="s">
        <v>13</v>
      </c>
      <c r="D41" t="s">
        <v>14</v>
      </c>
      <c r="E41" t="s">
        <v>16</v>
      </c>
      <c r="F41">
        <v>2050</v>
      </c>
      <c r="G41" t="s">
        <v>18</v>
      </c>
      <c r="H41" t="s">
        <v>51</v>
      </c>
      <c r="I41">
        <v>0.27064447277681541</v>
      </c>
      <c r="J41" t="s">
        <v>60</v>
      </c>
      <c r="K41">
        <v>1.664241357872812E-7</v>
      </c>
      <c r="L41" t="s">
        <v>61</v>
      </c>
      <c r="M41">
        <v>1.892241159141558E-7</v>
      </c>
      <c r="N41">
        <v>9.1588629835405744</v>
      </c>
      <c r="O41">
        <v>6.99161205742405E-7</v>
      </c>
      <c r="P41">
        <v>2.0483806151326351E-8</v>
      </c>
      <c r="Q41">
        <v>6.3759481335561849E-8</v>
      </c>
      <c r="R41">
        <v>9.1194249354637442</v>
      </c>
      <c r="S41" t="s">
        <v>66</v>
      </c>
      <c r="T41" t="s">
        <v>76</v>
      </c>
    </row>
    <row r="42" spans="1:20" x14ac:dyDescent="0.35">
      <c r="A42" s="1">
        <v>5</v>
      </c>
      <c r="B42" t="s">
        <v>11</v>
      </c>
      <c r="C42" t="s">
        <v>13</v>
      </c>
      <c r="D42" t="s">
        <v>14</v>
      </c>
      <c r="E42" t="s">
        <v>16</v>
      </c>
      <c r="F42">
        <v>2050</v>
      </c>
      <c r="G42" t="s">
        <v>18</v>
      </c>
      <c r="H42" t="s">
        <v>52</v>
      </c>
      <c r="I42">
        <v>1.1867184935233919E-2</v>
      </c>
      <c r="J42" t="s">
        <v>60</v>
      </c>
      <c r="K42">
        <v>5.9938520610332822E-9</v>
      </c>
      <c r="L42" t="s">
        <v>61</v>
      </c>
      <c r="M42">
        <v>6.9501615076256916E-9</v>
      </c>
      <c r="N42">
        <v>0.33640308823374171</v>
      </c>
      <c r="O42">
        <v>5.856621891001731E-7</v>
      </c>
      <c r="P42">
        <v>1.6824873910568021E-8</v>
      </c>
      <c r="Q42">
        <v>6.3759481335561849E-8</v>
      </c>
      <c r="R42">
        <v>10.88673343135291</v>
      </c>
      <c r="S42" t="s">
        <v>67</v>
      </c>
      <c r="T42" t="s">
        <v>77</v>
      </c>
    </row>
    <row r="43" spans="1:20" x14ac:dyDescent="0.35">
      <c r="A43" s="1">
        <v>6</v>
      </c>
      <c r="B43" t="s">
        <v>11</v>
      </c>
      <c r="C43" t="s">
        <v>13</v>
      </c>
      <c r="D43" t="s">
        <v>14</v>
      </c>
      <c r="E43" t="s">
        <v>16</v>
      </c>
      <c r="F43">
        <v>2050</v>
      </c>
      <c r="G43" t="s">
        <v>18</v>
      </c>
      <c r="H43" t="s">
        <v>53</v>
      </c>
      <c r="I43">
        <v>2.1796870285985359E-3</v>
      </c>
      <c r="J43" t="s">
        <v>60</v>
      </c>
      <c r="K43">
        <v>0</v>
      </c>
      <c r="L43" t="s">
        <v>61</v>
      </c>
      <c r="M43">
        <v>1.3897571441729459E-10</v>
      </c>
      <c r="N43">
        <v>6.7267299426311874E-3</v>
      </c>
      <c r="O43">
        <v>6.3759481335561849E-8</v>
      </c>
      <c r="P43">
        <v>0</v>
      </c>
      <c r="Q43">
        <v>6.3759481335561849E-8</v>
      </c>
      <c r="R43">
        <v>100</v>
      </c>
      <c r="S43" t="s">
        <v>67</v>
      </c>
      <c r="T43" t="s">
        <v>77</v>
      </c>
    </row>
    <row r="44" spans="1:20" x14ac:dyDescent="0.35">
      <c r="A44" s="1">
        <v>7</v>
      </c>
      <c r="B44" t="s">
        <v>11</v>
      </c>
      <c r="C44" t="s">
        <v>13</v>
      </c>
      <c r="D44" t="s">
        <v>14</v>
      </c>
      <c r="E44" t="s">
        <v>16</v>
      </c>
      <c r="F44">
        <v>2050</v>
      </c>
      <c r="G44" t="s">
        <v>18</v>
      </c>
      <c r="H44" t="s">
        <v>85</v>
      </c>
      <c r="I44">
        <v>1.0535153974189091E-2</v>
      </c>
      <c r="J44" t="s">
        <v>60</v>
      </c>
      <c r="K44">
        <v>3.6005417410498262E-9</v>
      </c>
      <c r="L44" t="s">
        <v>61</v>
      </c>
      <c r="M44">
        <v>4.3921969525872196E-9</v>
      </c>
      <c r="N44">
        <v>0.21259198327405901</v>
      </c>
      <c r="O44">
        <v>4.1690866249776803E-7</v>
      </c>
      <c r="P44">
        <v>1.1384670660406471E-8</v>
      </c>
      <c r="Q44">
        <v>6.3759481335561849E-8</v>
      </c>
      <c r="R44">
        <v>15.293393270739051</v>
      </c>
      <c r="S44" t="s">
        <v>86</v>
      </c>
      <c r="T44" t="s">
        <v>87</v>
      </c>
    </row>
    <row r="45" spans="1:20" x14ac:dyDescent="0.35">
      <c r="A45" s="1">
        <v>8</v>
      </c>
      <c r="B45" t="s">
        <v>11</v>
      </c>
      <c r="C45" t="s">
        <v>13</v>
      </c>
      <c r="D45" t="s">
        <v>14</v>
      </c>
      <c r="E45" t="s">
        <v>16</v>
      </c>
      <c r="F45">
        <v>2050</v>
      </c>
      <c r="G45" t="s">
        <v>18</v>
      </c>
      <c r="H45" t="s">
        <v>54</v>
      </c>
      <c r="I45">
        <v>6.0546861949339924E-4</v>
      </c>
      <c r="J45" t="s">
        <v>60</v>
      </c>
      <c r="K45">
        <v>3.8506897178541368E-10</v>
      </c>
      <c r="L45" t="s">
        <v>61</v>
      </c>
      <c r="M45">
        <v>4.3650054189236608E-10</v>
      </c>
      <c r="N45">
        <v>2.1127585329805829E-2</v>
      </c>
      <c r="O45">
        <v>7.2093008264836223E-7</v>
      </c>
      <c r="P45">
        <v>2.1185581795844748E-8</v>
      </c>
      <c r="Q45">
        <v>6.3759481335561849E-8</v>
      </c>
      <c r="R45">
        <v>8.8440589275091881</v>
      </c>
      <c r="S45" t="s">
        <v>68</v>
      </c>
      <c r="T45" t="s">
        <v>78</v>
      </c>
    </row>
    <row r="46" spans="1:20" x14ac:dyDescent="0.35">
      <c r="A46" s="1">
        <v>9</v>
      </c>
      <c r="B46" t="s">
        <v>11</v>
      </c>
      <c r="C46" t="s">
        <v>13</v>
      </c>
      <c r="D46" t="s">
        <v>14</v>
      </c>
      <c r="E46" t="s">
        <v>16</v>
      </c>
      <c r="F46">
        <v>2050</v>
      </c>
      <c r="G46" t="s">
        <v>18</v>
      </c>
      <c r="H46" t="s">
        <v>57</v>
      </c>
      <c r="I46">
        <v>2.235077570274557E-2</v>
      </c>
      <c r="J46" t="s">
        <v>60</v>
      </c>
      <c r="K46">
        <v>5.1392475025148412E-8</v>
      </c>
      <c r="L46" t="s">
        <v>61</v>
      </c>
      <c r="M46">
        <v>5.4529506641859287E-8</v>
      </c>
      <c r="N46">
        <v>2.639347936599306</v>
      </c>
      <c r="O46">
        <v>2.439714279588108E-6</v>
      </c>
      <c r="P46">
        <v>7.6595003825574641E-8</v>
      </c>
      <c r="Q46">
        <v>6.3759481335561849E-8</v>
      </c>
      <c r="R46">
        <v>2.6133995226000901</v>
      </c>
      <c r="S46" t="s">
        <v>70</v>
      </c>
      <c r="T46" t="s">
        <v>80</v>
      </c>
    </row>
    <row r="47" spans="1:20" x14ac:dyDescent="0.35">
      <c r="A47" s="1">
        <v>10</v>
      </c>
      <c r="B47" t="s">
        <v>11</v>
      </c>
      <c r="C47" t="s">
        <v>13</v>
      </c>
      <c r="D47" t="s">
        <v>14</v>
      </c>
      <c r="E47" t="s">
        <v>16</v>
      </c>
      <c r="F47">
        <v>2050</v>
      </c>
      <c r="G47" t="s">
        <v>18</v>
      </c>
      <c r="H47" t="s">
        <v>83</v>
      </c>
      <c r="I47">
        <v>2.1036024190819361E-2</v>
      </c>
      <c r="J47" t="s">
        <v>60</v>
      </c>
      <c r="K47">
        <v>3.2293506981775701E-7</v>
      </c>
      <c r="L47" t="s">
        <v>61</v>
      </c>
      <c r="M47">
        <v>3.3503375053899062E-7</v>
      </c>
      <c r="N47">
        <v>16.2163696800698</v>
      </c>
      <c r="O47">
        <v>1.5926666916707941E-5</v>
      </c>
      <c r="P47">
        <v>5.1138155346671546E-7</v>
      </c>
      <c r="Q47">
        <v>6.3759481335561849E-8</v>
      </c>
      <c r="R47">
        <v>0.40033160528192308</v>
      </c>
      <c r="S47" t="s">
        <v>70</v>
      </c>
      <c r="T47" t="s">
        <v>80</v>
      </c>
    </row>
    <row r="48" spans="1:20" x14ac:dyDescent="0.35">
      <c r="A48" s="1">
        <v>11</v>
      </c>
      <c r="B48" t="s">
        <v>11</v>
      </c>
      <c r="C48" t="s">
        <v>13</v>
      </c>
      <c r="D48" t="s">
        <v>14</v>
      </c>
      <c r="E48" t="s">
        <v>16</v>
      </c>
      <c r="F48">
        <v>2050</v>
      </c>
      <c r="G48" t="s">
        <v>18</v>
      </c>
      <c r="H48" t="s">
        <v>84</v>
      </c>
      <c r="I48">
        <v>2.4980278726597989E-3</v>
      </c>
      <c r="J48" t="s">
        <v>60</v>
      </c>
      <c r="K48">
        <v>1.72880670458841E-8</v>
      </c>
      <c r="L48" t="s">
        <v>61</v>
      </c>
      <c r="M48">
        <v>1.8023230550820419E-8</v>
      </c>
      <c r="N48">
        <v>0.87236396026082708</v>
      </c>
      <c r="O48">
        <v>7.2149837670265914E-6</v>
      </c>
      <c r="P48">
        <v>2.3053807754377359E-7</v>
      </c>
      <c r="Q48">
        <v>6.3759481335561849E-8</v>
      </c>
      <c r="R48">
        <v>0.88370928326895104</v>
      </c>
      <c r="S48" t="s">
        <v>70</v>
      </c>
      <c r="T48" t="s">
        <v>80</v>
      </c>
    </row>
    <row r="49" spans="1:20" x14ac:dyDescent="0.35">
      <c r="A49" s="1">
        <v>12</v>
      </c>
      <c r="B49" t="s">
        <v>11</v>
      </c>
      <c r="C49" t="s">
        <v>13</v>
      </c>
      <c r="D49" t="s">
        <v>14</v>
      </c>
      <c r="E49" t="s">
        <v>16</v>
      </c>
      <c r="F49">
        <v>2050</v>
      </c>
      <c r="G49" t="s">
        <v>18</v>
      </c>
      <c r="H49" t="s">
        <v>58</v>
      </c>
      <c r="I49">
        <v>3.6155666577970771E-2</v>
      </c>
      <c r="J49" t="s">
        <v>60</v>
      </c>
      <c r="K49">
        <v>1.371795940056978E-7</v>
      </c>
      <c r="L49" t="s">
        <v>61</v>
      </c>
      <c r="M49">
        <v>1.4405451144258229E-7</v>
      </c>
      <c r="N49">
        <v>6.9725548780581601</v>
      </c>
      <c r="O49">
        <v>3.9842858693235399E-6</v>
      </c>
      <c r="P49">
        <v>1.263882351242806E-7</v>
      </c>
      <c r="Q49">
        <v>6.3759481335561849E-8</v>
      </c>
      <c r="R49">
        <v>1.600273761139209</v>
      </c>
      <c r="S49" t="s">
        <v>70</v>
      </c>
      <c r="T49" t="s">
        <v>80</v>
      </c>
    </row>
    <row r="50" spans="1:20" x14ac:dyDescent="0.35">
      <c r="A50" s="1">
        <v>13</v>
      </c>
      <c r="B50" t="s">
        <v>11</v>
      </c>
      <c r="C50" t="s">
        <v>13</v>
      </c>
      <c r="D50" t="s">
        <v>14</v>
      </c>
      <c r="E50" t="s">
        <v>16</v>
      </c>
      <c r="F50">
        <v>2050</v>
      </c>
      <c r="G50" t="s">
        <v>18</v>
      </c>
      <c r="H50" t="s">
        <v>59</v>
      </c>
      <c r="I50">
        <v>5.7104222888172101E-2</v>
      </c>
      <c r="J50" t="s">
        <v>60</v>
      </c>
      <c r="K50">
        <v>4.3473399141468498E-8</v>
      </c>
      <c r="L50" t="s">
        <v>61</v>
      </c>
      <c r="M50">
        <v>4.8562496642214591E-8</v>
      </c>
      <c r="N50">
        <v>2.3505315415846479</v>
      </c>
      <c r="O50">
        <v>8.5041865883220443E-7</v>
      </c>
      <c r="P50">
        <v>2.5359978545927779E-8</v>
      </c>
      <c r="Q50">
        <v>6.3759481335561849E-8</v>
      </c>
      <c r="R50">
        <v>7.4974226721596651</v>
      </c>
      <c r="S50" t="s">
        <v>71</v>
      </c>
      <c r="T50" t="s">
        <v>81</v>
      </c>
    </row>
    <row r="51" spans="1:20" x14ac:dyDescent="0.35">
      <c r="A51" s="1">
        <v>14</v>
      </c>
      <c r="B51" t="s">
        <v>11</v>
      </c>
      <c r="C51" t="s">
        <v>13</v>
      </c>
      <c r="D51" t="s">
        <v>14</v>
      </c>
      <c r="E51" t="s">
        <v>16</v>
      </c>
      <c r="F51">
        <v>2050</v>
      </c>
      <c r="G51" t="s">
        <v>18</v>
      </c>
      <c r="H51" t="s">
        <v>19</v>
      </c>
      <c r="I51">
        <v>3.1242684515255099E-2</v>
      </c>
      <c r="J51" t="s">
        <v>60</v>
      </c>
      <c r="K51">
        <v>6.4548070724589629E-8</v>
      </c>
      <c r="L51" t="s">
        <v>61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3" spans="1:20" x14ac:dyDescent="0.35">
      <c r="B53" s="1" t="s">
        <v>0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5</v>
      </c>
      <c r="H53" s="1" t="s">
        <v>6</v>
      </c>
      <c r="I53" s="1" t="s">
        <v>39</v>
      </c>
      <c r="J53" s="1" t="s">
        <v>40</v>
      </c>
      <c r="K53" s="1" t="s">
        <v>41</v>
      </c>
      <c r="L53" s="1" t="s">
        <v>8</v>
      </c>
      <c r="M53" s="1" t="s">
        <v>22</v>
      </c>
      <c r="N53" s="1" t="s">
        <v>42</v>
      </c>
      <c r="O53" s="1" t="s">
        <v>24</v>
      </c>
      <c r="P53" s="1" t="s">
        <v>43</v>
      </c>
      <c r="Q53" s="1" t="s">
        <v>44</v>
      </c>
      <c r="R53" s="1" t="s">
        <v>45</v>
      </c>
      <c r="S53" s="1" t="s">
        <v>26</v>
      </c>
      <c r="T53" s="1" t="s">
        <v>25</v>
      </c>
    </row>
    <row r="54" spans="1:20" x14ac:dyDescent="0.35">
      <c r="A54" s="1">
        <v>0</v>
      </c>
      <c r="B54" t="s">
        <v>12</v>
      </c>
      <c r="C54" t="s">
        <v>13</v>
      </c>
      <c r="D54" t="s">
        <v>14</v>
      </c>
      <c r="E54" t="s">
        <v>17</v>
      </c>
      <c r="F54">
        <v>2050</v>
      </c>
      <c r="G54" t="s">
        <v>18</v>
      </c>
      <c r="H54" t="s">
        <v>46</v>
      </c>
      <c r="I54">
        <v>0.2116062390272804</v>
      </c>
      <c r="J54" t="s">
        <v>60</v>
      </c>
      <c r="K54">
        <v>2.9440314913102389E-8</v>
      </c>
      <c r="L54" t="s">
        <v>61</v>
      </c>
      <c r="M54">
        <v>4.3969912347680583E-8</v>
      </c>
      <c r="N54">
        <v>5.6842213152800873</v>
      </c>
      <c r="O54">
        <v>2.0779119060857161E-7</v>
      </c>
      <c r="P54">
        <v>4.904171784433316E-9</v>
      </c>
      <c r="Q54">
        <v>6.3759197978993304E-8</v>
      </c>
      <c r="R54">
        <v>30.68426423288572</v>
      </c>
      <c r="S54" t="s">
        <v>62</v>
      </c>
      <c r="T54" t="s">
        <v>72</v>
      </c>
    </row>
    <row r="55" spans="1:20" x14ac:dyDescent="0.35">
      <c r="A55" s="1">
        <v>1</v>
      </c>
      <c r="B55" t="s">
        <v>12</v>
      </c>
      <c r="C55" t="s">
        <v>13</v>
      </c>
      <c r="D55" t="s">
        <v>14</v>
      </c>
      <c r="E55" t="s">
        <v>17</v>
      </c>
      <c r="F55">
        <v>2050</v>
      </c>
      <c r="G55" t="s">
        <v>18</v>
      </c>
      <c r="H55" t="s">
        <v>82</v>
      </c>
      <c r="I55">
        <v>0.23018560723254189</v>
      </c>
      <c r="J55" t="s">
        <v>60</v>
      </c>
      <c r="K55">
        <v>2.0057822355634948E-8</v>
      </c>
      <c r="L55" t="s">
        <v>61</v>
      </c>
      <c r="M55">
        <v>3.5441298201352962E-8</v>
      </c>
      <c r="N55">
        <v>4.5816826079698822</v>
      </c>
      <c r="O55">
        <v>1.539683502693931E-7</v>
      </c>
      <c r="P55">
        <v>3.0715480032133911E-9</v>
      </c>
      <c r="Q55">
        <v>6.3759197978993304E-8</v>
      </c>
      <c r="R55">
        <v>41.410587219669523</v>
      </c>
      <c r="S55" t="s">
        <v>62</v>
      </c>
      <c r="T55" t="s">
        <v>72</v>
      </c>
    </row>
    <row r="56" spans="1:20" x14ac:dyDescent="0.35">
      <c r="A56" s="1">
        <v>2</v>
      </c>
      <c r="B56" t="s">
        <v>12</v>
      </c>
      <c r="C56" t="s">
        <v>13</v>
      </c>
      <c r="D56" t="s">
        <v>14</v>
      </c>
      <c r="E56" t="s">
        <v>17</v>
      </c>
      <c r="F56">
        <v>2050</v>
      </c>
      <c r="G56" t="s">
        <v>18</v>
      </c>
      <c r="H56" t="s">
        <v>88</v>
      </c>
      <c r="I56">
        <v>3.8293354248734521E-2</v>
      </c>
      <c r="J56" t="s">
        <v>60</v>
      </c>
      <c r="K56">
        <v>5.8719775644401704E-9</v>
      </c>
      <c r="L56" t="s">
        <v>61</v>
      </c>
      <c r="M56">
        <v>8.5205147873438635E-9</v>
      </c>
      <c r="N56">
        <v>1.101491660670413</v>
      </c>
      <c r="O56">
        <v>2.225063579439621E-7</v>
      </c>
      <c r="P56">
        <v>5.4052112211023127E-9</v>
      </c>
      <c r="Q56">
        <v>6.3759197978993304E-8</v>
      </c>
      <c r="R56">
        <v>28.655000498930001</v>
      </c>
      <c r="S56" t="s">
        <v>89</v>
      </c>
      <c r="T56" t="s">
        <v>72</v>
      </c>
    </row>
    <row r="57" spans="1:20" x14ac:dyDescent="0.35">
      <c r="A57" s="1">
        <v>3</v>
      </c>
      <c r="B57" t="s">
        <v>12</v>
      </c>
      <c r="C57" t="s">
        <v>13</v>
      </c>
      <c r="D57" t="s">
        <v>14</v>
      </c>
      <c r="E57" t="s">
        <v>17</v>
      </c>
      <c r="F57">
        <v>2050</v>
      </c>
      <c r="G57" t="s">
        <v>18</v>
      </c>
      <c r="H57" t="s">
        <v>47</v>
      </c>
      <c r="I57">
        <v>7.4697569674838565E-2</v>
      </c>
      <c r="J57" t="s">
        <v>60</v>
      </c>
      <c r="K57">
        <v>1.6568841082635149E-9</v>
      </c>
      <c r="L57" t="s">
        <v>61</v>
      </c>
      <c r="M57">
        <v>6.4779454073515513E-9</v>
      </c>
      <c r="N57">
        <v>0.83743799788654338</v>
      </c>
      <c r="O57">
        <v>8.6722304829331128E-8</v>
      </c>
      <c r="P57">
        <v>7.8187504485880228E-10</v>
      </c>
      <c r="Q57">
        <v>6.3759197978993304E-8</v>
      </c>
      <c r="R57">
        <v>73.521106368737492</v>
      </c>
      <c r="S57" t="s">
        <v>63</v>
      </c>
      <c r="T57" t="s">
        <v>73</v>
      </c>
    </row>
    <row r="58" spans="1:20" x14ac:dyDescent="0.35">
      <c r="A58" s="1">
        <v>4</v>
      </c>
      <c r="B58" t="s">
        <v>12</v>
      </c>
      <c r="C58" t="s">
        <v>13</v>
      </c>
      <c r="D58" t="s">
        <v>14</v>
      </c>
      <c r="E58" t="s">
        <v>17</v>
      </c>
      <c r="F58">
        <v>2050</v>
      </c>
      <c r="G58" t="s">
        <v>18</v>
      </c>
      <c r="H58" t="s">
        <v>48</v>
      </c>
      <c r="I58">
        <v>1.4228108509779789E-2</v>
      </c>
      <c r="J58" t="s">
        <v>60</v>
      </c>
      <c r="K58">
        <v>5.3196450281524726E-10</v>
      </c>
      <c r="L58" t="s">
        <v>61</v>
      </c>
      <c r="M58">
        <v>1.4578887180825189E-9</v>
      </c>
      <c r="N58">
        <v>0.1884689253211157</v>
      </c>
      <c r="O58">
        <v>1.0246539215528389E-7</v>
      </c>
      <c r="P58">
        <v>1.3179143181775301E-9</v>
      </c>
      <c r="Q58">
        <v>6.3759197978993304E-8</v>
      </c>
      <c r="R58">
        <v>62.225105118777783</v>
      </c>
      <c r="S58" t="s">
        <v>63</v>
      </c>
      <c r="T58" t="s">
        <v>73</v>
      </c>
    </row>
    <row r="59" spans="1:20" x14ac:dyDescent="0.35">
      <c r="A59" s="1">
        <v>5</v>
      </c>
      <c r="B59" t="s">
        <v>12</v>
      </c>
      <c r="C59" t="s">
        <v>13</v>
      </c>
      <c r="D59" t="s">
        <v>14</v>
      </c>
      <c r="E59" t="s">
        <v>17</v>
      </c>
      <c r="F59">
        <v>2050</v>
      </c>
      <c r="G59" t="s">
        <v>18</v>
      </c>
      <c r="H59" t="s">
        <v>49</v>
      </c>
      <c r="I59">
        <v>0.1215459429050977</v>
      </c>
      <c r="J59" t="s">
        <v>60</v>
      </c>
      <c r="K59">
        <v>4.3433297947601939E-7</v>
      </c>
      <c r="L59" t="s">
        <v>61</v>
      </c>
      <c r="M59">
        <v>4.573926269173803E-7</v>
      </c>
      <c r="N59">
        <v>59.129545194848951</v>
      </c>
      <c r="O59">
        <v>3.7631254156669762E-6</v>
      </c>
      <c r="P59">
        <v>1.2596040014338811E-7</v>
      </c>
      <c r="Q59">
        <v>6.3759197978993304E-8</v>
      </c>
      <c r="R59">
        <v>1.694314989172176</v>
      </c>
      <c r="S59" t="s">
        <v>64</v>
      </c>
      <c r="T59" t="s">
        <v>74</v>
      </c>
    </row>
    <row r="60" spans="1:20" x14ac:dyDescent="0.35">
      <c r="A60" s="1">
        <v>6</v>
      </c>
      <c r="B60" t="s">
        <v>12</v>
      </c>
      <c r="C60" t="s">
        <v>13</v>
      </c>
      <c r="D60" t="s">
        <v>14</v>
      </c>
      <c r="E60" t="s">
        <v>17</v>
      </c>
      <c r="F60">
        <v>2050</v>
      </c>
      <c r="G60" t="s">
        <v>18</v>
      </c>
      <c r="H60" t="s">
        <v>50</v>
      </c>
      <c r="I60">
        <v>0.1229642152818928</v>
      </c>
      <c r="J60" t="s">
        <v>60</v>
      </c>
      <c r="K60">
        <v>5.8423874999370798E-8</v>
      </c>
      <c r="L60" t="s">
        <v>61</v>
      </c>
      <c r="M60">
        <v>6.8323381107353725E-8</v>
      </c>
      <c r="N60">
        <v>8.8325220244136133</v>
      </c>
      <c r="O60">
        <v>5.5563629589896419E-7</v>
      </c>
      <c r="P60">
        <v>1.6748013694651111E-8</v>
      </c>
      <c r="Q60">
        <v>6.3759197978993304E-8</v>
      </c>
      <c r="R60">
        <v>11.4749879461775</v>
      </c>
      <c r="S60" t="s">
        <v>65</v>
      </c>
      <c r="T60" t="s">
        <v>75</v>
      </c>
    </row>
    <row r="61" spans="1:20" x14ac:dyDescent="0.35">
      <c r="A61" s="1">
        <v>7</v>
      </c>
      <c r="B61" t="s">
        <v>12</v>
      </c>
      <c r="C61" t="s">
        <v>13</v>
      </c>
      <c r="D61" t="s">
        <v>14</v>
      </c>
      <c r="E61" t="s">
        <v>17</v>
      </c>
      <c r="F61">
        <v>2050</v>
      </c>
      <c r="G61" t="s">
        <v>18</v>
      </c>
      <c r="H61" t="s">
        <v>51</v>
      </c>
      <c r="I61">
        <v>0.1104834183540533</v>
      </c>
      <c r="J61" t="s">
        <v>60</v>
      </c>
      <c r="K61">
        <v>6.7938108766440585E-8</v>
      </c>
      <c r="L61" t="s">
        <v>61</v>
      </c>
      <c r="M61">
        <v>7.737722027494243E-8</v>
      </c>
      <c r="N61">
        <v>10.002959326507529</v>
      </c>
      <c r="O61">
        <v>7.0035143216677719E-7</v>
      </c>
      <c r="P61">
        <v>2.1675445962357489E-8</v>
      </c>
      <c r="Q61">
        <v>6.3759197978993304E-8</v>
      </c>
      <c r="R61">
        <v>9.1038862848802022</v>
      </c>
      <c r="S61" t="s">
        <v>66</v>
      </c>
      <c r="T61" t="s">
        <v>76</v>
      </c>
    </row>
    <row r="62" spans="1:20" x14ac:dyDescent="0.35">
      <c r="A62" s="1">
        <v>8</v>
      </c>
      <c r="B62" t="s">
        <v>12</v>
      </c>
      <c r="C62" t="s">
        <v>13</v>
      </c>
      <c r="D62" t="s">
        <v>14</v>
      </c>
      <c r="E62" t="s">
        <v>17</v>
      </c>
      <c r="F62">
        <v>2050</v>
      </c>
      <c r="G62" t="s">
        <v>18</v>
      </c>
      <c r="H62" t="s">
        <v>52</v>
      </c>
      <c r="I62">
        <v>1.3899069316677349E-2</v>
      </c>
      <c r="J62" t="s">
        <v>60</v>
      </c>
      <c r="K62">
        <v>7.0200665266778741E-9</v>
      </c>
      <c r="L62" t="s">
        <v>61</v>
      </c>
      <c r="M62">
        <v>8.1537131506119566E-9</v>
      </c>
      <c r="N62">
        <v>1.0540732881818651</v>
      </c>
      <c r="O62">
        <v>5.8663734706527456E-7</v>
      </c>
      <c r="P62">
        <v>1.7803574182581011E-8</v>
      </c>
      <c r="Q62">
        <v>6.3759197978993304E-8</v>
      </c>
      <c r="R62">
        <v>10.868588285071951</v>
      </c>
      <c r="S62" t="s">
        <v>67</v>
      </c>
      <c r="T62" t="s">
        <v>77</v>
      </c>
    </row>
    <row r="63" spans="1:20" x14ac:dyDescent="0.35">
      <c r="A63" s="1">
        <v>9</v>
      </c>
      <c r="B63" t="s">
        <v>12</v>
      </c>
      <c r="C63" t="s">
        <v>13</v>
      </c>
      <c r="D63" t="s">
        <v>14</v>
      </c>
      <c r="E63" t="s">
        <v>17</v>
      </c>
      <c r="F63">
        <v>2050</v>
      </c>
      <c r="G63" t="s">
        <v>18</v>
      </c>
      <c r="H63" t="s">
        <v>53</v>
      </c>
      <c r="I63">
        <v>2.5528902827471871E-3</v>
      </c>
      <c r="J63" t="s">
        <v>60</v>
      </c>
      <c r="K63">
        <v>0</v>
      </c>
      <c r="L63" t="s">
        <v>61</v>
      </c>
      <c r="M63">
        <v>1.627702369563261E-10</v>
      </c>
      <c r="N63">
        <v>2.1042162719916019E-2</v>
      </c>
      <c r="O63">
        <v>6.3759197978993304E-8</v>
      </c>
      <c r="P63">
        <v>0</v>
      </c>
      <c r="Q63">
        <v>6.3759197978993304E-8</v>
      </c>
      <c r="R63">
        <v>100</v>
      </c>
      <c r="S63" t="s">
        <v>67</v>
      </c>
      <c r="T63" t="s">
        <v>77</v>
      </c>
    </row>
    <row r="64" spans="1:20" x14ac:dyDescent="0.35">
      <c r="A64" s="1">
        <v>10</v>
      </c>
      <c r="B64" t="s">
        <v>12</v>
      </c>
      <c r="C64" t="s">
        <v>13</v>
      </c>
      <c r="D64" t="s">
        <v>14</v>
      </c>
      <c r="E64" t="s">
        <v>17</v>
      </c>
      <c r="F64">
        <v>2050</v>
      </c>
      <c r="G64" t="s">
        <v>18</v>
      </c>
      <c r="H64" t="s">
        <v>57</v>
      </c>
      <c r="I64">
        <v>2.1375884387427092E-2</v>
      </c>
      <c r="J64" t="s">
        <v>60</v>
      </c>
      <c r="K64">
        <v>1.8902637025023511E-8</v>
      </c>
      <c r="L64" t="s">
        <v>61</v>
      </c>
      <c r="M64">
        <v>2.0931852825645982E-8</v>
      </c>
      <c r="N64">
        <v>2.7059704613243079</v>
      </c>
      <c r="O64">
        <v>9.7922745306190565E-7</v>
      </c>
      <c r="P64">
        <v>3.1170946844208553E-8</v>
      </c>
      <c r="Q64">
        <v>6.3759197978993304E-8</v>
      </c>
      <c r="R64">
        <v>6.5111734540966264</v>
      </c>
      <c r="S64" t="s">
        <v>70</v>
      </c>
      <c r="T64" t="s">
        <v>80</v>
      </c>
    </row>
    <row r="65" spans="1:20" x14ac:dyDescent="0.35">
      <c r="A65" s="1">
        <v>11</v>
      </c>
      <c r="B65" t="s">
        <v>12</v>
      </c>
      <c r="C65" t="s">
        <v>13</v>
      </c>
      <c r="D65" t="s">
        <v>14</v>
      </c>
      <c r="E65" t="s">
        <v>17</v>
      </c>
      <c r="F65">
        <v>2050</v>
      </c>
      <c r="G65" t="s">
        <v>18</v>
      </c>
      <c r="H65" t="s">
        <v>84</v>
      </c>
      <c r="I65">
        <v>2.7096191477020259E-3</v>
      </c>
      <c r="J65" t="s">
        <v>60</v>
      </c>
      <c r="K65">
        <v>1.444813230153287E-8</v>
      </c>
      <c r="L65" t="s">
        <v>61</v>
      </c>
      <c r="M65">
        <v>1.5130183395971749E-8</v>
      </c>
      <c r="N65">
        <v>1.9559582080453279</v>
      </c>
      <c r="O65">
        <v>5.5838782394209732E-6</v>
      </c>
      <c r="P65">
        <v>1.8795554762180971E-7</v>
      </c>
      <c r="Q65">
        <v>6.3759197978993304E-8</v>
      </c>
      <c r="R65">
        <v>1.1418443462621941</v>
      </c>
      <c r="S65" t="s">
        <v>70</v>
      </c>
      <c r="T65" t="s">
        <v>80</v>
      </c>
    </row>
    <row r="66" spans="1:20" x14ac:dyDescent="0.35">
      <c r="A66" s="1">
        <v>12</v>
      </c>
      <c r="B66" t="s">
        <v>12</v>
      </c>
      <c r="C66" t="s">
        <v>13</v>
      </c>
      <c r="D66" t="s">
        <v>14</v>
      </c>
      <c r="E66" t="s">
        <v>17</v>
      </c>
      <c r="F66">
        <v>2050</v>
      </c>
      <c r="G66" t="s">
        <v>18</v>
      </c>
      <c r="H66" t="s">
        <v>59</v>
      </c>
      <c r="I66">
        <v>3.5458081631227323E-2</v>
      </c>
      <c r="J66" t="s">
        <v>60</v>
      </c>
      <c r="K66">
        <v>2.6991756671537061E-8</v>
      </c>
      <c r="L66" t="s">
        <v>61</v>
      </c>
      <c r="M66">
        <v>3.020397866364143E-8</v>
      </c>
      <c r="N66">
        <v>3.904626826830417</v>
      </c>
      <c r="O66">
        <v>8.5182213120749635E-7</v>
      </c>
      <c r="P66">
        <v>2.6832899628324041E-8</v>
      </c>
      <c r="Q66">
        <v>6.3759197978993304E-8</v>
      </c>
      <c r="R66">
        <v>7.4850365637497296</v>
      </c>
      <c r="S66" t="s">
        <v>71</v>
      </c>
      <c r="T66" t="s">
        <v>81</v>
      </c>
    </row>
    <row r="67" spans="1:20" x14ac:dyDescent="0.35">
      <c r="A67" s="1">
        <v>13</v>
      </c>
      <c r="B67" t="s">
        <v>12</v>
      </c>
      <c r="C67" t="s">
        <v>13</v>
      </c>
      <c r="D67" t="s">
        <v>14</v>
      </c>
      <c r="E67" t="s">
        <v>17</v>
      </c>
      <c r="F67">
        <v>2050</v>
      </c>
      <c r="G67" t="s">
        <v>18</v>
      </c>
      <c r="H67" t="s">
        <v>19</v>
      </c>
      <c r="I67">
        <v>3.1242684515255099E-2</v>
      </c>
      <c r="J67" t="s">
        <v>60</v>
      </c>
      <c r="K67">
        <v>2.416756884446386E-8</v>
      </c>
      <c r="L67" t="s">
        <v>61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elec 1 kWh</vt:lpstr>
      <vt:lpstr>contrib an. aggreg</vt:lpstr>
      <vt:lpstr>contrib an.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Joanna SCHLESINGER</cp:lastModifiedBy>
  <dcterms:created xsi:type="dcterms:W3CDTF">2025-06-05T11:37:20Z</dcterms:created>
  <dcterms:modified xsi:type="dcterms:W3CDTF">2025-07-07T17:22:24Z</dcterms:modified>
</cp:coreProperties>
</file>