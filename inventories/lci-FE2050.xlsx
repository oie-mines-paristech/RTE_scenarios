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jschlesinger\0.Joanna\RTE_scenarios\inventories\"/>
    </mc:Choice>
  </mc:AlternateContent>
  <xr:revisionPtr revIDLastSave="0" documentId="13_ncr:1_{A867B74F-764C-49FC-8076-D1E74DFF5FF5}" xr6:coauthVersionLast="47" xr6:coauthVersionMax="47" xr10:uidLastSave="{00000000-0000-0000-0000-000000000000}"/>
  <bookViews>
    <workbookView xWindow="-110" yWindow="-110" windowWidth="19420" windowHeight="11500" xr2:uid="{00000000-000D-0000-FFFF-FFFF00000000}"/>
  </bookViews>
  <sheets>
    <sheet name="lc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8" i="1" l="1"/>
  <c r="C13" i="1"/>
  <c r="C50" i="1"/>
  <c r="C89" i="1"/>
  <c r="B131" i="1"/>
  <c r="B130" i="1"/>
  <c r="B129" i="1"/>
  <c r="B128" i="1"/>
  <c r="B127" i="1"/>
  <c r="B126" i="1"/>
  <c r="F124" i="1"/>
  <c r="D124" i="1"/>
  <c r="A124" i="1"/>
  <c r="B111" i="1" l="1"/>
  <c r="B105" i="1"/>
  <c r="B107" i="1" s="1"/>
  <c r="B104" i="1"/>
  <c r="B106" i="1" s="1"/>
  <c r="D103" i="1"/>
  <c r="C103" i="1"/>
  <c r="B40" i="1" l="1"/>
  <c r="B159" i="1" l="1"/>
  <c r="B144" i="1" l="1"/>
  <c r="C39" i="1" l="1"/>
  <c r="C74" i="1"/>
</calcChain>
</file>

<file path=xl/sharedStrings.xml><?xml version="1.0" encoding="utf-8"?>
<sst xmlns="http://schemas.openxmlformats.org/spreadsheetml/2006/main" count="524" uniqueCount="139">
  <si>
    <t>Database</t>
  </si>
  <si>
    <t>Activity</t>
  </si>
  <si>
    <t>location</t>
  </si>
  <si>
    <t>production amount</t>
  </si>
  <si>
    <t>reference product</t>
  </si>
  <si>
    <t>type</t>
  </si>
  <si>
    <t>unit</t>
  </si>
  <si>
    <t>Exchanges</t>
  </si>
  <si>
    <t>name</t>
  </si>
  <si>
    <t>amount</t>
  </si>
  <si>
    <t>categories</t>
  </si>
  <si>
    <t>comment</t>
  </si>
  <si>
    <t>technosphere</t>
  </si>
  <si>
    <t>kilogram</t>
  </si>
  <si>
    <t>cutoff</t>
  </si>
  <si>
    <t>biosphere</t>
  </si>
  <si>
    <t>natural resource::land</t>
  </si>
  <si>
    <t>square meter-year</t>
  </si>
  <si>
    <t>production</t>
  </si>
  <si>
    <t>kilowatt hour</t>
  </si>
  <si>
    <t>market for water, deionised</t>
  </si>
  <si>
    <t>Europe without Switzerland</t>
  </si>
  <si>
    <t>water, deionised</t>
  </si>
  <si>
    <t>Oxygen</t>
  </si>
  <si>
    <t>air</t>
  </si>
  <si>
    <t>hydrogen, gaseous</t>
  </si>
  <si>
    <t>FE2050</t>
  </si>
  <si>
    <t>FR</t>
  </si>
  <si>
    <t>electricity, high voltage</t>
  </si>
  <si>
    <t>electricity production, from vehicle-to-grid, FE2050</t>
  </si>
  <si>
    <t>coal gas</t>
  </si>
  <si>
    <t>coal tar</t>
  </si>
  <si>
    <t>market for tap water</t>
  </si>
  <si>
    <t>tap water</t>
  </si>
  <si>
    <t>Carbon dioxide, fossil</t>
  </si>
  <si>
    <t>1 kg of hydrogen recovered from coke oven gas. After benzol absorption step, gas stream is being subjected to the reforming technology, which comprises the following process units: coke oven gas reforming
system, oxygen production installation, CO conversion system and the hydrolysis of COS, desulphurization system and CO2 removal system, H2 separation system and other plant. Although not specified, the oxygen and steam requirement is assumed to come from the coking step, hence, not listed as inventory inputs. Adapted to French context. Burmistrz et al., 2016. DOI: 10.1051/e3sconf/20161000023</t>
  </si>
  <si>
    <t>DE</t>
  </si>
  <si>
    <t>electricity, medium voltage</t>
  </si>
  <si>
    <t>hydrogen, recovered from coke oven gas, FE2050</t>
  </si>
  <si>
    <t>market for electricity, medium voltage</t>
  </si>
  <si>
    <t>megajoule</t>
  </si>
  <si>
    <t>hydrogen, recovered from coke oven gas, with carbon capture and storage, FE2050</t>
  </si>
  <si>
    <t>1 kg of hydrogen recovered from coke oven gas. After benzol absorption step, gas stream is being subjected to the reforming technology, which comprises the following process units: coke oven gas reforming
system, oxygen production installation, CO conversion system and the hydrolysis of COS, desulphurization system and CO2 removal system, H2 separation system and other plant. Although not specified, the oxygen and steam requirement is assumed to come from the coking step, hence, not listed as inventory inputs. Carbon dioxide is transported in the liquid phase. The pressure at the inlet to a transport system (pipe) is
120 bar, which allows to transport of CO2 at about 100 - 150 km distance without additional compression Adapted to French context. Burmistrz et al., 2016. DOI: 10.1051/e3sconf/20161000023</t>
  </si>
  <si>
    <t>RER</t>
  </si>
  <si>
    <t>1 kWh of electricity discharged from a BEV. Accounts for charge and discharge losses: 15% and 12%, in 2020, respectively.</t>
  </si>
  <si>
    <t>1 kg H2 produced using a PEM electrolyzer. Original source: 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t>
  </si>
  <si>
    <t>hydrogen, gaseous, 30 bar</t>
  </si>
  <si>
    <t>electrolyzer, 1MWe, PEM, Stack</t>
  </si>
  <si>
    <t>Stack, 5.5 years lifetime.</t>
  </si>
  <si>
    <t>electrolyzer, 1MWe, PEM, Balance of Plant</t>
  </si>
  <si>
    <t>BoP, 20 years lifetime.</t>
  </si>
  <si>
    <t>Stack EoL</t>
  </si>
  <si>
    <t>BoP EoL</t>
  </si>
  <si>
    <t>Electricity consumption with 61.7% eff.</t>
  </si>
  <si>
    <t xml:space="preserve">A perfect reaction of H2O results in 1 kg H2 and 8 kg O2, and needs 9 kg H2O, however, considering some losses we assume 14 kg H2O (Simoes et al., 2021). </t>
  </si>
  <si>
    <t>Occupation, unspecified</t>
  </si>
  <si>
    <t>electrolyzer production, 1MWe, PEM, Stack</t>
  </si>
  <si>
    <t>electrolyzer production, 1MWe, PEM, Balance of Plant</t>
  </si>
  <si>
    <t>hydrogen production, gaseous, 30 bar, from PEM electrolysis, from grid electricity, domestic, FE2050</t>
  </si>
  <si>
    <t/>
  </si>
  <si>
    <t>source</t>
  </si>
  <si>
    <t>Life Cycle Assessment of a Vanadium Redox Flow Battery, Selina Weber, Jens F. Peters, Manuel Baumann, and Marcel Weil, Environ. Sci. Technol. 2018, 52, 10864−10873, DOI: 10.1021/acs.est.8b02073</t>
  </si>
  <si>
    <t>process</t>
  </si>
  <si>
    <t>Electricity input plus losses</t>
  </si>
  <si>
    <t>vanadium-redox flow battery system assembly, 8.3 megawatt hour</t>
  </si>
  <si>
    <t>vanadium-redox flow battery system</t>
  </si>
  <si>
    <t>Infrastructure requirements 1/49000 MWh</t>
  </si>
  <si>
    <t>vanadium-redox flow battery stack assembly</t>
  </si>
  <si>
    <t>vanadium-redox flow battery stack</t>
  </si>
  <si>
    <t>Replacement stack</t>
  </si>
  <si>
    <t>treatment of stack, for VRFB system</t>
  </si>
  <si>
    <t>used stack, for VRFB system</t>
  </si>
  <si>
    <t>EoL of both stack</t>
  </si>
  <si>
    <t>treatment of electrolyte tank, for VRFB system</t>
  </si>
  <si>
    <t>used electrolyte tank, for VRFB system</t>
  </si>
  <si>
    <t>Electrolyte tank EoL</t>
  </si>
  <si>
    <t>treatment of electrolyte solution, for VRFB system</t>
  </si>
  <si>
    <t>used electrolyte solution, for VRFB system</t>
  </si>
  <si>
    <t>Electrolyte EoL</t>
  </si>
  <si>
    <t>treatment of periphericals, for VRFB system</t>
  </si>
  <si>
    <t>used periphericals, for VRFB system</t>
  </si>
  <si>
    <t>Peripherals EoL</t>
  </si>
  <si>
    <t>market for electricity, high voltage</t>
  </si>
  <si>
    <t>electricity production, from hydrogen, with gas turbine, for grid-balancing, FE2050</t>
  </si>
  <si>
    <t>gas power plant construction, combined cycle, 400MW electrical</t>
  </si>
  <si>
    <t>gas power plant, combined cycle, 400MW electrical</t>
  </si>
  <si>
    <t>hydrogen, gaseous, 80 bar</t>
  </si>
  <si>
    <t>hydrogen storage, for grid-balancing, FE2050</t>
  </si>
  <si>
    <t>geological hydrogen storage</t>
  </si>
  <si>
    <t>hydrogen storage</t>
  </si>
  <si>
    <t>electricity supply, high voltage, from vanadium-redox flow battery system, FE2050</t>
  </si>
  <si>
    <t>The power capacity for this application is 1MW and the net storage capacity 6 MWh. The net capacity considers the internal inefficiencies of the batteries and the min SoC, requiring a certain oversizing of the batteries. For providing net 6 MWh, a nominal capacity of 8.3 MWh is required for the VRFB with the assumed operation parameters. The assumed lifetime of the stack is 10 years. The lifetime of the system is 20 years or 8176 cycle-lifes (49,000 MWh).</t>
  </si>
  <si>
    <t>1 kg of hydrogen produced by electrolysis in France, stored in geological cavities, compressed to 80 bar - activity adapted from the similar inventory provided by premise for RER</t>
  </si>
  <si>
    <t>hydropower plant, reservoir, alpine region</t>
  </si>
  <si>
    <t>hydropower plant construction, reservoir, alpine region</t>
  </si>
  <si>
    <t>lubricating oil</t>
  </si>
  <si>
    <t>market for lubricating oil</t>
  </si>
  <si>
    <t>waste mineral oil</t>
  </si>
  <si>
    <t>market for waste mineral oil</t>
  </si>
  <si>
    <t>electricity production, hydro, pumped storage, FE2050</t>
  </si>
  <si>
    <t>Activity adapted from the similar inventory provided by premise: change of the location of the electricity input &gt; FR</t>
  </si>
  <si>
    <t>Dinitrogen monoxide</t>
  </si>
  <si>
    <t>Methane, non-fossil</t>
  </si>
  <si>
    <t>cubic meter</t>
  </si>
  <si>
    <t>Water</t>
  </si>
  <si>
    <t>water</t>
  </si>
  <si>
    <t>Occupation, lake, artificial</t>
  </si>
  <si>
    <t>square meter</t>
  </si>
  <si>
    <t>Transformation, from unspecified</t>
  </si>
  <si>
    <t>Transformation, to industrial area</t>
  </si>
  <si>
    <t>Transformation, to lake, artificial</t>
  </si>
  <si>
    <t>cubic meter-year</t>
  </si>
  <si>
    <t>Volume occupied, reservoir</t>
  </si>
  <si>
    <t>Water, turbine use, unspecified natural origin</t>
  </si>
  <si>
    <t>1 kWh of electricity produced using gas turbine used for grid-balancing - activity adapted from the inventory provided by premise for RER : 'electricity production, from hydrogen-fired one gigawatt gas turbine'</t>
  </si>
  <si>
    <t>Nitrogen oxides</t>
  </si>
  <si>
    <t>Hydrogen</t>
  </si>
  <si>
    <t>natural resource::in water</t>
  </si>
  <si>
    <t>air::non-urban air or from high stacks</t>
  </si>
  <si>
    <t>coke production</t>
  </si>
  <si>
    <t>treatment of electrolyzer stack, 1MWe, PEM</t>
  </si>
  <si>
    <t>treatment of electrolyzer balance of plant, 1MWe, PEM</t>
  </si>
  <si>
    <t>used electrolyzer stack, 1MWe, PEM</t>
  </si>
  <si>
    <t>used electrolyzer balance of plant, 1MWe, PEM</t>
  </si>
  <si>
    <t>high voltage grid, per kWh, FE2050</t>
  </si>
  <si>
    <t>infrastructure and direct emissions of grid to transport 1 kWh at high voltage. Copied from ecoinvent 3.10.1</t>
  </si>
  <si>
    <t>transmitted electricity, high voltage</t>
  </si>
  <si>
    <t>transmission network construction, electricity, high voltage direct current aerial line</t>
  </si>
  <si>
    <t>transmission network, electricity, high voltage direct current aerial line</t>
  </si>
  <si>
    <t>transmission network construction, electricity, high voltage direct current land cable</t>
  </si>
  <si>
    <t>transmission network, electricity, high voltage direct current land cable</t>
  </si>
  <si>
    <t>transmission network construction, electricity, high voltage direct current subsea cable</t>
  </si>
  <si>
    <t>transmission network, electricity, high voltage direct current subsea cable</t>
  </si>
  <si>
    <t>Ozone</t>
  </si>
  <si>
    <t>5.0e-06</t>
  </si>
  <si>
    <t>4.16e-06</t>
  </si>
  <si>
    <t>kilometer</t>
  </si>
  <si>
    <t>intermediate activity to ease the change of input mix for storage and release technologies</t>
  </si>
  <si>
    <t>input electricity mix for storage, FE2050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</si>
</sst>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E+00"/>
  </numFmts>
  <fonts count="13">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scheme val="minor"/>
    </font>
    <font>
      <b/>
      <sz val="11"/>
      <color indexed="8"/>
      <name val="Calibri"/>
      <family val="2"/>
      <scheme val="minor"/>
    </font>
    <font>
      <sz val="10"/>
      <color theme="1"/>
      <name val="Arial"/>
      <family val="2"/>
    </font>
    <font>
      <sz val="11"/>
      <color rgb="FF9C5700"/>
      <name val="Calibri"/>
      <family val="2"/>
      <scheme val="minor"/>
    </font>
    <font>
      <b/>
      <sz val="12"/>
      <color theme="1"/>
      <name val="Calibri"/>
      <family val="2"/>
      <scheme val="minor"/>
    </font>
    <font>
      <b/>
      <sz val="12"/>
      <name val="Calibri (Body)"/>
    </font>
    <font>
      <sz val="12"/>
      <name val="Calibri (Body)"/>
    </font>
    <font>
      <i/>
      <sz val="11"/>
      <color theme="1"/>
      <name val="Calibri"/>
      <family val="2"/>
      <scheme val="minor"/>
    </font>
    <font>
      <sz val="11"/>
      <name val="Calibri"/>
      <family val="2"/>
      <scheme val="minor"/>
    </font>
    <font>
      <b/>
      <sz val="11"/>
      <name val="Calibri"/>
      <family val="2"/>
      <scheme val="minor"/>
    </font>
  </fonts>
  <fills count="4">
    <fill>
      <patternFill patternType="none"/>
    </fill>
    <fill>
      <patternFill patternType="gray125"/>
    </fill>
    <fill>
      <patternFill patternType="solid">
        <fgColor rgb="FFFFEB9C"/>
      </patternFill>
    </fill>
    <fill>
      <patternFill patternType="solid">
        <fgColor rgb="FFFFFF00"/>
        <bgColor indexed="64"/>
      </patternFill>
    </fill>
  </fills>
  <borders count="2">
    <border>
      <left/>
      <right/>
      <top/>
      <bottom/>
      <diagonal/>
    </border>
    <border>
      <left/>
      <right style="thin">
        <color indexed="64"/>
      </right>
      <top/>
      <bottom/>
      <diagonal/>
    </border>
  </borders>
  <cellStyleXfs count="5">
    <xf numFmtId="0" fontId="0" fillId="0" borderId="0"/>
    <xf numFmtId="0" fontId="1" fillId="0" borderId="0"/>
    <xf numFmtId="0" fontId="1" fillId="0" borderId="0"/>
    <xf numFmtId="0" fontId="5" fillId="0" borderId="0"/>
    <xf numFmtId="0" fontId="6" fillId="2" borderId="0" applyNumberFormat="0" applyBorder="0" applyAlignment="0" applyProtection="0"/>
  </cellStyleXfs>
  <cellXfs count="49">
    <xf numFmtId="0" fontId="0" fillId="0" borderId="0" xfId="0"/>
    <xf numFmtId="0" fontId="0" fillId="0" borderId="0" xfId="2" applyFont="1"/>
    <xf numFmtId="11" fontId="1" fillId="0" borderId="0" xfId="4" applyNumberFormat="1" applyFont="1" applyFill="1"/>
    <xf numFmtId="0" fontId="0" fillId="0" borderId="1" xfId="0" applyBorder="1"/>
    <xf numFmtId="0" fontId="2" fillId="0" borderId="0" xfId="1" applyFont="1"/>
    <xf numFmtId="11" fontId="2" fillId="0" borderId="0" xfId="1" applyNumberFormat="1" applyFont="1"/>
    <xf numFmtId="0" fontId="1" fillId="0" borderId="0" xfId="1"/>
    <xf numFmtId="0" fontId="1" fillId="0" borderId="1" xfId="1" applyBorder="1"/>
    <xf numFmtId="0" fontId="1" fillId="0" borderId="0" xfId="0" applyFont="1"/>
    <xf numFmtId="0" fontId="3" fillId="0" borderId="0" xfId="0" applyFont="1"/>
    <xf numFmtId="11" fontId="3" fillId="0" borderId="0" xfId="0" applyNumberFormat="1" applyFont="1"/>
    <xf numFmtId="0" fontId="3" fillId="0" borderId="1" xfId="0" applyFont="1" applyBorder="1"/>
    <xf numFmtId="11" fontId="4" fillId="0" borderId="0" xfId="0" applyNumberFormat="1" applyFont="1"/>
    <xf numFmtId="0" fontId="1" fillId="0" borderId="0" xfId="2"/>
    <xf numFmtId="11" fontId="1" fillId="0" borderId="0" xfId="1" applyNumberFormat="1" applyAlignment="1">
      <alignment horizontal="left"/>
    </xf>
    <xf numFmtId="11" fontId="0" fillId="0" borderId="0" xfId="1" applyNumberFormat="1" applyFont="1" applyAlignment="1">
      <alignment horizontal="left"/>
    </xf>
    <xf numFmtId="0" fontId="4" fillId="0" borderId="0" xfId="0" applyFont="1"/>
    <xf numFmtId="0" fontId="4" fillId="0" borderId="1" xfId="0" applyFont="1" applyBorder="1"/>
    <xf numFmtId="0" fontId="1" fillId="0" borderId="1" xfId="2" applyBorder="1"/>
    <xf numFmtId="11" fontId="0" fillId="0" borderId="0" xfId="0" applyNumberFormat="1"/>
    <xf numFmtId="0" fontId="0" fillId="0" borderId="1" xfId="2" applyFont="1" applyBorder="1"/>
    <xf numFmtId="0" fontId="0" fillId="0" borderId="0" xfId="1" applyFont="1" applyAlignment="1">
      <alignment wrapText="1"/>
    </xf>
    <xf numFmtId="0" fontId="0" fillId="0" borderId="0" xfId="2" quotePrefix="1" applyFont="1"/>
    <xf numFmtId="11" fontId="0" fillId="0" borderId="0" xfId="1" applyNumberFormat="1" applyFont="1" applyAlignment="1">
      <alignment horizontal="left" vertical="top"/>
    </xf>
    <xf numFmtId="0" fontId="9" fillId="0" borderId="0" xfId="2" applyFont="1"/>
    <xf numFmtId="0" fontId="9" fillId="0" borderId="0" xfId="0" applyFont="1"/>
    <xf numFmtId="2" fontId="9" fillId="0" borderId="0" xfId="0" applyNumberFormat="1" applyFont="1"/>
    <xf numFmtId="0" fontId="8" fillId="0" borderId="0" xfId="0" applyFont="1"/>
    <xf numFmtId="0" fontId="7" fillId="0" borderId="0" xfId="0" applyFont="1"/>
    <xf numFmtId="2" fontId="7" fillId="0" borderId="0" xfId="0" applyNumberFormat="1" applyFont="1"/>
    <xf numFmtId="2" fontId="0" fillId="0" borderId="0" xfId="0" applyNumberFormat="1"/>
    <xf numFmtId="0" fontId="10" fillId="0" borderId="0" xfId="0" applyFont="1"/>
    <xf numFmtId="164" fontId="0" fillId="0" borderId="0" xfId="0" applyNumberFormat="1"/>
    <xf numFmtId="11" fontId="2" fillId="0" borderId="0" xfId="0" applyNumberFormat="1" applyFont="1"/>
    <xf numFmtId="0" fontId="0" fillId="3" borderId="0" xfId="0" applyFill="1"/>
    <xf numFmtId="0" fontId="11" fillId="0" borderId="0" xfId="0" applyFont="1"/>
    <xf numFmtId="11" fontId="1" fillId="0" borderId="0" xfId="0" applyNumberFormat="1" applyFont="1"/>
    <xf numFmtId="0" fontId="1" fillId="0" borderId="1" xfId="0" applyFont="1" applyBorder="1"/>
    <xf numFmtId="0" fontId="12" fillId="0" borderId="0" xfId="1" applyFont="1"/>
    <xf numFmtId="11" fontId="12" fillId="0" borderId="0" xfId="0" applyNumberFormat="1" applyFont="1"/>
    <xf numFmtId="0" fontId="11" fillId="0" borderId="0" xfId="2" applyFont="1"/>
    <xf numFmtId="0" fontId="11" fillId="0" borderId="0" xfId="1" applyFont="1"/>
    <xf numFmtId="11" fontId="11" fillId="0" borderId="0" xfId="1" applyNumberFormat="1" applyFont="1" applyAlignment="1">
      <alignment horizontal="left"/>
    </xf>
    <xf numFmtId="11" fontId="11" fillId="0" borderId="0" xfId="4" applyNumberFormat="1" applyFont="1" applyFill="1"/>
    <xf numFmtId="11" fontId="11" fillId="0" borderId="0" xfId="0" applyNumberFormat="1" applyFont="1"/>
    <xf numFmtId="0" fontId="12" fillId="0" borderId="0" xfId="0" applyFont="1"/>
    <xf numFmtId="0" fontId="11" fillId="0" borderId="0" xfId="4" applyFont="1" applyFill="1"/>
    <xf numFmtId="0" fontId="11" fillId="0" borderId="0" xfId="4" applyFont="1" applyFill="1" applyBorder="1"/>
    <xf numFmtId="0" fontId="2" fillId="0" borderId="0" xfId="0" applyFont="1"/>
  </cellXfs>
  <cellStyles count="5">
    <cellStyle name="Neutre" xfId="4" builtinId="28"/>
    <cellStyle name="Normal" xfId="0" builtinId="0"/>
    <cellStyle name="Normal 11 3" xfId="1" xr:uid="{00000000-0005-0000-0000-000002000000}"/>
    <cellStyle name="Normal 2" xfId="2" xr:uid="{00000000-0005-0000-0000-000003000000}"/>
    <cellStyle name="Normal 3"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Y163"/>
  <sheetViews>
    <sheetView tabSelected="1" topLeftCell="A113" zoomScaleNormal="100" workbookViewId="0">
      <selection activeCell="A126" sqref="A126"/>
    </sheetView>
  </sheetViews>
  <sheetFormatPr baseColWidth="10" defaultColWidth="8.81640625" defaultRowHeight="14.5"/>
  <cols>
    <col min="1" max="1" width="55.36328125" customWidth="1"/>
    <col min="2" max="2" width="18.6328125" style="19" customWidth="1"/>
    <col min="3" max="3" width="17.1796875" customWidth="1"/>
    <col min="4" max="4" width="24.36328125" customWidth="1"/>
    <col min="5" max="5" width="26.453125" customWidth="1"/>
    <col min="6" max="6" width="21.08984375" customWidth="1"/>
    <col min="7" max="7" width="33.453125" bestFit="1" customWidth="1"/>
    <col min="8" max="8" width="19.6328125" bestFit="1" customWidth="1"/>
    <col min="9" max="9" width="99.1796875" style="3" customWidth="1"/>
    <col min="10" max="10" width="31" customWidth="1"/>
  </cols>
  <sheetData>
    <row r="1" spans="1:1019 1025:2043 2049:3067 3073:4091 4097:5115 5121:6139 6145:7163 7169:8187 8193:9211 9217:10235 10241:11259 11265:12283 12289:13307 13313:14331 14337:15355 15361:16379">
      <c r="A1" t="s">
        <v>14</v>
      </c>
      <c r="B1">
        <v>9</v>
      </c>
    </row>
    <row r="2" spans="1:1019 1025:2043 2049:3067 3073:4091 4097:5115 5121:6139 6145:7163 7169:8187 8193:9211 9217:10235 10241:11259 11265:12283 12289:13307 13313:14331 14337:15355 15361:16379">
      <c r="A2" s="4" t="s">
        <v>0</v>
      </c>
      <c r="B2" s="5" t="s">
        <v>26</v>
      </c>
      <c r="C2" s="6"/>
      <c r="D2" s="6"/>
      <c r="E2" s="6"/>
      <c r="F2" s="6"/>
      <c r="G2" s="6"/>
      <c r="H2" s="6"/>
      <c r="I2" s="7"/>
      <c r="K2" s="8"/>
    </row>
    <row r="3" spans="1:1019 1025:2043 2049:3067 3073:4091 4097:5115 5121:6139 6145:7163 7169:8187 8193:9211 9217:10235 10241:11259 11265:12283 12289:13307 13313:14331 14337:15355 15361:16379">
      <c r="A3" s="4"/>
      <c r="B3" s="5"/>
      <c r="C3" s="6"/>
      <c r="D3" s="6"/>
      <c r="E3" s="6"/>
      <c r="F3" s="6"/>
      <c r="G3" s="6"/>
      <c r="H3" s="6"/>
      <c r="I3" s="7"/>
      <c r="K3" s="8"/>
    </row>
    <row r="4" spans="1:1019 1025:2043 2049:3067 3073:4091 4097:5115 5121:6139 6145:7163 7169:8187 8193:9211 9217:10235 10241:11259 11265:12283 12289:13307 13313:14331 14337:15355 15361:16379">
      <c r="A4" s="4"/>
      <c r="B4" s="5"/>
      <c r="C4" s="6"/>
      <c r="D4" s="6"/>
      <c r="E4" s="6"/>
      <c r="F4" s="6"/>
      <c r="G4" s="6"/>
      <c r="H4" s="6"/>
      <c r="I4" s="7"/>
      <c r="K4" s="8"/>
    </row>
    <row r="5" spans="1:1019 1025:2043 2049:3067 3073:4091 4097:5115 5121:6139 6145:7163 7169:8187 8193:9211 9217:10235 10241:11259 11265:12283 12289:13307 13313:14331 14337:15355 15361:16379">
      <c r="A5" s="4" t="s">
        <v>1</v>
      </c>
      <c r="B5" s="12" t="s">
        <v>124</v>
      </c>
      <c r="C5" s="13"/>
      <c r="D5" s="9"/>
      <c r="E5" s="9"/>
      <c r="F5" s="9"/>
      <c r="G5" s="9"/>
      <c r="H5" s="9"/>
      <c r="I5" s="7"/>
      <c r="K5" s="8"/>
    </row>
    <row r="6" spans="1:1019 1025:2043 2049:3067 3073:4091 4097:5115 5121:6139 6145:7163 7169:8187 8193:9211 9217:10235 10241:11259 11265:12283 12289:13307 13313:14331 14337:15355 15361:16379">
      <c r="A6" s="6" t="s">
        <v>3</v>
      </c>
      <c r="B6" s="14">
        <v>1</v>
      </c>
      <c r="C6" s="9"/>
      <c r="D6" s="9"/>
      <c r="E6" s="9"/>
      <c r="F6" s="9"/>
      <c r="G6" s="9"/>
      <c r="H6" s="9"/>
      <c r="I6" s="6"/>
      <c r="K6" s="8"/>
    </row>
    <row r="7" spans="1:1019 1025:2043 2049:3067 3073:4091 4097:5115 5121:6139 6145:7163 7169:8187 8193:9211 9217:10235 10241:11259 11265:12283 12289:13307 13313:14331 14337:15355 15361:16379">
      <c r="A7" s="6" t="s">
        <v>11</v>
      </c>
      <c r="B7" t="s">
        <v>125</v>
      </c>
      <c r="C7" s="9"/>
      <c r="D7" s="9"/>
      <c r="E7" s="9"/>
      <c r="F7" s="9"/>
      <c r="G7" s="9"/>
      <c r="H7" s="9"/>
      <c r="I7" s="6"/>
      <c r="K7" s="8"/>
    </row>
    <row r="8" spans="1:1019 1025:2043 2049:3067 3073:4091 4097:5115 5121:6139 6145:7163 7169:8187 8193:9211 9217:10235 10241:11259 11265:12283 12289:13307 13313:14331 14337:15355 15361:16379">
      <c r="A8" s="6" t="s">
        <v>4</v>
      </c>
      <c r="B8" s="2" t="s">
        <v>126</v>
      </c>
      <c r="C8" s="9"/>
      <c r="D8" s="10"/>
      <c r="E8" s="9"/>
      <c r="F8" s="9"/>
      <c r="G8" s="9"/>
      <c r="H8" s="9"/>
      <c r="I8" s="6"/>
      <c r="K8" s="8"/>
    </row>
    <row r="9" spans="1:1019 1025:2043 2049:3067 3073:4091 4097:5115 5121:6139 6145:7163 7169:8187 8193:9211 9217:10235 10241:11259 11265:12283 12289:13307 13313:14331 14337:15355 15361:16379">
      <c r="A9" s="6" t="s">
        <v>2</v>
      </c>
      <c r="B9" s="15" t="s">
        <v>27</v>
      </c>
      <c r="C9" s="9"/>
      <c r="D9" s="9"/>
      <c r="E9" s="9"/>
      <c r="F9" s="9"/>
      <c r="G9" s="9"/>
      <c r="H9" s="9"/>
      <c r="I9" s="6"/>
      <c r="K9" s="8"/>
    </row>
    <row r="10" spans="1:1019 1025:2043 2049:3067 3073:4091 4097:5115 5121:6139 6145:7163 7169:8187 8193:9211 9217:10235 10241:11259 11265:12283 12289:13307 13313:14331 14337:15355 15361:16379">
      <c r="A10" s="6" t="s">
        <v>6</v>
      </c>
      <c r="B10" s="10" t="s">
        <v>19</v>
      </c>
      <c r="C10" s="9"/>
      <c r="D10" s="9"/>
      <c r="E10" s="9"/>
      <c r="F10" s="9"/>
      <c r="G10" s="9"/>
      <c r="H10" s="16"/>
      <c r="I10" s="6"/>
      <c r="K10" s="8"/>
    </row>
    <row r="11" spans="1:1019 1025:2043 2049:3067 3073:4091 4097:5115 5121:6139 6145:7163 7169:8187 8193:9211 9217:10235 10241:11259 11265:12283 12289:13307 13313:14331 14337:15355 15361:16379">
      <c r="A11" s="16" t="s">
        <v>7</v>
      </c>
      <c r="B11" s="12"/>
      <c r="C11" s="16"/>
      <c r="D11" s="16"/>
      <c r="E11" s="16"/>
      <c r="F11" s="16"/>
      <c r="G11" s="16"/>
      <c r="H11" s="13"/>
      <c r="I11" s="6"/>
      <c r="K11" s="8"/>
    </row>
    <row r="12" spans="1:1019 1025:2043 2049:3067 3073:4091 4097:5115 5121:6139 6145:7163 7169:8187 8193:9211 9217:10235 10241:11259 11265:12283 12289:13307 13313:14331 14337:15355 15361:16379">
      <c r="A12" t="s">
        <v>8</v>
      </c>
      <c r="B12" s="19" t="s">
        <v>9</v>
      </c>
      <c r="C12" t="s">
        <v>2</v>
      </c>
      <c r="D12" t="s">
        <v>6</v>
      </c>
      <c r="E12" t="s">
        <v>5</v>
      </c>
      <c r="F12" t="s">
        <v>4</v>
      </c>
      <c r="G12" t="s">
        <v>10</v>
      </c>
      <c r="H12" s="20" t="s">
        <v>11</v>
      </c>
      <c r="I12" s="6"/>
      <c r="K12" s="8"/>
    </row>
    <row r="13" spans="1:1019 1025:2043 2049:3067 3073:4091 4097:5115 5121:6139 6145:7163 7169:8187 8193:9211 9217:10235 10241:11259 11265:12283 12289:13307 13313:14331 14337:15355 15361:16379">
      <c r="A13" s="12" t="s">
        <v>124</v>
      </c>
      <c r="B13" s="19">
        <v>1</v>
      </c>
      <c r="C13" t="str">
        <f>B9</f>
        <v>FR</v>
      </c>
      <c r="D13" t="s">
        <v>19</v>
      </c>
      <c r="E13" s="48" t="s">
        <v>18</v>
      </c>
      <c r="F13" s="2" t="s">
        <v>126</v>
      </c>
      <c r="G13" s="13"/>
      <c r="H13" s="18"/>
      <c r="I13" s="6"/>
      <c r="K13" s="8"/>
    </row>
    <row r="14" spans="1:1019 1025:2043 2049:3067 3073:4091 4097:5115 5121:6139 6145:7163 7169:8187 8193:9211 9217:10235 10241:11259 11265:12283 12289:13307 13313:14331 14337:15355 15361:16379">
      <c r="A14" s="6" t="s">
        <v>127</v>
      </c>
      <c r="B14" s="19">
        <v>5.6500000000000001E-9</v>
      </c>
      <c r="C14" t="s">
        <v>43</v>
      </c>
      <c r="D14" t="s">
        <v>136</v>
      </c>
      <c r="E14" t="s">
        <v>12</v>
      </c>
      <c r="F14" t="s">
        <v>128</v>
      </c>
      <c r="G14" s="13"/>
      <c r="H14" s="18"/>
      <c r="I14" s="6"/>
      <c r="K14" s="8"/>
    </row>
    <row r="15" spans="1:1019 1025:2043 2049:3067 3073:4091 4097:5115 5121:6139 6145:7163 7169:8187 8193:9211 9217:10235 10241:11259 11265:12283 12289:13307 13313:14331 14337:15355 15361:16379">
      <c r="A15" s="6" t="s">
        <v>129</v>
      </c>
      <c r="B15" s="19">
        <v>3.8600000000000001E-10</v>
      </c>
      <c r="C15" t="s">
        <v>43</v>
      </c>
      <c r="D15" t="s">
        <v>136</v>
      </c>
      <c r="E15" t="s">
        <v>12</v>
      </c>
      <c r="F15" t="s">
        <v>130</v>
      </c>
      <c r="G15" s="13"/>
      <c r="H15" s="18"/>
      <c r="I15" s="6"/>
      <c r="K15" s="8"/>
    </row>
    <row r="16" spans="1:1019 1025:2043 2049:3067 3073:4091 4097:5115 5121:6139 6145:7163 7169:8187 8193:9211 9217:10235 10241:11259 11265:12283 12289:13307 13313:14331 14337:15355 15361:16379" s="9" customFormat="1">
      <c r="A16" s="6" t="s">
        <v>131</v>
      </c>
      <c r="B16" s="19">
        <v>3.47E-12</v>
      </c>
      <c r="C16" t="s">
        <v>43</v>
      </c>
      <c r="D16" t="s">
        <v>136</v>
      </c>
      <c r="E16" t="s">
        <v>12</v>
      </c>
      <c r="F16" t="s">
        <v>132</v>
      </c>
      <c r="G16" s="13"/>
      <c r="H16" s="1"/>
      <c r="I16" s="4"/>
      <c r="J16" s="12"/>
      <c r="K16" s="13"/>
      <c r="Q16" s="4"/>
      <c r="R16" s="12"/>
      <c r="S16" s="13"/>
      <c r="Y16" s="4"/>
      <c r="Z16" s="12"/>
      <c r="AA16" s="13"/>
      <c r="AG16" s="4"/>
      <c r="AH16" s="12"/>
      <c r="AI16" s="13"/>
      <c r="AO16" s="4"/>
      <c r="AP16" s="12"/>
      <c r="AQ16" s="13"/>
      <c r="AW16" s="4"/>
      <c r="AX16" s="12"/>
      <c r="AY16" s="13"/>
      <c r="BE16" s="4"/>
      <c r="BF16" s="12"/>
      <c r="BG16" s="13"/>
      <c r="BM16" s="4"/>
      <c r="BN16" s="12"/>
      <c r="BO16" s="13"/>
      <c r="BU16" s="4"/>
      <c r="BV16" s="12"/>
      <c r="BW16" s="13"/>
      <c r="CC16" s="4"/>
      <c r="CD16" s="12"/>
      <c r="CE16" s="13"/>
      <c r="CK16" s="4"/>
      <c r="CL16" s="12"/>
      <c r="CM16" s="13"/>
      <c r="CS16" s="4"/>
      <c r="CT16" s="12"/>
      <c r="CU16" s="13"/>
      <c r="DA16" s="4"/>
      <c r="DB16" s="12"/>
      <c r="DC16" s="13"/>
      <c r="DI16" s="4"/>
      <c r="DJ16" s="12"/>
      <c r="DK16" s="13"/>
      <c r="DQ16" s="4"/>
      <c r="DR16" s="12"/>
      <c r="DS16" s="13"/>
      <c r="DY16" s="4"/>
      <c r="DZ16" s="12"/>
      <c r="EA16" s="13"/>
      <c r="EG16" s="4"/>
      <c r="EH16" s="12"/>
      <c r="EI16" s="13"/>
      <c r="EO16" s="4"/>
      <c r="EP16" s="12"/>
      <c r="EQ16" s="13"/>
      <c r="EW16" s="4"/>
      <c r="EX16" s="12"/>
      <c r="EY16" s="13"/>
      <c r="FE16" s="4"/>
      <c r="FF16" s="12"/>
      <c r="FG16" s="13"/>
      <c r="FM16" s="4"/>
      <c r="FN16" s="12"/>
      <c r="FO16" s="13"/>
      <c r="FU16" s="4"/>
      <c r="FV16" s="12"/>
      <c r="FW16" s="13"/>
      <c r="GC16" s="4"/>
      <c r="GD16" s="12"/>
      <c r="GE16" s="13"/>
      <c r="GK16" s="4"/>
      <c r="GL16" s="12"/>
      <c r="GM16" s="13"/>
      <c r="GS16" s="4"/>
      <c r="GT16" s="12"/>
      <c r="GU16" s="13"/>
      <c r="HA16" s="4"/>
      <c r="HB16" s="12"/>
      <c r="HC16" s="13"/>
      <c r="HI16" s="4"/>
      <c r="HJ16" s="12"/>
      <c r="HK16" s="13"/>
      <c r="HQ16" s="4"/>
      <c r="HR16" s="12"/>
      <c r="HS16" s="13"/>
      <c r="HY16" s="4"/>
      <c r="HZ16" s="12"/>
      <c r="IA16" s="13"/>
      <c r="IG16" s="4"/>
      <c r="IH16" s="12"/>
      <c r="II16" s="13"/>
      <c r="IO16" s="4"/>
      <c r="IP16" s="12"/>
      <c r="IQ16" s="13"/>
      <c r="IW16" s="4"/>
      <c r="IX16" s="12"/>
      <c r="IY16" s="13"/>
      <c r="JE16" s="4"/>
      <c r="JF16" s="12"/>
      <c r="JG16" s="13"/>
      <c r="JM16" s="4"/>
      <c r="JN16" s="12"/>
      <c r="JO16" s="13"/>
      <c r="JU16" s="4"/>
      <c r="JV16" s="12"/>
      <c r="JW16" s="13"/>
      <c r="KC16" s="4"/>
      <c r="KD16" s="12"/>
      <c r="KE16" s="13"/>
      <c r="KK16" s="4"/>
      <c r="KL16" s="12"/>
      <c r="KM16" s="13"/>
      <c r="KS16" s="4"/>
      <c r="KT16" s="12"/>
      <c r="KU16" s="13"/>
      <c r="LA16" s="4"/>
      <c r="LB16" s="12"/>
      <c r="LC16" s="13"/>
      <c r="LI16" s="4"/>
      <c r="LJ16" s="12"/>
      <c r="LK16" s="13"/>
      <c r="LQ16" s="4"/>
      <c r="LR16" s="12"/>
      <c r="LS16" s="13"/>
      <c r="LY16" s="4"/>
      <c r="LZ16" s="12"/>
      <c r="MA16" s="13"/>
      <c r="MG16" s="4"/>
      <c r="MH16" s="12"/>
      <c r="MI16" s="13"/>
      <c r="MO16" s="4"/>
      <c r="MP16" s="12"/>
      <c r="MQ16" s="13"/>
      <c r="MW16" s="4"/>
      <c r="MX16" s="12"/>
      <c r="MY16" s="13"/>
      <c r="NE16" s="4"/>
      <c r="NF16" s="12"/>
      <c r="NG16" s="13"/>
      <c r="NM16" s="4"/>
      <c r="NN16" s="12"/>
      <c r="NO16" s="13"/>
      <c r="NU16" s="4"/>
      <c r="NV16" s="12"/>
      <c r="NW16" s="13"/>
      <c r="OC16" s="4"/>
      <c r="OD16" s="12"/>
      <c r="OE16" s="13"/>
      <c r="OK16" s="4"/>
      <c r="OL16" s="12"/>
      <c r="OM16" s="13"/>
      <c r="OS16" s="4"/>
      <c r="OT16" s="12"/>
      <c r="OU16" s="13"/>
      <c r="PA16" s="4"/>
      <c r="PB16" s="12"/>
      <c r="PC16" s="13"/>
      <c r="PI16" s="4"/>
      <c r="PJ16" s="12"/>
      <c r="PK16" s="13"/>
      <c r="PQ16" s="4"/>
      <c r="PR16" s="12"/>
      <c r="PS16" s="13"/>
      <c r="PY16" s="4"/>
      <c r="PZ16" s="12"/>
      <c r="QA16" s="13"/>
      <c r="QG16" s="4"/>
      <c r="QH16" s="12"/>
      <c r="QI16" s="13"/>
      <c r="QO16" s="4"/>
      <c r="QP16" s="12"/>
      <c r="QQ16" s="13"/>
      <c r="QW16" s="4"/>
      <c r="QX16" s="12"/>
      <c r="QY16" s="13"/>
      <c r="RE16" s="4"/>
      <c r="RF16" s="12"/>
      <c r="RG16" s="13"/>
      <c r="RM16" s="4"/>
      <c r="RN16" s="12"/>
      <c r="RO16" s="13"/>
      <c r="RU16" s="4"/>
      <c r="RV16" s="12"/>
      <c r="RW16" s="13"/>
      <c r="SC16" s="4"/>
      <c r="SD16" s="12"/>
      <c r="SE16" s="13"/>
      <c r="SK16" s="4"/>
      <c r="SL16" s="12"/>
      <c r="SM16" s="13"/>
      <c r="SS16" s="4"/>
      <c r="ST16" s="12"/>
      <c r="SU16" s="13"/>
      <c r="TA16" s="4"/>
      <c r="TB16" s="12"/>
      <c r="TC16" s="13"/>
      <c r="TI16" s="4"/>
      <c r="TJ16" s="12"/>
      <c r="TK16" s="13"/>
      <c r="TQ16" s="4"/>
      <c r="TR16" s="12"/>
      <c r="TS16" s="13"/>
      <c r="TY16" s="4"/>
      <c r="TZ16" s="12"/>
      <c r="UA16" s="13"/>
      <c r="UG16" s="4"/>
      <c r="UH16" s="12"/>
      <c r="UI16" s="13"/>
      <c r="UO16" s="4"/>
      <c r="UP16" s="12"/>
      <c r="UQ16" s="13"/>
      <c r="UW16" s="4"/>
      <c r="UX16" s="12"/>
      <c r="UY16" s="13"/>
      <c r="VE16" s="4"/>
      <c r="VF16" s="12"/>
      <c r="VG16" s="13"/>
      <c r="VM16" s="4"/>
      <c r="VN16" s="12"/>
      <c r="VO16" s="13"/>
      <c r="VU16" s="4"/>
      <c r="VV16" s="12"/>
      <c r="VW16" s="13"/>
      <c r="WC16" s="4"/>
      <c r="WD16" s="12"/>
      <c r="WE16" s="13"/>
      <c r="WK16" s="4"/>
      <c r="WL16" s="12"/>
      <c r="WM16" s="13"/>
      <c r="WS16" s="4"/>
      <c r="WT16" s="12"/>
      <c r="WU16" s="13"/>
      <c r="XA16" s="4"/>
      <c r="XB16" s="12"/>
      <c r="XC16" s="13"/>
      <c r="XI16" s="4"/>
      <c r="XJ16" s="12"/>
      <c r="XK16" s="13"/>
      <c r="XQ16" s="4"/>
      <c r="XR16" s="12"/>
      <c r="XS16" s="13"/>
      <c r="XY16" s="4"/>
      <c r="XZ16" s="12"/>
      <c r="YA16" s="13"/>
      <c r="YG16" s="4"/>
      <c r="YH16" s="12"/>
      <c r="YI16" s="13"/>
      <c r="YO16" s="4"/>
      <c r="YP16" s="12"/>
      <c r="YQ16" s="13"/>
      <c r="YW16" s="4"/>
      <c r="YX16" s="12"/>
      <c r="YY16" s="13"/>
      <c r="ZE16" s="4"/>
      <c r="ZF16" s="12"/>
      <c r="ZG16" s="13"/>
      <c r="ZM16" s="4"/>
      <c r="ZN16" s="12"/>
      <c r="ZO16" s="13"/>
      <c r="ZU16" s="4"/>
      <c r="ZV16" s="12"/>
      <c r="ZW16" s="13"/>
      <c r="AAC16" s="4"/>
      <c r="AAD16" s="12"/>
      <c r="AAE16" s="13"/>
      <c r="AAK16" s="4"/>
      <c r="AAL16" s="12"/>
      <c r="AAM16" s="13"/>
      <c r="AAS16" s="4"/>
      <c r="AAT16" s="12"/>
      <c r="AAU16" s="13"/>
      <c r="ABA16" s="4"/>
      <c r="ABB16" s="12"/>
      <c r="ABC16" s="13"/>
      <c r="ABI16" s="4"/>
      <c r="ABJ16" s="12"/>
      <c r="ABK16" s="13"/>
      <c r="ABQ16" s="4"/>
      <c r="ABR16" s="12"/>
      <c r="ABS16" s="13"/>
      <c r="ABY16" s="4"/>
      <c r="ABZ16" s="12"/>
      <c r="ACA16" s="13"/>
      <c r="ACG16" s="4"/>
      <c r="ACH16" s="12"/>
      <c r="ACI16" s="13"/>
      <c r="ACO16" s="4"/>
      <c r="ACP16" s="12"/>
      <c r="ACQ16" s="13"/>
      <c r="ACW16" s="4"/>
      <c r="ACX16" s="12"/>
      <c r="ACY16" s="13"/>
      <c r="ADE16" s="4"/>
      <c r="ADF16" s="12"/>
      <c r="ADG16" s="13"/>
      <c r="ADM16" s="4"/>
      <c r="ADN16" s="12"/>
      <c r="ADO16" s="13"/>
      <c r="ADU16" s="4"/>
      <c r="ADV16" s="12"/>
      <c r="ADW16" s="13"/>
      <c r="AEC16" s="4"/>
      <c r="AED16" s="12"/>
      <c r="AEE16" s="13"/>
      <c r="AEK16" s="4"/>
      <c r="AEL16" s="12"/>
      <c r="AEM16" s="13"/>
      <c r="AES16" s="4"/>
      <c r="AET16" s="12"/>
      <c r="AEU16" s="13"/>
      <c r="AFA16" s="4"/>
      <c r="AFB16" s="12"/>
      <c r="AFC16" s="13"/>
      <c r="AFI16" s="4"/>
      <c r="AFJ16" s="12"/>
      <c r="AFK16" s="13"/>
      <c r="AFQ16" s="4"/>
      <c r="AFR16" s="12"/>
      <c r="AFS16" s="13"/>
      <c r="AFY16" s="4"/>
      <c r="AFZ16" s="12"/>
      <c r="AGA16" s="13"/>
      <c r="AGG16" s="4"/>
      <c r="AGH16" s="12"/>
      <c r="AGI16" s="13"/>
      <c r="AGO16" s="4"/>
      <c r="AGP16" s="12"/>
      <c r="AGQ16" s="13"/>
      <c r="AGW16" s="4"/>
      <c r="AGX16" s="12"/>
      <c r="AGY16" s="13"/>
      <c r="AHE16" s="4"/>
      <c r="AHF16" s="12"/>
      <c r="AHG16" s="13"/>
      <c r="AHM16" s="4"/>
      <c r="AHN16" s="12"/>
      <c r="AHO16" s="13"/>
      <c r="AHU16" s="4"/>
      <c r="AHV16" s="12"/>
      <c r="AHW16" s="13"/>
      <c r="AIC16" s="4"/>
      <c r="AID16" s="12"/>
      <c r="AIE16" s="13"/>
      <c r="AIK16" s="4"/>
      <c r="AIL16" s="12"/>
      <c r="AIM16" s="13"/>
      <c r="AIS16" s="4"/>
      <c r="AIT16" s="12"/>
      <c r="AIU16" s="13"/>
      <c r="AJA16" s="4"/>
      <c r="AJB16" s="12"/>
      <c r="AJC16" s="13"/>
      <c r="AJI16" s="4"/>
      <c r="AJJ16" s="12"/>
      <c r="AJK16" s="13"/>
      <c r="AJQ16" s="4"/>
      <c r="AJR16" s="12"/>
      <c r="AJS16" s="13"/>
      <c r="AJY16" s="4"/>
      <c r="AJZ16" s="12"/>
      <c r="AKA16" s="13"/>
      <c r="AKG16" s="4"/>
      <c r="AKH16" s="12"/>
      <c r="AKI16" s="13"/>
      <c r="AKO16" s="4"/>
      <c r="AKP16" s="12"/>
      <c r="AKQ16" s="13"/>
      <c r="AKW16" s="4"/>
      <c r="AKX16" s="12"/>
      <c r="AKY16" s="13"/>
      <c r="ALE16" s="4"/>
      <c r="ALF16" s="12"/>
      <c r="ALG16" s="13"/>
      <c r="ALM16" s="4"/>
      <c r="ALN16" s="12"/>
      <c r="ALO16" s="13"/>
      <c r="ALU16" s="4"/>
      <c r="ALV16" s="12"/>
      <c r="ALW16" s="13"/>
      <c r="AMC16" s="4"/>
      <c r="AMD16" s="12"/>
      <c r="AME16" s="13"/>
      <c r="AMK16" s="4"/>
      <c r="AML16" s="12"/>
      <c r="AMM16" s="13"/>
      <c r="AMS16" s="4"/>
      <c r="AMT16" s="12"/>
      <c r="AMU16" s="13"/>
      <c r="ANA16" s="4"/>
      <c r="ANB16" s="12"/>
      <c r="ANC16" s="13"/>
      <c r="ANI16" s="4"/>
      <c r="ANJ16" s="12"/>
      <c r="ANK16" s="13"/>
      <c r="ANQ16" s="4"/>
      <c r="ANR16" s="12"/>
      <c r="ANS16" s="13"/>
      <c r="ANY16" s="4"/>
      <c r="ANZ16" s="12"/>
      <c r="AOA16" s="13"/>
      <c r="AOG16" s="4"/>
      <c r="AOH16" s="12"/>
      <c r="AOI16" s="13"/>
      <c r="AOO16" s="4"/>
      <c r="AOP16" s="12"/>
      <c r="AOQ16" s="13"/>
      <c r="AOW16" s="4"/>
      <c r="AOX16" s="12"/>
      <c r="AOY16" s="13"/>
      <c r="APE16" s="4"/>
      <c r="APF16" s="12"/>
      <c r="APG16" s="13"/>
      <c r="APM16" s="4"/>
      <c r="APN16" s="12"/>
      <c r="APO16" s="13"/>
      <c r="APU16" s="4"/>
      <c r="APV16" s="12"/>
      <c r="APW16" s="13"/>
      <c r="AQC16" s="4"/>
      <c r="AQD16" s="12"/>
      <c r="AQE16" s="13"/>
      <c r="AQK16" s="4"/>
      <c r="AQL16" s="12"/>
      <c r="AQM16" s="13"/>
      <c r="AQS16" s="4"/>
      <c r="AQT16" s="12"/>
      <c r="AQU16" s="13"/>
      <c r="ARA16" s="4"/>
      <c r="ARB16" s="12"/>
      <c r="ARC16" s="13"/>
      <c r="ARI16" s="4"/>
      <c r="ARJ16" s="12"/>
      <c r="ARK16" s="13"/>
      <c r="ARQ16" s="4"/>
      <c r="ARR16" s="12"/>
      <c r="ARS16" s="13"/>
      <c r="ARY16" s="4"/>
      <c r="ARZ16" s="12"/>
      <c r="ASA16" s="13"/>
      <c r="ASG16" s="4"/>
      <c r="ASH16" s="12"/>
      <c r="ASI16" s="13"/>
      <c r="ASO16" s="4"/>
      <c r="ASP16" s="12"/>
      <c r="ASQ16" s="13"/>
      <c r="ASW16" s="4"/>
      <c r="ASX16" s="12"/>
      <c r="ASY16" s="13"/>
      <c r="ATE16" s="4"/>
      <c r="ATF16" s="12"/>
      <c r="ATG16" s="13"/>
      <c r="ATM16" s="4"/>
      <c r="ATN16" s="12"/>
      <c r="ATO16" s="13"/>
      <c r="ATU16" s="4"/>
      <c r="ATV16" s="12"/>
      <c r="ATW16" s="13"/>
      <c r="AUC16" s="4"/>
      <c r="AUD16" s="12"/>
      <c r="AUE16" s="13"/>
      <c r="AUK16" s="4"/>
      <c r="AUL16" s="12"/>
      <c r="AUM16" s="13"/>
      <c r="AUS16" s="4"/>
      <c r="AUT16" s="12"/>
      <c r="AUU16" s="13"/>
      <c r="AVA16" s="4"/>
      <c r="AVB16" s="12"/>
      <c r="AVC16" s="13"/>
      <c r="AVI16" s="4"/>
      <c r="AVJ16" s="12"/>
      <c r="AVK16" s="13"/>
      <c r="AVQ16" s="4"/>
      <c r="AVR16" s="12"/>
      <c r="AVS16" s="13"/>
      <c r="AVY16" s="4"/>
      <c r="AVZ16" s="12"/>
      <c r="AWA16" s="13"/>
      <c r="AWG16" s="4"/>
      <c r="AWH16" s="12"/>
      <c r="AWI16" s="13"/>
      <c r="AWO16" s="4"/>
      <c r="AWP16" s="12"/>
      <c r="AWQ16" s="13"/>
      <c r="AWW16" s="4"/>
      <c r="AWX16" s="12"/>
      <c r="AWY16" s="13"/>
      <c r="AXE16" s="4"/>
      <c r="AXF16" s="12"/>
      <c r="AXG16" s="13"/>
      <c r="AXM16" s="4"/>
      <c r="AXN16" s="12"/>
      <c r="AXO16" s="13"/>
      <c r="AXU16" s="4"/>
      <c r="AXV16" s="12"/>
      <c r="AXW16" s="13"/>
      <c r="AYC16" s="4"/>
      <c r="AYD16" s="12"/>
      <c r="AYE16" s="13"/>
      <c r="AYK16" s="4"/>
      <c r="AYL16" s="12"/>
      <c r="AYM16" s="13"/>
      <c r="AYS16" s="4"/>
      <c r="AYT16" s="12"/>
      <c r="AYU16" s="13"/>
      <c r="AZA16" s="4"/>
      <c r="AZB16" s="12"/>
      <c r="AZC16" s="13"/>
      <c r="AZI16" s="4"/>
      <c r="AZJ16" s="12"/>
      <c r="AZK16" s="13"/>
      <c r="AZQ16" s="4"/>
      <c r="AZR16" s="12"/>
      <c r="AZS16" s="13"/>
      <c r="AZY16" s="4"/>
      <c r="AZZ16" s="12"/>
      <c r="BAA16" s="13"/>
      <c r="BAG16" s="4"/>
      <c r="BAH16" s="12"/>
      <c r="BAI16" s="13"/>
      <c r="BAO16" s="4"/>
      <c r="BAP16" s="12"/>
      <c r="BAQ16" s="13"/>
      <c r="BAW16" s="4"/>
      <c r="BAX16" s="12"/>
      <c r="BAY16" s="13"/>
      <c r="BBE16" s="4"/>
      <c r="BBF16" s="12"/>
      <c r="BBG16" s="13"/>
      <c r="BBM16" s="4"/>
      <c r="BBN16" s="12"/>
      <c r="BBO16" s="13"/>
      <c r="BBU16" s="4"/>
      <c r="BBV16" s="12"/>
      <c r="BBW16" s="13"/>
      <c r="BCC16" s="4"/>
      <c r="BCD16" s="12"/>
      <c r="BCE16" s="13"/>
      <c r="BCK16" s="4"/>
      <c r="BCL16" s="12"/>
      <c r="BCM16" s="13"/>
      <c r="BCS16" s="4"/>
      <c r="BCT16" s="12"/>
      <c r="BCU16" s="13"/>
      <c r="BDA16" s="4"/>
      <c r="BDB16" s="12"/>
      <c r="BDC16" s="13"/>
      <c r="BDI16" s="4"/>
      <c r="BDJ16" s="12"/>
      <c r="BDK16" s="13"/>
      <c r="BDQ16" s="4"/>
      <c r="BDR16" s="12"/>
      <c r="BDS16" s="13"/>
      <c r="BDY16" s="4"/>
      <c r="BDZ16" s="12"/>
      <c r="BEA16" s="13"/>
      <c r="BEG16" s="4"/>
      <c r="BEH16" s="12"/>
      <c r="BEI16" s="13"/>
      <c r="BEO16" s="4"/>
      <c r="BEP16" s="12"/>
      <c r="BEQ16" s="13"/>
      <c r="BEW16" s="4"/>
      <c r="BEX16" s="12"/>
      <c r="BEY16" s="13"/>
      <c r="BFE16" s="4"/>
      <c r="BFF16" s="12"/>
      <c r="BFG16" s="13"/>
      <c r="BFM16" s="4"/>
      <c r="BFN16" s="12"/>
      <c r="BFO16" s="13"/>
      <c r="BFU16" s="4"/>
      <c r="BFV16" s="12"/>
      <c r="BFW16" s="13"/>
      <c r="BGC16" s="4"/>
      <c r="BGD16" s="12"/>
      <c r="BGE16" s="13"/>
      <c r="BGK16" s="4"/>
      <c r="BGL16" s="12"/>
      <c r="BGM16" s="13"/>
      <c r="BGS16" s="4"/>
      <c r="BGT16" s="12"/>
      <c r="BGU16" s="13"/>
      <c r="BHA16" s="4"/>
      <c r="BHB16" s="12"/>
      <c r="BHC16" s="13"/>
      <c r="BHI16" s="4"/>
      <c r="BHJ16" s="12"/>
      <c r="BHK16" s="13"/>
      <c r="BHQ16" s="4"/>
      <c r="BHR16" s="12"/>
      <c r="BHS16" s="13"/>
      <c r="BHY16" s="4"/>
      <c r="BHZ16" s="12"/>
      <c r="BIA16" s="13"/>
      <c r="BIG16" s="4"/>
      <c r="BIH16" s="12"/>
      <c r="BII16" s="13"/>
      <c r="BIO16" s="4"/>
      <c r="BIP16" s="12"/>
      <c r="BIQ16" s="13"/>
      <c r="BIW16" s="4"/>
      <c r="BIX16" s="12"/>
      <c r="BIY16" s="13"/>
      <c r="BJE16" s="4"/>
      <c r="BJF16" s="12"/>
      <c r="BJG16" s="13"/>
      <c r="BJM16" s="4"/>
      <c r="BJN16" s="12"/>
      <c r="BJO16" s="13"/>
      <c r="BJU16" s="4"/>
      <c r="BJV16" s="12"/>
      <c r="BJW16" s="13"/>
      <c r="BKC16" s="4"/>
      <c r="BKD16" s="12"/>
      <c r="BKE16" s="13"/>
      <c r="BKK16" s="4"/>
      <c r="BKL16" s="12"/>
      <c r="BKM16" s="13"/>
      <c r="BKS16" s="4"/>
      <c r="BKT16" s="12"/>
      <c r="BKU16" s="13"/>
      <c r="BLA16" s="4"/>
      <c r="BLB16" s="12"/>
      <c r="BLC16" s="13"/>
      <c r="BLI16" s="4"/>
      <c r="BLJ16" s="12"/>
      <c r="BLK16" s="13"/>
      <c r="BLQ16" s="4"/>
      <c r="BLR16" s="12"/>
      <c r="BLS16" s="13"/>
      <c r="BLY16" s="4"/>
      <c r="BLZ16" s="12"/>
      <c r="BMA16" s="13"/>
      <c r="BMG16" s="4"/>
      <c r="BMH16" s="12"/>
      <c r="BMI16" s="13"/>
      <c r="BMO16" s="4"/>
      <c r="BMP16" s="12"/>
      <c r="BMQ16" s="13"/>
      <c r="BMW16" s="4"/>
      <c r="BMX16" s="12"/>
      <c r="BMY16" s="13"/>
      <c r="BNE16" s="4"/>
      <c r="BNF16" s="12"/>
      <c r="BNG16" s="13"/>
      <c r="BNM16" s="4"/>
      <c r="BNN16" s="12"/>
      <c r="BNO16" s="13"/>
      <c r="BNU16" s="4"/>
      <c r="BNV16" s="12"/>
      <c r="BNW16" s="13"/>
      <c r="BOC16" s="4"/>
      <c r="BOD16" s="12"/>
      <c r="BOE16" s="13"/>
      <c r="BOK16" s="4"/>
      <c r="BOL16" s="12"/>
      <c r="BOM16" s="13"/>
      <c r="BOS16" s="4"/>
      <c r="BOT16" s="12"/>
      <c r="BOU16" s="13"/>
      <c r="BPA16" s="4"/>
      <c r="BPB16" s="12"/>
      <c r="BPC16" s="13"/>
      <c r="BPI16" s="4"/>
      <c r="BPJ16" s="12"/>
      <c r="BPK16" s="13"/>
      <c r="BPQ16" s="4"/>
      <c r="BPR16" s="12"/>
      <c r="BPS16" s="13"/>
      <c r="BPY16" s="4"/>
      <c r="BPZ16" s="12"/>
      <c r="BQA16" s="13"/>
      <c r="BQG16" s="4"/>
      <c r="BQH16" s="12"/>
      <c r="BQI16" s="13"/>
      <c r="BQO16" s="4"/>
      <c r="BQP16" s="12"/>
      <c r="BQQ16" s="13"/>
      <c r="BQW16" s="4"/>
      <c r="BQX16" s="12"/>
      <c r="BQY16" s="13"/>
      <c r="BRE16" s="4"/>
      <c r="BRF16" s="12"/>
      <c r="BRG16" s="13"/>
      <c r="BRM16" s="4"/>
      <c r="BRN16" s="12"/>
      <c r="BRO16" s="13"/>
      <c r="BRU16" s="4"/>
      <c r="BRV16" s="12"/>
      <c r="BRW16" s="13"/>
      <c r="BSC16" s="4"/>
      <c r="BSD16" s="12"/>
      <c r="BSE16" s="13"/>
      <c r="BSK16" s="4"/>
      <c r="BSL16" s="12"/>
      <c r="BSM16" s="13"/>
      <c r="BSS16" s="4"/>
      <c r="BST16" s="12"/>
      <c r="BSU16" s="13"/>
      <c r="BTA16" s="4"/>
      <c r="BTB16" s="12"/>
      <c r="BTC16" s="13"/>
      <c r="BTI16" s="4"/>
      <c r="BTJ16" s="12"/>
      <c r="BTK16" s="13"/>
      <c r="BTQ16" s="4"/>
      <c r="BTR16" s="12"/>
      <c r="BTS16" s="13"/>
      <c r="BTY16" s="4"/>
      <c r="BTZ16" s="12"/>
      <c r="BUA16" s="13"/>
      <c r="BUG16" s="4"/>
      <c r="BUH16" s="12"/>
      <c r="BUI16" s="13"/>
      <c r="BUO16" s="4"/>
      <c r="BUP16" s="12"/>
      <c r="BUQ16" s="13"/>
      <c r="BUW16" s="4"/>
      <c r="BUX16" s="12"/>
      <c r="BUY16" s="13"/>
      <c r="BVE16" s="4"/>
      <c r="BVF16" s="12"/>
      <c r="BVG16" s="13"/>
      <c r="BVM16" s="4"/>
      <c r="BVN16" s="12"/>
      <c r="BVO16" s="13"/>
      <c r="BVU16" s="4"/>
      <c r="BVV16" s="12"/>
      <c r="BVW16" s="13"/>
      <c r="BWC16" s="4"/>
      <c r="BWD16" s="12"/>
      <c r="BWE16" s="13"/>
      <c r="BWK16" s="4"/>
      <c r="BWL16" s="12"/>
      <c r="BWM16" s="13"/>
      <c r="BWS16" s="4"/>
      <c r="BWT16" s="12"/>
      <c r="BWU16" s="13"/>
      <c r="BXA16" s="4"/>
      <c r="BXB16" s="12"/>
      <c r="BXC16" s="13"/>
      <c r="BXI16" s="4"/>
      <c r="BXJ16" s="12"/>
      <c r="BXK16" s="13"/>
      <c r="BXQ16" s="4"/>
      <c r="BXR16" s="12"/>
      <c r="BXS16" s="13"/>
      <c r="BXY16" s="4"/>
      <c r="BXZ16" s="12"/>
      <c r="BYA16" s="13"/>
      <c r="BYG16" s="4"/>
      <c r="BYH16" s="12"/>
      <c r="BYI16" s="13"/>
      <c r="BYO16" s="4"/>
      <c r="BYP16" s="12"/>
      <c r="BYQ16" s="13"/>
      <c r="BYW16" s="4"/>
      <c r="BYX16" s="12"/>
      <c r="BYY16" s="13"/>
      <c r="BZE16" s="4"/>
      <c r="BZF16" s="12"/>
      <c r="BZG16" s="13"/>
      <c r="BZM16" s="4"/>
      <c r="BZN16" s="12"/>
      <c r="BZO16" s="13"/>
      <c r="BZU16" s="4"/>
      <c r="BZV16" s="12"/>
      <c r="BZW16" s="13"/>
      <c r="CAC16" s="4"/>
      <c r="CAD16" s="12"/>
      <c r="CAE16" s="13"/>
      <c r="CAK16" s="4"/>
      <c r="CAL16" s="12"/>
      <c r="CAM16" s="13"/>
      <c r="CAS16" s="4"/>
      <c r="CAT16" s="12"/>
      <c r="CAU16" s="13"/>
      <c r="CBA16" s="4"/>
      <c r="CBB16" s="12"/>
      <c r="CBC16" s="13"/>
      <c r="CBI16" s="4"/>
      <c r="CBJ16" s="12"/>
      <c r="CBK16" s="13"/>
      <c r="CBQ16" s="4"/>
      <c r="CBR16" s="12"/>
      <c r="CBS16" s="13"/>
      <c r="CBY16" s="4"/>
      <c r="CBZ16" s="12"/>
      <c r="CCA16" s="13"/>
      <c r="CCG16" s="4"/>
      <c r="CCH16" s="12"/>
      <c r="CCI16" s="13"/>
      <c r="CCO16" s="4"/>
      <c r="CCP16" s="12"/>
      <c r="CCQ16" s="13"/>
      <c r="CCW16" s="4"/>
      <c r="CCX16" s="12"/>
      <c r="CCY16" s="13"/>
      <c r="CDE16" s="4"/>
      <c r="CDF16" s="12"/>
      <c r="CDG16" s="13"/>
      <c r="CDM16" s="4"/>
      <c r="CDN16" s="12"/>
      <c r="CDO16" s="13"/>
      <c r="CDU16" s="4"/>
      <c r="CDV16" s="12"/>
      <c r="CDW16" s="13"/>
      <c r="CEC16" s="4"/>
      <c r="CED16" s="12"/>
      <c r="CEE16" s="13"/>
      <c r="CEK16" s="4"/>
      <c r="CEL16" s="12"/>
      <c r="CEM16" s="13"/>
      <c r="CES16" s="4"/>
      <c r="CET16" s="12"/>
      <c r="CEU16" s="13"/>
      <c r="CFA16" s="4"/>
      <c r="CFB16" s="12"/>
      <c r="CFC16" s="13"/>
      <c r="CFI16" s="4"/>
      <c r="CFJ16" s="12"/>
      <c r="CFK16" s="13"/>
      <c r="CFQ16" s="4"/>
      <c r="CFR16" s="12"/>
      <c r="CFS16" s="13"/>
      <c r="CFY16" s="4"/>
      <c r="CFZ16" s="12"/>
      <c r="CGA16" s="13"/>
      <c r="CGG16" s="4"/>
      <c r="CGH16" s="12"/>
      <c r="CGI16" s="13"/>
      <c r="CGO16" s="4"/>
      <c r="CGP16" s="12"/>
      <c r="CGQ16" s="13"/>
      <c r="CGW16" s="4"/>
      <c r="CGX16" s="12"/>
      <c r="CGY16" s="13"/>
      <c r="CHE16" s="4"/>
      <c r="CHF16" s="12"/>
      <c r="CHG16" s="13"/>
      <c r="CHM16" s="4"/>
      <c r="CHN16" s="12"/>
      <c r="CHO16" s="13"/>
      <c r="CHU16" s="4"/>
      <c r="CHV16" s="12"/>
      <c r="CHW16" s="13"/>
      <c r="CIC16" s="4"/>
      <c r="CID16" s="12"/>
      <c r="CIE16" s="13"/>
      <c r="CIK16" s="4"/>
      <c r="CIL16" s="12"/>
      <c r="CIM16" s="13"/>
      <c r="CIS16" s="4"/>
      <c r="CIT16" s="12"/>
      <c r="CIU16" s="13"/>
      <c r="CJA16" s="4"/>
      <c r="CJB16" s="12"/>
      <c r="CJC16" s="13"/>
      <c r="CJI16" s="4"/>
      <c r="CJJ16" s="12"/>
      <c r="CJK16" s="13"/>
      <c r="CJQ16" s="4"/>
      <c r="CJR16" s="12"/>
      <c r="CJS16" s="13"/>
      <c r="CJY16" s="4"/>
      <c r="CJZ16" s="12"/>
      <c r="CKA16" s="13"/>
      <c r="CKG16" s="4"/>
      <c r="CKH16" s="12"/>
      <c r="CKI16" s="13"/>
      <c r="CKO16" s="4"/>
      <c r="CKP16" s="12"/>
      <c r="CKQ16" s="13"/>
      <c r="CKW16" s="4"/>
      <c r="CKX16" s="12"/>
      <c r="CKY16" s="13"/>
      <c r="CLE16" s="4"/>
      <c r="CLF16" s="12"/>
      <c r="CLG16" s="13"/>
      <c r="CLM16" s="4"/>
      <c r="CLN16" s="12"/>
      <c r="CLO16" s="13"/>
      <c r="CLU16" s="4"/>
      <c r="CLV16" s="12"/>
      <c r="CLW16" s="13"/>
      <c r="CMC16" s="4"/>
      <c r="CMD16" s="12"/>
      <c r="CME16" s="13"/>
      <c r="CMK16" s="4"/>
      <c r="CML16" s="12"/>
      <c r="CMM16" s="13"/>
      <c r="CMS16" s="4"/>
      <c r="CMT16" s="12"/>
      <c r="CMU16" s="13"/>
      <c r="CNA16" s="4"/>
      <c r="CNB16" s="12"/>
      <c r="CNC16" s="13"/>
      <c r="CNI16" s="4"/>
      <c r="CNJ16" s="12"/>
      <c r="CNK16" s="13"/>
      <c r="CNQ16" s="4"/>
      <c r="CNR16" s="12"/>
      <c r="CNS16" s="13"/>
      <c r="CNY16" s="4"/>
      <c r="CNZ16" s="12"/>
      <c r="COA16" s="13"/>
      <c r="COG16" s="4"/>
      <c r="COH16" s="12"/>
      <c r="COI16" s="13"/>
      <c r="COO16" s="4"/>
      <c r="COP16" s="12"/>
      <c r="COQ16" s="13"/>
      <c r="COW16" s="4"/>
      <c r="COX16" s="12"/>
      <c r="COY16" s="13"/>
      <c r="CPE16" s="4"/>
      <c r="CPF16" s="12"/>
      <c r="CPG16" s="13"/>
      <c r="CPM16" s="4"/>
      <c r="CPN16" s="12"/>
      <c r="CPO16" s="13"/>
      <c r="CPU16" s="4"/>
      <c r="CPV16" s="12"/>
      <c r="CPW16" s="13"/>
      <c r="CQC16" s="4"/>
      <c r="CQD16" s="12"/>
      <c r="CQE16" s="13"/>
      <c r="CQK16" s="4"/>
      <c r="CQL16" s="12"/>
      <c r="CQM16" s="13"/>
      <c r="CQS16" s="4"/>
      <c r="CQT16" s="12"/>
      <c r="CQU16" s="13"/>
      <c r="CRA16" s="4"/>
      <c r="CRB16" s="12"/>
      <c r="CRC16" s="13"/>
      <c r="CRI16" s="4"/>
      <c r="CRJ16" s="12"/>
      <c r="CRK16" s="13"/>
      <c r="CRQ16" s="4"/>
      <c r="CRR16" s="12"/>
      <c r="CRS16" s="13"/>
      <c r="CRY16" s="4"/>
      <c r="CRZ16" s="12"/>
      <c r="CSA16" s="13"/>
      <c r="CSG16" s="4"/>
      <c r="CSH16" s="12"/>
      <c r="CSI16" s="13"/>
      <c r="CSO16" s="4"/>
      <c r="CSP16" s="12"/>
      <c r="CSQ16" s="13"/>
      <c r="CSW16" s="4"/>
      <c r="CSX16" s="12"/>
      <c r="CSY16" s="13"/>
      <c r="CTE16" s="4"/>
      <c r="CTF16" s="12"/>
      <c r="CTG16" s="13"/>
      <c r="CTM16" s="4"/>
      <c r="CTN16" s="12"/>
      <c r="CTO16" s="13"/>
      <c r="CTU16" s="4"/>
      <c r="CTV16" s="12"/>
      <c r="CTW16" s="13"/>
      <c r="CUC16" s="4"/>
      <c r="CUD16" s="12"/>
      <c r="CUE16" s="13"/>
      <c r="CUK16" s="4"/>
      <c r="CUL16" s="12"/>
      <c r="CUM16" s="13"/>
      <c r="CUS16" s="4"/>
      <c r="CUT16" s="12"/>
      <c r="CUU16" s="13"/>
      <c r="CVA16" s="4"/>
      <c r="CVB16" s="12"/>
      <c r="CVC16" s="13"/>
      <c r="CVI16" s="4"/>
      <c r="CVJ16" s="12"/>
      <c r="CVK16" s="13"/>
      <c r="CVQ16" s="4"/>
      <c r="CVR16" s="12"/>
      <c r="CVS16" s="13"/>
      <c r="CVY16" s="4"/>
      <c r="CVZ16" s="12"/>
      <c r="CWA16" s="13"/>
      <c r="CWG16" s="4"/>
      <c r="CWH16" s="12"/>
      <c r="CWI16" s="13"/>
      <c r="CWO16" s="4"/>
      <c r="CWP16" s="12"/>
      <c r="CWQ16" s="13"/>
      <c r="CWW16" s="4"/>
      <c r="CWX16" s="12"/>
      <c r="CWY16" s="13"/>
      <c r="CXE16" s="4"/>
      <c r="CXF16" s="12"/>
      <c r="CXG16" s="13"/>
      <c r="CXM16" s="4"/>
      <c r="CXN16" s="12"/>
      <c r="CXO16" s="13"/>
      <c r="CXU16" s="4"/>
      <c r="CXV16" s="12"/>
      <c r="CXW16" s="13"/>
      <c r="CYC16" s="4"/>
      <c r="CYD16" s="12"/>
      <c r="CYE16" s="13"/>
      <c r="CYK16" s="4"/>
      <c r="CYL16" s="12"/>
      <c r="CYM16" s="13"/>
      <c r="CYS16" s="4"/>
      <c r="CYT16" s="12"/>
      <c r="CYU16" s="13"/>
      <c r="CZA16" s="4"/>
      <c r="CZB16" s="12"/>
      <c r="CZC16" s="13"/>
      <c r="CZI16" s="4"/>
      <c r="CZJ16" s="12"/>
      <c r="CZK16" s="13"/>
      <c r="CZQ16" s="4"/>
      <c r="CZR16" s="12"/>
      <c r="CZS16" s="13"/>
      <c r="CZY16" s="4"/>
      <c r="CZZ16" s="12"/>
      <c r="DAA16" s="13"/>
      <c r="DAG16" s="4"/>
      <c r="DAH16" s="12"/>
      <c r="DAI16" s="13"/>
      <c r="DAO16" s="4"/>
      <c r="DAP16" s="12"/>
      <c r="DAQ16" s="13"/>
      <c r="DAW16" s="4"/>
      <c r="DAX16" s="12"/>
      <c r="DAY16" s="13"/>
      <c r="DBE16" s="4"/>
      <c r="DBF16" s="12"/>
      <c r="DBG16" s="13"/>
      <c r="DBM16" s="4"/>
      <c r="DBN16" s="12"/>
      <c r="DBO16" s="13"/>
      <c r="DBU16" s="4"/>
      <c r="DBV16" s="12"/>
      <c r="DBW16" s="13"/>
      <c r="DCC16" s="4"/>
      <c r="DCD16" s="12"/>
      <c r="DCE16" s="13"/>
      <c r="DCK16" s="4"/>
      <c r="DCL16" s="12"/>
      <c r="DCM16" s="13"/>
      <c r="DCS16" s="4"/>
      <c r="DCT16" s="12"/>
      <c r="DCU16" s="13"/>
      <c r="DDA16" s="4"/>
      <c r="DDB16" s="12"/>
      <c r="DDC16" s="13"/>
      <c r="DDI16" s="4"/>
      <c r="DDJ16" s="12"/>
      <c r="DDK16" s="13"/>
      <c r="DDQ16" s="4"/>
      <c r="DDR16" s="12"/>
      <c r="DDS16" s="13"/>
      <c r="DDY16" s="4"/>
      <c r="DDZ16" s="12"/>
      <c r="DEA16" s="13"/>
      <c r="DEG16" s="4"/>
      <c r="DEH16" s="12"/>
      <c r="DEI16" s="13"/>
      <c r="DEO16" s="4"/>
      <c r="DEP16" s="12"/>
      <c r="DEQ16" s="13"/>
      <c r="DEW16" s="4"/>
      <c r="DEX16" s="12"/>
      <c r="DEY16" s="13"/>
      <c r="DFE16" s="4"/>
      <c r="DFF16" s="12"/>
      <c r="DFG16" s="13"/>
      <c r="DFM16" s="4"/>
      <c r="DFN16" s="12"/>
      <c r="DFO16" s="13"/>
      <c r="DFU16" s="4"/>
      <c r="DFV16" s="12"/>
      <c r="DFW16" s="13"/>
      <c r="DGC16" s="4"/>
      <c r="DGD16" s="12"/>
      <c r="DGE16" s="13"/>
      <c r="DGK16" s="4"/>
      <c r="DGL16" s="12"/>
      <c r="DGM16" s="13"/>
      <c r="DGS16" s="4"/>
      <c r="DGT16" s="12"/>
      <c r="DGU16" s="13"/>
      <c r="DHA16" s="4"/>
      <c r="DHB16" s="12"/>
      <c r="DHC16" s="13"/>
      <c r="DHI16" s="4"/>
      <c r="DHJ16" s="12"/>
      <c r="DHK16" s="13"/>
      <c r="DHQ16" s="4"/>
      <c r="DHR16" s="12"/>
      <c r="DHS16" s="13"/>
      <c r="DHY16" s="4"/>
      <c r="DHZ16" s="12"/>
      <c r="DIA16" s="13"/>
      <c r="DIG16" s="4"/>
      <c r="DIH16" s="12"/>
      <c r="DII16" s="13"/>
      <c r="DIO16" s="4"/>
      <c r="DIP16" s="12"/>
      <c r="DIQ16" s="13"/>
      <c r="DIW16" s="4"/>
      <c r="DIX16" s="12"/>
      <c r="DIY16" s="13"/>
      <c r="DJE16" s="4"/>
      <c r="DJF16" s="12"/>
      <c r="DJG16" s="13"/>
      <c r="DJM16" s="4"/>
      <c r="DJN16" s="12"/>
      <c r="DJO16" s="13"/>
      <c r="DJU16" s="4"/>
      <c r="DJV16" s="12"/>
      <c r="DJW16" s="13"/>
      <c r="DKC16" s="4"/>
      <c r="DKD16" s="12"/>
      <c r="DKE16" s="13"/>
      <c r="DKK16" s="4"/>
      <c r="DKL16" s="12"/>
      <c r="DKM16" s="13"/>
      <c r="DKS16" s="4"/>
      <c r="DKT16" s="12"/>
      <c r="DKU16" s="13"/>
      <c r="DLA16" s="4"/>
      <c r="DLB16" s="12"/>
      <c r="DLC16" s="13"/>
      <c r="DLI16" s="4"/>
      <c r="DLJ16" s="12"/>
      <c r="DLK16" s="13"/>
      <c r="DLQ16" s="4"/>
      <c r="DLR16" s="12"/>
      <c r="DLS16" s="13"/>
      <c r="DLY16" s="4"/>
      <c r="DLZ16" s="12"/>
      <c r="DMA16" s="13"/>
      <c r="DMG16" s="4"/>
      <c r="DMH16" s="12"/>
      <c r="DMI16" s="13"/>
      <c r="DMO16" s="4"/>
      <c r="DMP16" s="12"/>
      <c r="DMQ16" s="13"/>
      <c r="DMW16" s="4"/>
      <c r="DMX16" s="12"/>
      <c r="DMY16" s="13"/>
      <c r="DNE16" s="4"/>
      <c r="DNF16" s="12"/>
      <c r="DNG16" s="13"/>
      <c r="DNM16" s="4"/>
      <c r="DNN16" s="12"/>
      <c r="DNO16" s="13"/>
      <c r="DNU16" s="4"/>
      <c r="DNV16" s="12"/>
      <c r="DNW16" s="13"/>
      <c r="DOC16" s="4"/>
      <c r="DOD16" s="12"/>
      <c r="DOE16" s="13"/>
      <c r="DOK16" s="4"/>
      <c r="DOL16" s="12"/>
      <c r="DOM16" s="13"/>
      <c r="DOS16" s="4"/>
      <c r="DOT16" s="12"/>
      <c r="DOU16" s="13"/>
      <c r="DPA16" s="4"/>
      <c r="DPB16" s="12"/>
      <c r="DPC16" s="13"/>
      <c r="DPI16" s="4"/>
      <c r="DPJ16" s="12"/>
      <c r="DPK16" s="13"/>
      <c r="DPQ16" s="4"/>
      <c r="DPR16" s="12"/>
      <c r="DPS16" s="13"/>
      <c r="DPY16" s="4"/>
      <c r="DPZ16" s="12"/>
      <c r="DQA16" s="13"/>
      <c r="DQG16" s="4"/>
      <c r="DQH16" s="12"/>
      <c r="DQI16" s="13"/>
      <c r="DQO16" s="4"/>
      <c r="DQP16" s="12"/>
      <c r="DQQ16" s="13"/>
      <c r="DQW16" s="4"/>
      <c r="DQX16" s="12"/>
      <c r="DQY16" s="13"/>
      <c r="DRE16" s="4"/>
      <c r="DRF16" s="12"/>
      <c r="DRG16" s="13"/>
      <c r="DRM16" s="4"/>
      <c r="DRN16" s="12"/>
      <c r="DRO16" s="13"/>
      <c r="DRU16" s="4"/>
      <c r="DRV16" s="12"/>
      <c r="DRW16" s="13"/>
      <c r="DSC16" s="4"/>
      <c r="DSD16" s="12"/>
      <c r="DSE16" s="13"/>
      <c r="DSK16" s="4"/>
      <c r="DSL16" s="12"/>
      <c r="DSM16" s="13"/>
      <c r="DSS16" s="4"/>
      <c r="DST16" s="12"/>
      <c r="DSU16" s="13"/>
      <c r="DTA16" s="4"/>
      <c r="DTB16" s="12"/>
      <c r="DTC16" s="13"/>
      <c r="DTI16" s="4"/>
      <c r="DTJ16" s="12"/>
      <c r="DTK16" s="13"/>
      <c r="DTQ16" s="4"/>
      <c r="DTR16" s="12"/>
      <c r="DTS16" s="13"/>
      <c r="DTY16" s="4"/>
      <c r="DTZ16" s="12"/>
      <c r="DUA16" s="13"/>
      <c r="DUG16" s="4"/>
      <c r="DUH16" s="12"/>
      <c r="DUI16" s="13"/>
      <c r="DUO16" s="4"/>
      <c r="DUP16" s="12"/>
      <c r="DUQ16" s="13"/>
      <c r="DUW16" s="4"/>
      <c r="DUX16" s="12"/>
      <c r="DUY16" s="13"/>
      <c r="DVE16" s="4"/>
      <c r="DVF16" s="12"/>
      <c r="DVG16" s="13"/>
      <c r="DVM16" s="4"/>
      <c r="DVN16" s="12"/>
      <c r="DVO16" s="13"/>
      <c r="DVU16" s="4"/>
      <c r="DVV16" s="12"/>
      <c r="DVW16" s="13"/>
      <c r="DWC16" s="4"/>
      <c r="DWD16" s="12"/>
      <c r="DWE16" s="13"/>
      <c r="DWK16" s="4"/>
      <c r="DWL16" s="12"/>
      <c r="DWM16" s="13"/>
      <c r="DWS16" s="4"/>
      <c r="DWT16" s="12"/>
      <c r="DWU16" s="13"/>
      <c r="DXA16" s="4"/>
      <c r="DXB16" s="12"/>
      <c r="DXC16" s="13"/>
      <c r="DXI16" s="4"/>
      <c r="DXJ16" s="12"/>
      <c r="DXK16" s="13"/>
      <c r="DXQ16" s="4"/>
      <c r="DXR16" s="12"/>
      <c r="DXS16" s="13"/>
      <c r="DXY16" s="4"/>
      <c r="DXZ16" s="12"/>
      <c r="DYA16" s="13"/>
      <c r="DYG16" s="4"/>
      <c r="DYH16" s="12"/>
      <c r="DYI16" s="13"/>
      <c r="DYO16" s="4"/>
      <c r="DYP16" s="12"/>
      <c r="DYQ16" s="13"/>
      <c r="DYW16" s="4"/>
      <c r="DYX16" s="12"/>
      <c r="DYY16" s="13"/>
      <c r="DZE16" s="4"/>
      <c r="DZF16" s="12"/>
      <c r="DZG16" s="13"/>
      <c r="DZM16" s="4"/>
      <c r="DZN16" s="12"/>
      <c r="DZO16" s="13"/>
      <c r="DZU16" s="4"/>
      <c r="DZV16" s="12"/>
      <c r="DZW16" s="13"/>
      <c r="EAC16" s="4"/>
      <c r="EAD16" s="12"/>
      <c r="EAE16" s="13"/>
      <c r="EAK16" s="4"/>
      <c r="EAL16" s="12"/>
      <c r="EAM16" s="13"/>
      <c r="EAS16" s="4"/>
      <c r="EAT16" s="12"/>
      <c r="EAU16" s="13"/>
      <c r="EBA16" s="4"/>
      <c r="EBB16" s="12"/>
      <c r="EBC16" s="13"/>
      <c r="EBI16" s="4"/>
      <c r="EBJ16" s="12"/>
      <c r="EBK16" s="13"/>
      <c r="EBQ16" s="4"/>
      <c r="EBR16" s="12"/>
      <c r="EBS16" s="13"/>
      <c r="EBY16" s="4"/>
      <c r="EBZ16" s="12"/>
      <c r="ECA16" s="13"/>
      <c r="ECG16" s="4"/>
      <c r="ECH16" s="12"/>
      <c r="ECI16" s="13"/>
      <c r="ECO16" s="4"/>
      <c r="ECP16" s="12"/>
      <c r="ECQ16" s="13"/>
      <c r="ECW16" s="4"/>
      <c r="ECX16" s="12"/>
      <c r="ECY16" s="13"/>
      <c r="EDE16" s="4"/>
      <c r="EDF16" s="12"/>
      <c r="EDG16" s="13"/>
      <c r="EDM16" s="4"/>
      <c r="EDN16" s="12"/>
      <c r="EDO16" s="13"/>
      <c r="EDU16" s="4"/>
      <c r="EDV16" s="12"/>
      <c r="EDW16" s="13"/>
      <c r="EEC16" s="4"/>
      <c r="EED16" s="12"/>
      <c r="EEE16" s="13"/>
      <c r="EEK16" s="4"/>
      <c r="EEL16" s="12"/>
      <c r="EEM16" s="13"/>
      <c r="EES16" s="4"/>
      <c r="EET16" s="12"/>
      <c r="EEU16" s="13"/>
      <c r="EFA16" s="4"/>
      <c r="EFB16" s="12"/>
      <c r="EFC16" s="13"/>
      <c r="EFI16" s="4"/>
      <c r="EFJ16" s="12"/>
      <c r="EFK16" s="13"/>
      <c r="EFQ16" s="4"/>
      <c r="EFR16" s="12"/>
      <c r="EFS16" s="13"/>
      <c r="EFY16" s="4"/>
      <c r="EFZ16" s="12"/>
      <c r="EGA16" s="13"/>
      <c r="EGG16" s="4"/>
      <c r="EGH16" s="12"/>
      <c r="EGI16" s="13"/>
      <c r="EGO16" s="4"/>
      <c r="EGP16" s="12"/>
      <c r="EGQ16" s="13"/>
      <c r="EGW16" s="4"/>
      <c r="EGX16" s="12"/>
      <c r="EGY16" s="13"/>
      <c r="EHE16" s="4"/>
      <c r="EHF16" s="12"/>
      <c r="EHG16" s="13"/>
      <c r="EHM16" s="4"/>
      <c r="EHN16" s="12"/>
      <c r="EHO16" s="13"/>
      <c r="EHU16" s="4"/>
      <c r="EHV16" s="12"/>
      <c r="EHW16" s="13"/>
      <c r="EIC16" s="4"/>
      <c r="EID16" s="12"/>
      <c r="EIE16" s="13"/>
      <c r="EIK16" s="4"/>
      <c r="EIL16" s="12"/>
      <c r="EIM16" s="13"/>
      <c r="EIS16" s="4"/>
      <c r="EIT16" s="12"/>
      <c r="EIU16" s="13"/>
      <c r="EJA16" s="4"/>
      <c r="EJB16" s="12"/>
      <c r="EJC16" s="13"/>
      <c r="EJI16" s="4"/>
      <c r="EJJ16" s="12"/>
      <c r="EJK16" s="13"/>
      <c r="EJQ16" s="4"/>
      <c r="EJR16" s="12"/>
      <c r="EJS16" s="13"/>
      <c r="EJY16" s="4"/>
      <c r="EJZ16" s="12"/>
      <c r="EKA16" s="13"/>
      <c r="EKG16" s="4"/>
      <c r="EKH16" s="12"/>
      <c r="EKI16" s="13"/>
      <c r="EKO16" s="4"/>
      <c r="EKP16" s="12"/>
      <c r="EKQ16" s="13"/>
      <c r="EKW16" s="4"/>
      <c r="EKX16" s="12"/>
      <c r="EKY16" s="13"/>
      <c r="ELE16" s="4"/>
      <c r="ELF16" s="12"/>
      <c r="ELG16" s="13"/>
      <c r="ELM16" s="4"/>
      <c r="ELN16" s="12"/>
      <c r="ELO16" s="13"/>
      <c r="ELU16" s="4"/>
      <c r="ELV16" s="12"/>
      <c r="ELW16" s="13"/>
      <c r="EMC16" s="4"/>
      <c r="EMD16" s="12"/>
      <c r="EME16" s="13"/>
      <c r="EMK16" s="4"/>
      <c r="EML16" s="12"/>
      <c r="EMM16" s="13"/>
      <c r="EMS16" s="4"/>
      <c r="EMT16" s="12"/>
      <c r="EMU16" s="13"/>
      <c r="ENA16" s="4"/>
      <c r="ENB16" s="12"/>
      <c r="ENC16" s="13"/>
      <c r="ENI16" s="4"/>
      <c r="ENJ16" s="12"/>
      <c r="ENK16" s="13"/>
      <c r="ENQ16" s="4"/>
      <c r="ENR16" s="12"/>
      <c r="ENS16" s="13"/>
      <c r="ENY16" s="4"/>
      <c r="ENZ16" s="12"/>
      <c r="EOA16" s="13"/>
      <c r="EOG16" s="4"/>
      <c r="EOH16" s="12"/>
      <c r="EOI16" s="13"/>
      <c r="EOO16" s="4"/>
      <c r="EOP16" s="12"/>
      <c r="EOQ16" s="13"/>
      <c r="EOW16" s="4"/>
      <c r="EOX16" s="12"/>
      <c r="EOY16" s="13"/>
      <c r="EPE16" s="4"/>
      <c r="EPF16" s="12"/>
      <c r="EPG16" s="13"/>
      <c r="EPM16" s="4"/>
      <c r="EPN16" s="12"/>
      <c r="EPO16" s="13"/>
      <c r="EPU16" s="4"/>
      <c r="EPV16" s="12"/>
      <c r="EPW16" s="13"/>
      <c r="EQC16" s="4"/>
      <c r="EQD16" s="12"/>
      <c r="EQE16" s="13"/>
      <c r="EQK16" s="4"/>
      <c r="EQL16" s="12"/>
      <c r="EQM16" s="13"/>
      <c r="EQS16" s="4"/>
      <c r="EQT16" s="12"/>
      <c r="EQU16" s="13"/>
      <c r="ERA16" s="4"/>
      <c r="ERB16" s="12"/>
      <c r="ERC16" s="13"/>
      <c r="ERI16" s="4"/>
      <c r="ERJ16" s="12"/>
      <c r="ERK16" s="13"/>
      <c r="ERQ16" s="4"/>
      <c r="ERR16" s="12"/>
      <c r="ERS16" s="13"/>
      <c r="ERY16" s="4"/>
      <c r="ERZ16" s="12"/>
      <c r="ESA16" s="13"/>
      <c r="ESG16" s="4"/>
      <c r="ESH16" s="12"/>
      <c r="ESI16" s="13"/>
      <c r="ESO16" s="4"/>
      <c r="ESP16" s="12"/>
      <c r="ESQ16" s="13"/>
      <c r="ESW16" s="4"/>
      <c r="ESX16" s="12"/>
      <c r="ESY16" s="13"/>
      <c r="ETE16" s="4"/>
      <c r="ETF16" s="12"/>
      <c r="ETG16" s="13"/>
      <c r="ETM16" s="4"/>
      <c r="ETN16" s="12"/>
      <c r="ETO16" s="13"/>
      <c r="ETU16" s="4"/>
      <c r="ETV16" s="12"/>
      <c r="ETW16" s="13"/>
      <c r="EUC16" s="4"/>
      <c r="EUD16" s="12"/>
      <c r="EUE16" s="13"/>
      <c r="EUK16" s="4"/>
      <c r="EUL16" s="12"/>
      <c r="EUM16" s="13"/>
      <c r="EUS16" s="4"/>
      <c r="EUT16" s="12"/>
      <c r="EUU16" s="13"/>
      <c r="EVA16" s="4"/>
      <c r="EVB16" s="12"/>
      <c r="EVC16" s="13"/>
      <c r="EVI16" s="4"/>
      <c r="EVJ16" s="12"/>
      <c r="EVK16" s="13"/>
      <c r="EVQ16" s="4"/>
      <c r="EVR16" s="12"/>
      <c r="EVS16" s="13"/>
      <c r="EVY16" s="4"/>
      <c r="EVZ16" s="12"/>
      <c r="EWA16" s="13"/>
      <c r="EWG16" s="4"/>
      <c r="EWH16" s="12"/>
      <c r="EWI16" s="13"/>
      <c r="EWO16" s="4"/>
      <c r="EWP16" s="12"/>
      <c r="EWQ16" s="13"/>
      <c r="EWW16" s="4"/>
      <c r="EWX16" s="12"/>
      <c r="EWY16" s="13"/>
      <c r="EXE16" s="4"/>
      <c r="EXF16" s="12"/>
      <c r="EXG16" s="13"/>
      <c r="EXM16" s="4"/>
      <c r="EXN16" s="12"/>
      <c r="EXO16" s="13"/>
      <c r="EXU16" s="4"/>
      <c r="EXV16" s="12"/>
      <c r="EXW16" s="13"/>
      <c r="EYC16" s="4"/>
      <c r="EYD16" s="12"/>
      <c r="EYE16" s="13"/>
      <c r="EYK16" s="4"/>
      <c r="EYL16" s="12"/>
      <c r="EYM16" s="13"/>
      <c r="EYS16" s="4"/>
      <c r="EYT16" s="12"/>
      <c r="EYU16" s="13"/>
      <c r="EZA16" s="4"/>
      <c r="EZB16" s="12"/>
      <c r="EZC16" s="13"/>
      <c r="EZI16" s="4"/>
      <c r="EZJ16" s="12"/>
      <c r="EZK16" s="13"/>
      <c r="EZQ16" s="4"/>
      <c r="EZR16" s="12"/>
      <c r="EZS16" s="13"/>
      <c r="EZY16" s="4"/>
      <c r="EZZ16" s="12"/>
      <c r="FAA16" s="13"/>
      <c r="FAG16" s="4"/>
      <c r="FAH16" s="12"/>
      <c r="FAI16" s="13"/>
      <c r="FAO16" s="4"/>
      <c r="FAP16" s="12"/>
      <c r="FAQ16" s="13"/>
      <c r="FAW16" s="4"/>
      <c r="FAX16" s="12"/>
      <c r="FAY16" s="13"/>
      <c r="FBE16" s="4"/>
      <c r="FBF16" s="12"/>
      <c r="FBG16" s="13"/>
      <c r="FBM16" s="4"/>
      <c r="FBN16" s="12"/>
      <c r="FBO16" s="13"/>
      <c r="FBU16" s="4"/>
      <c r="FBV16" s="12"/>
      <c r="FBW16" s="13"/>
      <c r="FCC16" s="4"/>
      <c r="FCD16" s="12"/>
      <c r="FCE16" s="13"/>
      <c r="FCK16" s="4"/>
      <c r="FCL16" s="12"/>
      <c r="FCM16" s="13"/>
      <c r="FCS16" s="4"/>
      <c r="FCT16" s="12"/>
      <c r="FCU16" s="13"/>
      <c r="FDA16" s="4"/>
      <c r="FDB16" s="12"/>
      <c r="FDC16" s="13"/>
      <c r="FDI16" s="4"/>
      <c r="FDJ16" s="12"/>
      <c r="FDK16" s="13"/>
      <c r="FDQ16" s="4"/>
      <c r="FDR16" s="12"/>
      <c r="FDS16" s="13"/>
      <c r="FDY16" s="4"/>
      <c r="FDZ16" s="12"/>
      <c r="FEA16" s="13"/>
      <c r="FEG16" s="4"/>
      <c r="FEH16" s="12"/>
      <c r="FEI16" s="13"/>
      <c r="FEO16" s="4"/>
      <c r="FEP16" s="12"/>
      <c r="FEQ16" s="13"/>
      <c r="FEW16" s="4"/>
      <c r="FEX16" s="12"/>
      <c r="FEY16" s="13"/>
      <c r="FFE16" s="4"/>
      <c r="FFF16" s="12"/>
      <c r="FFG16" s="13"/>
      <c r="FFM16" s="4"/>
      <c r="FFN16" s="12"/>
      <c r="FFO16" s="13"/>
      <c r="FFU16" s="4"/>
      <c r="FFV16" s="12"/>
      <c r="FFW16" s="13"/>
      <c r="FGC16" s="4"/>
      <c r="FGD16" s="12"/>
      <c r="FGE16" s="13"/>
      <c r="FGK16" s="4"/>
      <c r="FGL16" s="12"/>
      <c r="FGM16" s="13"/>
      <c r="FGS16" s="4"/>
      <c r="FGT16" s="12"/>
      <c r="FGU16" s="13"/>
      <c r="FHA16" s="4"/>
      <c r="FHB16" s="12"/>
      <c r="FHC16" s="13"/>
      <c r="FHI16" s="4"/>
      <c r="FHJ16" s="12"/>
      <c r="FHK16" s="13"/>
      <c r="FHQ16" s="4"/>
      <c r="FHR16" s="12"/>
      <c r="FHS16" s="13"/>
      <c r="FHY16" s="4"/>
      <c r="FHZ16" s="12"/>
      <c r="FIA16" s="13"/>
      <c r="FIG16" s="4"/>
      <c r="FIH16" s="12"/>
      <c r="FII16" s="13"/>
      <c r="FIO16" s="4"/>
      <c r="FIP16" s="12"/>
      <c r="FIQ16" s="13"/>
      <c r="FIW16" s="4"/>
      <c r="FIX16" s="12"/>
      <c r="FIY16" s="13"/>
      <c r="FJE16" s="4"/>
      <c r="FJF16" s="12"/>
      <c r="FJG16" s="13"/>
      <c r="FJM16" s="4"/>
      <c r="FJN16" s="12"/>
      <c r="FJO16" s="13"/>
      <c r="FJU16" s="4"/>
      <c r="FJV16" s="12"/>
      <c r="FJW16" s="13"/>
      <c r="FKC16" s="4"/>
      <c r="FKD16" s="12"/>
      <c r="FKE16" s="13"/>
      <c r="FKK16" s="4"/>
      <c r="FKL16" s="12"/>
      <c r="FKM16" s="13"/>
      <c r="FKS16" s="4"/>
      <c r="FKT16" s="12"/>
      <c r="FKU16" s="13"/>
      <c r="FLA16" s="4"/>
      <c r="FLB16" s="12"/>
      <c r="FLC16" s="13"/>
      <c r="FLI16" s="4"/>
      <c r="FLJ16" s="12"/>
      <c r="FLK16" s="13"/>
      <c r="FLQ16" s="4"/>
      <c r="FLR16" s="12"/>
      <c r="FLS16" s="13"/>
      <c r="FLY16" s="4"/>
      <c r="FLZ16" s="12"/>
      <c r="FMA16" s="13"/>
      <c r="FMG16" s="4"/>
      <c r="FMH16" s="12"/>
      <c r="FMI16" s="13"/>
      <c r="FMO16" s="4"/>
      <c r="FMP16" s="12"/>
      <c r="FMQ16" s="13"/>
      <c r="FMW16" s="4"/>
      <c r="FMX16" s="12"/>
      <c r="FMY16" s="13"/>
      <c r="FNE16" s="4"/>
      <c r="FNF16" s="12"/>
      <c r="FNG16" s="13"/>
      <c r="FNM16" s="4"/>
      <c r="FNN16" s="12"/>
      <c r="FNO16" s="13"/>
      <c r="FNU16" s="4"/>
      <c r="FNV16" s="12"/>
      <c r="FNW16" s="13"/>
      <c r="FOC16" s="4"/>
      <c r="FOD16" s="12"/>
      <c r="FOE16" s="13"/>
      <c r="FOK16" s="4"/>
      <c r="FOL16" s="12"/>
      <c r="FOM16" s="13"/>
      <c r="FOS16" s="4"/>
      <c r="FOT16" s="12"/>
      <c r="FOU16" s="13"/>
      <c r="FPA16" s="4"/>
      <c r="FPB16" s="12"/>
      <c r="FPC16" s="13"/>
      <c r="FPI16" s="4"/>
      <c r="FPJ16" s="12"/>
      <c r="FPK16" s="13"/>
      <c r="FPQ16" s="4"/>
      <c r="FPR16" s="12"/>
      <c r="FPS16" s="13"/>
      <c r="FPY16" s="4"/>
      <c r="FPZ16" s="12"/>
      <c r="FQA16" s="13"/>
      <c r="FQG16" s="4"/>
      <c r="FQH16" s="12"/>
      <c r="FQI16" s="13"/>
      <c r="FQO16" s="4"/>
      <c r="FQP16" s="12"/>
      <c r="FQQ16" s="13"/>
      <c r="FQW16" s="4"/>
      <c r="FQX16" s="12"/>
      <c r="FQY16" s="13"/>
      <c r="FRE16" s="4"/>
      <c r="FRF16" s="12"/>
      <c r="FRG16" s="13"/>
      <c r="FRM16" s="4"/>
      <c r="FRN16" s="12"/>
      <c r="FRO16" s="13"/>
      <c r="FRU16" s="4"/>
      <c r="FRV16" s="12"/>
      <c r="FRW16" s="13"/>
      <c r="FSC16" s="4"/>
      <c r="FSD16" s="12"/>
      <c r="FSE16" s="13"/>
      <c r="FSK16" s="4"/>
      <c r="FSL16" s="12"/>
      <c r="FSM16" s="13"/>
      <c r="FSS16" s="4"/>
      <c r="FST16" s="12"/>
      <c r="FSU16" s="13"/>
      <c r="FTA16" s="4"/>
      <c r="FTB16" s="12"/>
      <c r="FTC16" s="13"/>
      <c r="FTI16" s="4"/>
      <c r="FTJ16" s="12"/>
      <c r="FTK16" s="13"/>
      <c r="FTQ16" s="4"/>
      <c r="FTR16" s="12"/>
      <c r="FTS16" s="13"/>
      <c r="FTY16" s="4"/>
      <c r="FTZ16" s="12"/>
      <c r="FUA16" s="13"/>
      <c r="FUG16" s="4"/>
      <c r="FUH16" s="12"/>
      <c r="FUI16" s="13"/>
      <c r="FUO16" s="4"/>
      <c r="FUP16" s="12"/>
      <c r="FUQ16" s="13"/>
      <c r="FUW16" s="4"/>
      <c r="FUX16" s="12"/>
      <c r="FUY16" s="13"/>
      <c r="FVE16" s="4"/>
      <c r="FVF16" s="12"/>
      <c r="FVG16" s="13"/>
      <c r="FVM16" s="4"/>
      <c r="FVN16" s="12"/>
      <c r="FVO16" s="13"/>
      <c r="FVU16" s="4"/>
      <c r="FVV16" s="12"/>
      <c r="FVW16" s="13"/>
      <c r="FWC16" s="4"/>
      <c r="FWD16" s="12"/>
      <c r="FWE16" s="13"/>
      <c r="FWK16" s="4"/>
      <c r="FWL16" s="12"/>
      <c r="FWM16" s="13"/>
      <c r="FWS16" s="4"/>
      <c r="FWT16" s="12"/>
      <c r="FWU16" s="13"/>
      <c r="FXA16" s="4"/>
      <c r="FXB16" s="12"/>
      <c r="FXC16" s="13"/>
      <c r="FXI16" s="4"/>
      <c r="FXJ16" s="12"/>
      <c r="FXK16" s="13"/>
      <c r="FXQ16" s="4"/>
      <c r="FXR16" s="12"/>
      <c r="FXS16" s="13"/>
      <c r="FXY16" s="4"/>
      <c r="FXZ16" s="12"/>
      <c r="FYA16" s="13"/>
      <c r="FYG16" s="4"/>
      <c r="FYH16" s="12"/>
      <c r="FYI16" s="13"/>
      <c r="FYO16" s="4"/>
      <c r="FYP16" s="12"/>
      <c r="FYQ16" s="13"/>
      <c r="FYW16" s="4"/>
      <c r="FYX16" s="12"/>
      <c r="FYY16" s="13"/>
      <c r="FZE16" s="4"/>
      <c r="FZF16" s="12"/>
      <c r="FZG16" s="13"/>
      <c r="FZM16" s="4"/>
      <c r="FZN16" s="12"/>
      <c r="FZO16" s="13"/>
      <c r="FZU16" s="4"/>
      <c r="FZV16" s="12"/>
      <c r="FZW16" s="13"/>
      <c r="GAC16" s="4"/>
      <c r="GAD16" s="12"/>
      <c r="GAE16" s="13"/>
      <c r="GAK16" s="4"/>
      <c r="GAL16" s="12"/>
      <c r="GAM16" s="13"/>
      <c r="GAS16" s="4"/>
      <c r="GAT16" s="12"/>
      <c r="GAU16" s="13"/>
      <c r="GBA16" s="4"/>
      <c r="GBB16" s="12"/>
      <c r="GBC16" s="13"/>
      <c r="GBI16" s="4"/>
      <c r="GBJ16" s="12"/>
      <c r="GBK16" s="13"/>
      <c r="GBQ16" s="4"/>
      <c r="GBR16" s="12"/>
      <c r="GBS16" s="13"/>
      <c r="GBY16" s="4"/>
      <c r="GBZ16" s="12"/>
      <c r="GCA16" s="13"/>
      <c r="GCG16" s="4"/>
      <c r="GCH16" s="12"/>
      <c r="GCI16" s="13"/>
      <c r="GCO16" s="4"/>
      <c r="GCP16" s="12"/>
      <c r="GCQ16" s="13"/>
      <c r="GCW16" s="4"/>
      <c r="GCX16" s="12"/>
      <c r="GCY16" s="13"/>
      <c r="GDE16" s="4"/>
      <c r="GDF16" s="12"/>
      <c r="GDG16" s="13"/>
      <c r="GDM16" s="4"/>
      <c r="GDN16" s="12"/>
      <c r="GDO16" s="13"/>
      <c r="GDU16" s="4"/>
      <c r="GDV16" s="12"/>
      <c r="GDW16" s="13"/>
      <c r="GEC16" s="4"/>
      <c r="GED16" s="12"/>
      <c r="GEE16" s="13"/>
      <c r="GEK16" s="4"/>
      <c r="GEL16" s="12"/>
      <c r="GEM16" s="13"/>
      <c r="GES16" s="4"/>
      <c r="GET16" s="12"/>
      <c r="GEU16" s="13"/>
      <c r="GFA16" s="4"/>
      <c r="GFB16" s="12"/>
      <c r="GFC16" s="13"/>
      <c r="GFI16" s="4"/>
      <c r="GFJ16" s="12"/>
      <c r="GFK16" s="13"/>
      <c r="GFQ16" s="4"/>
      <c r="GFR16" s="12"/>
      <c r="GFS16" s="13"/>
      <c r="GFY16" s="4"/>
      <c r="GFZ16" s="12"/>
      <c r="GGA16" s="13"/>
      <c r="GGG16" s="4"/>
      <c r="GGH16" s="12"/>
      <c r="GGI16" s="13"/>
      <c r="GGO16" s="4"/>
      <c r="GGP16" s="12"/>
      <c r="GGQ16" s="13"/>
      <c r="GGW16" s="4"/>
      <c r="GGX16" s="12"/>
      <c r="GGY16" s="13"/>
      <c r="GHE16" s="4"/>
      <c r="GHF16" s="12"/>
      <c r="GHG16" s="13"/>
      <c r="GHM16" s="4"/>
      <c r="GHN16" s="12"/>
      <c r="GHO16" s="13"/>
      <c r="GHU16" s="4"/>
      <c r="GHV16" s="12"/>
      <c r="GHW16" s="13"/>
      <c r="GIC16" s="4"/>
      <c r="GID16" s="12"/>
      <c r="GIE16" s="13"/>
      <c r="GIK16" s="4"/>
      <c r="GIL16" s="12"/>
      <c r="GIM16" s="13"/>
      <c r="GIS16" s="4"/>
      <c r="GIT16" s="12"/>
      <c r="GIU16" s="13"/>
      <c r="GJA16" s="4"/>
      <c r="GJB16" s="12"/>
      <c r="GJC16" s="13"/>
      <c r="GJI16" s="4"/>
      <c r="GJJ16" s="12"/>
      <c r="GJK16" s="13"/>
      <c r="GJQ16" s="4"/>
      <c r="GJR16" s="12"/>
      <c r="GJS16" s="13"/>
      <c r="GJY16" s="4"/>
      <c r="GJZ16" s="12"/>
      <c r="GKA16" s="13"/>
      <c r="GKG16" s="4"/>
      <c r="GKH16" s="12"/>
      <c r="GKI16" s="13"/>
      <c r="GKO16" s="4"/>
      <c r="GKP16" s="12"/>
      <c r="GKQ16" s="13"/>
      <c r="GKW16" s="4"/>
      <c r="GKX16" s="12"/>
      <c r="GKY16" s="13"/>
      <c r="GLE16" s="4"/>
      <c r="GLF16" s="12"/>
      <c r="GLG16" s="13"/>
      <c r="GLM16" s="4"/>
      <c r="GLN16" s="12"/>
      <c r="GLO16" s="13"/>
      <c r="GLU16" s="4"/>
      <c r="GLV16" s="12"/>
      <c r="GLW16" s="13"/>
      <c r="GMC16" s="4"/>
      <c r="GMD16" s="12"/>
      <c r="GME16" s="13"/>
      <c r="GMK16" s="4"/>
      <c r="GML16" s="12"/>
      <c r="GMM16" s="13"/>
      <c r="GMS16" s="4"/>
      <c r="GMT16" s="12"/>
      <c r="GMU16" s="13"/>
      <c r="GNA16" s="4"/>
      <c r="GNB16" s="12"/>
      <c r="GNC16" s="13"/>
      <c r="GNI16" s="4"/>
      <c r="GNJ16" s="12"/>
      <c r="GNK16" s="13"/>
      <c r="GNQ16" s="4"/>
      <c r="GNR16" s="12"/>
      <c r="GNS16" s="13"/>
      <c r="GNY16" s="4"/>
      <c r="GNZ16" s="12"/>
      <c r="GOA16" s="13"/>
      <c r="GOG16" s="4"/>
      <c r="GOH16" s="12"/>
      <c r="GOI16" s="13"/>
      <c r="GOO16" s="4"/>
      <c r="GOP16" s="12"/>
      <c r="GOQ16" s="13"/>
      <c r="GOW16" s="4"/>
      <c r="GOX16" s="12"/>
      <c r="GOY16" s="13"/>
      <c r="GPE16" s="4"/>
      <c r="GPF16" s="12"/>
      <c r="GPG16" s="13"/>
      <c r="GPM16" s="4"/>
      <c r="GPN16" s="12"/>
      <c r="GPO16" s="13"/>
      <c r="GPU16" s="4"/>
      <c r="GPV16" s="12"/>
      <c r="GPW16" s="13"/>
      <c r="GQC16" s="4"/>
      <c r="GQD16" s="12"/>
      <c r="GQE16" s="13"/>
      <c r="GQK16" s="4"/>
      <c r="GQL16" s="12"/>
      <c r="GQM16" s="13"/>
      <c r="GQS16" s="4"/>
      <c r="GQT16" s="12"/>
      <c r="GQU16" s="13"/>
      <c r="GRA16" s="4"/>
      <c r="GRB16" s="12"/>
      <c r="GRC16" s="13"/>
      <c r="GRI16" s="4"/>
      <c r="GRJ16" s="12"/>
      <c r="GRK16" s="13"/>
      <c r="GRQ16" s="4"/>
      <c r="GRR16" s="12"/>
      <c r="GRS16" s="13"/>
      <c r="GRY16" s="4"/>
      <c r="GRZ16" s="12"/>
      <c r="GSA16" s="13"/>
      <c r="GSG16" s="4"/>
      <c r="GSH16" s="12"/>
      <c r="GSI16" s="13"/>
      <c r="GSO16" s="4"/>
      <c r="GSP16" s="12"/>
      <c r="GSQ16" s="13"/>
      <c r="GSW16" s="4"/>
      <c r="GSX16" s="12"/>
      <c r="GSY16" s="13"/>
      <c r="GTE16" s="4"/>
      <c r="GTF16" s="12"/>
      <c r="GTG16" s="13"/>
      <c r="GTM16" s="4"/>
      <c r="GTN16" s="12"/>
      <c r="GTO16" s="13"/>
      <c r="GTU16" s="4"/>
      <c r="GTV16" s="12"/>
      <c r="GTW16" s="13"/>
      <c r="GUC16" s="4"/>
      <c r="GUD16" s="12"/>
      <c r="GUE16" s="13"/>
      <c r="GUK16" s="4"/>
      <c r="GUL16" s="12"/>
      <c r="GUM16" s="13"/>
      <c r="GUS16" s="4"/>
      <c r="GUT16" s="12"/>
      <c r="GUU16" s="13"/>
      <c r="GVA16" s="4"/>
      <c r="GVB16" s="12"/>
      <c r="GVC16" s="13"/>
      <c r="GVI16" s="4"/>
      <c r="GVJ16" s="12"/>
      <c r="GVK16" s="13"/>
      <c r="GVQ16" s="4"/>
      <c r="GVR16" s="12"/>
      <c r="GVS16" s="13"/>
      <c r="GVY16" s="4"/>
      <c r="GVZ16" s="12"/>
      <c r="GWA16" s="13"/>
      <c r="GWG16" s="4"/>
      <c r="GWH16" s="12"/>
      <c r="GWI16" s="13"/>
      <c r="GWO16" s="4"/>
      <c r="GWP16" s="12"/>
      <c r="GWQ16" s="13"/>
      <c r="GWW16" s="4"/>
      <c r="GWX16" s="12"/>
      <c r="GWY16" s="13"/>
      <c r="GXE16" s="4"/>
      <c r="GXF16" s="12"/>
      <c r="GXG16" s="13"/>
      <c r="GXM16" s="4"/>
      <c r="GXN16" s="12"/>
      <c r="GXO16" s="13"/>
      <c r="GXU16" s="4"/>
      <c r="GXV16" s="12"/>
      <c r="GXW16" s="13"/>
      <c r="GYC16" s="4"/>
      <c r="GYD16" s="12"/>
      <c r="GYE16" s="13"/>
      <c r="GYK16" s="4"/>
      <c r="GYL16" s="12"/>
      <c r="GYM16" s="13"/>
      <c r="GYS16" s="4"/>
      <c r="GYT16" s="12"/>
      <c r="GYU16" s="13"/>
      <c r="GZA16" s="4"/>
      <c r="GZB16" s="12"/>
      <c r="GZC16" s="13"/>
      <c r="GZI16" s="4"/>
      <c r="GZJ16" s="12"/>
      <c r="GZK16" s="13"/>
      <c r="GZQ16" s="4"/>
      <c r="GZR16" s="12"/>
      <c r="GZS16" s="13"/>
      <c r="GZY16" s="4"/>
      <c r="GZZ16" s="12"/>
      <c r="HAA16" s="13"/>
      <c r="HAG16" s="4"/>
      <c r="HAH16" s="12"/>
      <c r="HAI16" s="13"/>
      <c r="HAO16" s="4"/>
      <c r="HAP16" s="12"/>
      <c r="HAQ16" s="13"/>
      <c r="HAW16" s="4"/>
      <c r="HAX16" s="12"/>
      <c r="HAY16" s="13"/>
      <c r="HBE16" s="4"/>
      <c r="HBF16" s="12"/>
      <c r="HBG16" s="13"/>
      <c r="HBM16" s="4"/>
      <c r="HBN16" s="12"/>
      <c r="HBO16" s="13"/>
      <c r="HBU16" s="4"/>
      <c r="HBV16" s="12"/>
      <c r="HBW16" s="13"/>
      <c r="HCC16" s="4"/>
      <c r="HCD16" s="12"/>
      <c r="HCE16" s="13"/>
      <c r="HCK16" s="4"/>
      <c r="HCL16" s="12"/>
      <c r="HCM16" s="13"/>
      <c r="HCS16" s="4"/>
      <c r="HCT16" s="12"/>
      <c r="HCU16" s="13"/>
      <c r="HDA16" s="4"/>
      <c r="HDB16" s="12"/>
      <c r="HDC16" s="13"/>
      <c r="HDI16" s="4"/>
      <c r="HDJ16" s="12"/>
      <c r="HDK16" s="13"/>
      <c r="HDQ16" s="4"/>
      <c r="HDR16" s="12"/>
      <c r="HDS16" s="13"/>
      <c r="HDY16" s="4"/>
      <c r="HDZ16" s="12"/>
      <c r="HEA16" s="13"/>
      <c r="HEG16" s="4"/>
      <c r="HEH16" s="12"/>
      <c r="HEI16" s="13"/>
      <c r="HEO16" s="4"/>
      <c r="HEP16" s="12"/>
      <c r="HEQ16" s="13"/>
      <c r="HEW16" s="4"/>
      <c r="HEX16" s="12"/>
      <c r="HEY16" s="13"/>
      <c r="HFE16" s="4"/>
      <c r="HFF16" s="12"/>
      <c r="HFG16" s="13"/>
      <c r="HFM16" s="4"/>
      <c r="HFN16" s="12"/>
      <c r="HFO16" s="13"/>
      <c r="HFU16" s="4"/>
      <c r="HFV16" s="12"/>
      <c r="HFW16" s="13"/>
      <c r="HGC16" s="4"/>
      <c r="HGD16" s="12"/>
      <c r="HGE16" s="13"/>
      <c r="HGK16" s="4"/>
      <c r="HGL16" s="12"/>
      <c r="HGM16" s="13"/>
      <c r="HGS16" s="4"/>
      <c r="HGT16" s="12"/>
      <c r="HGU16" s="13"/>
      <c r="HHA16" s="4"/>
      <c r="HHB16" s="12"/>
      <c r="HHC16" s="13"/>
      <c r="HHI16" s="4"/>
      <c r="HHJ16" s="12"/>
      <c r="HHK16" s="13"/>
      <c r="HHQ16" s="4"/>
      <c r="HHR16" s="12"/>
      <c r="HHS16" s="13"/>
      <c r="HHY16" s="4"/>
      <c r="HHZ16" s="12"/>
      <c r="HIA16" s="13"/>
      <c r="HIG16" s="4"/>
      <c r="HIH16" s="12"/>
      <c r="HII16" s="13"/>
      <c r="HIO16" s="4"/>
      <c r="HIP16" s="12"/>
      <c r="HIQ16" s="13"/>
      <c r="HIW16" s="4"/>
      <c r="HIX16" s="12"/>
      <c r="HIY16" s="13"/>
      <c r="HJE16" s="4"/>
      <c r="HJF16" s="12"/>
      <c r="HJG16" s="13"/>
      <c r="HJM16" s="4"/>
      <c r="HJN16" s="12"/>
      <c r="HJO16" s="13"/>
      <c r="HJU16" s="4"/>
      <c r="HJV16" s="12"/>
      <c r="HJW16" s="13"/>
      <c r="HKC16" s="4"/>
      <c r="HKD16" s="12"/>
      <c r="HKE16" s="13"/>
      <c r="HKK16" s="4"/>
      <c r="HKL16" s="12"/>
      <c r="HKM16" s="13"/>
      <c r="HKS16" s="4"/>
      <c r="HKT16" s="12"/>
      <c r="HKU16" s="13"/>
      <c r="HLA16" s="4"/>
      <c r="HLB16" s="12"/>
      <c r="HLC16" s="13"/>
      <c r="HLI16" s="4"/>
      <c r="HLJ16" s="12"/>
      <c r="HLK16" s="13"/>
      <c r="HLQ16" s="4"/>
      <c r="HLR16" s="12"/>
      <c r="HLS16" s="13"/>
      <c r="HLY16" s="4"/>
      <c r="HLZ16" s="12"/>
      <c r="HMA16" s="13"/>
      <c r="HMG16" s="4"/>
      <c r="HMH16" s="12"/>
      <c r="HMI16" s="13"/>
      <c r="HMO16" s="4"/>
      <c r="HMP16" s="12"/>
      <c r="HMQ16" s="13"/>
      <c r="HMW16" s="4"/>
      <c r="HMX16" s="12"/>
      <c r="HMY16" s="13"/>
      <c r="HNE16" s="4"/>
      <c r="HNF16" s="12"/>
      <c r="HNG16" s="13"/>
      <c r="HNM16" s="4"/>
      <c r="HNN16" s="12"/>
      <c r="HNO16" s="13"/>
      <c r="HNU16" s="4"/>
      <c r="HNV16" s="12"/>
      <c r="HNW16" s="13"/>
      <c r="HOC16" s="4"/>
      <c r="HOD16" s="12"/>
      <c r="HOE16" s="13"/>
      <c r="HOK16" s="4"/>
      <c r="HOL16" s="12"/>
      <c r="HOM16" s="13"/>
      <c r="HOS16" s="4"/>
      <c r="HOT16" s="12"/>
      <c r="HOU16" s="13"/>
      <c r="HPA16" s="4"/>
      <c r="HPB16" s="12"/>
      <c r="HPC16" s="13"/>
      <c r="HPI16" s="4"/>
      <c r="HPJ16" s="12"/>
      <c r="HPK16" s="13"/>
      <c r="HPQ16" s="4"/>
      <c r="HPR16" s="12"/>
      <c r="HPS16" s="13"/>
      <c r="HPY16" s="4"/>
      <c r="HPZ16" s="12"/>
      <c r="HQA16" s="13"/>
      <c r="HQG16" s="4"/>
      <c r="HQH16" s="12"/>
      <c r="HQI16" s="13"/>
      <c r="HQO16" s="4"/>
      <c r="HQP16" s="12"/>
      <c r="HQQ16" s="13"/>
      <c r="HQW16" s="4"/>
      <c r="HQX16" s="12"/>
      <c r="HQY16" s="13"/>
      <c r="HRE16" s="4"/>
      <c r="HRF16" s="12"/>
      <c r="HRG16" s="13"/>
      <c r="HRM16" s="4"/>
      <c r="HRN16" s="12"/>
      <c r="HRO16" s="13"/>
      <c r="HRU16" s="4"/>
      <c r="HRV16" s="12"/>
      <c r="HRW16" s="13"/>
      <c r="HSC16" s="4"/>
      <c r="HSD16" s="12"/>
      <c r="HSE16" s="13"/>
      <c r="HSK16" s="4"/>
      <c r="HSL16" s="12"/>
      <c r="HSM16" s="13"/>
      <c r="HSS16" s="4"/>
      <c r="HST16" s="12"/>
      <c r="HSU16" s="13"/>
      <c r="HTA16" s="4"/>
      <c r="HTB16" s="12"/>
      <c r="HTC16" s="13"/>
      <c r="HTI16" s="4"/>
      <c r="HTJ16" s="12"/>
      <c r="HTK16" s="13"/>
      <c r="HTQ16" s="4"/>
      <c r="HTR16" s="12"/>
      <c r="HTS16" s="13"/>
      <c r="HTY16" s="4"/>
      <c r="HTZ16" s="12"/>
      <c r="HUA16" s="13"/>
      <c r="HUG16" s="4"/>
      <c r="HUH16" s="12"/>
      <c r="HUI16" s="13"/>
      <c r="HUO16" s="4"/>
      <c r="HUP16" s="12"/>
      <c r="HUQ16" s="13"/>
      <c r="HUW16" s="4"/>
      <c r="HUX16" s="12"/>
      <c r="HUY16" s="13"/>
      <c r="HVE16" s="4"/>
      <c r="HVF16" s="12"/>
      <c r="HVG16" s="13"/>
      <c r="HVM16" s="4"/>
      <c r="HVN16" s="12"/>
      <c r="HVO16" s="13"/>
      <c r="HVU16" s="4"/>
      <c r="HVV16" s="12"/>
      <c r="HVW16" s="13"/>
      <c r="HWC16" s="4"/>
      <c r="HWD16" s="12"/>
      <c r="HWE16" s="13"/>
      <c r="HWK16" s="4"/>
      <c r="HWL16" s="12"/>
      <c r="HWM16" s="13"/>
      <c r="HWS16" s="4"/>
      <c r="HWT16" s="12"/>
      <c r="HWU16" s="13"/>
      <c r="HXA16" s="4"/>
      <c r="HXB16" s="12"/>
      <c r="HXC16" s="13"/>
      <c r="HXI16" s="4"/>
      <c r="HXJ16" s="12"/>
      <c r="HXK16" s="13"/>
      <c r="HXQ16" s="4"/>
      <c r="HXR16" s="12"/>
      <c r="HXS16" s="13"/>
      <c r="HXY16" s="4"/>
      <c r="HXZ16" s="12"/>
      <c r="HYA16" s="13"/>
      <c r="HYG16" s="4"/>
      <c r="HYH16" s="12"/>
      <c r="HYI16" s="13"/>
      <c r="HYO16" s="4"/>
      <c r="HYP16" s="12"/>
      <c r="HYQ16" s="13"/>
      <c r="HYW16" s="4"/>
      <c r="HYX16" s="12"/>
      <c r="HYY16" s="13"/>
      <c r="HZE16" s="4"/>
      <c r="HZF16" s="12"/>
      <c r="HZG16" s="13"/>
      <c r="HZM16" s="4"/>
      <c r="HZN16" s="12"/>
      <c r="HZO16" s="13"/>
      <c r="HZU16" s="4"/>
      <c r="HZV16" s="12"/>
      <c r="HZW16" s="13"/>
      <c r="IAC16" s="4"/>
      <c r="IAD16" s="12"/>
      <c r="IAE16" s="13"/>
      <c r="IAK16" s="4"/>
      <c r="IAL16" s="12"/>
      <c r="IAM16" s="13"/>
      <c r="IAS16" s="4"/>
      <c r="IAT16" s="12"/>
      <c r="IAU16" s="13"/>
      <c r="IBA16" s="4"/>
      <c r="IBB16" s="12"/>
      <c r="IBC16" s="13"/>
      <c r="IBI16" s="4"/>
      <c r="IBJ16" s="12"/>
      <c r="IBK16" s="13"/>
      <c r="IBQ16" s="4"/>
      <c r="IBR16" s="12"/>
      <c r="IBS16" s="13"/>
      <c r="IBY16" s="4"/>
      <c r="IBZ16" s="12"/>
      <c r="ICA16" s="13"/>
      <c r="ICG16" s="4"/>
      <c r="ICH16" s="12"/>
      <c r="ICI16" s="13"/>
      <c r="ICO16" s="4"/>
      <c r="ICP16" s="12"/>
      <c r="ICQ16" s="13"/>
      <c r="ICW16" s="4"/>
      <c r="ICX16" s="12"/>
      <c r="ICY16" s="13"/>
      <c r="IDE16" s="4"/>
      <c r="IDF16" s="12"/>
      <c r="IDG16" s="13"/>
      <c r="IDM16" s="4"/>
      <c r="IDN16" s="12"/>
      <c r="IDO16" s="13"/>
      <c r="IDU16" s="4"/>
      <c r="IDV16" s="12"/>
      <c r="IDW16" s="13"/>
      <c r="IEC16" s="4"/>
      <c r="IED16" s="12"/>
      <c r="IEE16" s="13"/>
      <c r="IEK16" s="4"/>
      <c r="IEL16" s="12"/>
      <c r="IEM16" s="13"/>
      <c r="IES16" s="4"/>
      <c r="IET16" s="12"/>
      <c r="IEU16" s="13"/>
      <c r="IFA16" s="4"/>
      <c r="IFB16" s="12"/>
      <c r="IFC16" s="13"/>
      <c r="IFI16" s="4"/>
      <c r="IFJ16" s="12"/>
      <c r="IFK16" s="13"/>
      <c r="IFQ16" s="4"/>
      <c r="IFR16" s="12"/>
      <c r="IFS16" s="13"/>
      <c r="IFY16" s="4"/>
      <c r="IFZ16" s="12"/>
      <c r="IGA16" s="13"/>
      <c r="IGG16" s="4"/>
      <c r="IGH16" s="12"/>
      <c r="IGI16" s="13"/>
      <c r="IGO16" s="4"/>
      <c r="IGP16" s="12"/>
      <c r="IGQ16" s="13"/>
      <c r="IGW16" s="4"/>
      <c r="IGX16" s="12"/>
      <c r="IGY16" s="13"/>
      <c r="IHE16" s="4"/>
      <c r="IHF16" s="12"/>
      <c r="IHG16" s="13"/>
      <c r="IHM16" s="4"/>
      <c r="IHN16" s="12"/>
      <c r="IHO16" s="13"/>
      <c r="IHU16" s="4"/>
      <c r="IHV16" s="12"/>
      <c r="IHW16" s="13"/>
      <c r="IIC16" s="4"/>
      <c r="IID16" s="12"/>
      <c r="IIE16" s="13"/>
      <c r="IIK16" s="4"/>
      <c r="IIL16" s="12"/>
      <c r="IIM16" s="13"/>
      <c r="IIS16" s="4"/>
      <c r="IIT16" s="12"/>
      <c r="IIU16" s="13"/>
      <c r="IJA16" s="4"/>
      <c r="IJB16" s="12"/>
      <c r="IJC16" s="13"/>
      <c r="IJI16" s="4"/>
      <c r="IJJ16" s="12"/>
      <c r="IJK16" s="13"/>
      <c r="IJQ16" s="4"/>
      <c r="IJR16" s="12"/>
      <c r="IJS16" s="13"/>
      <c r="IJY16" s="4"/>
      <c r="IJZ16" s="12"/>
      <c r="IKA16" s="13"/>
      <c r="IKG16" s="4"/>
      <c r="IKH16" s="12"/>
      <c r="IKI16" s="13"/>
      <c r="IKO16" s="4"/>
      <c r="IKP16" s="12"/>
      <c r="IKQ16" s="13"/>
      <c r="IKW16" s="4"/>
      <c r="IKX16" s="12"/>
      <c r="IKY16" s="13"/>
      <c r="ILE16" s="4"/>
      <c r="ILF16" s="12"/>
      <c r="ILG16" s="13"/>
      <c r="ILM16" s="4"/>
      <c r="ILN16" s="12"/>
      <c r="ILO16" s="13"/>
      <c r="ILU16" s="4"/>
      <c r="ILV16" s="12"/>
      <c r="ILW16" s="13"/>
      <c r="IMC16" s="4"/>
      <c r="IMD16" s="12"/>
      <c r="IME16" s="13"/>
      <c r="IMK16" s="4"/>
      <c r="IML16" s="12"/>
      <c r="IMM16" s="13"/>
      <c r="IMS16" s="4"/>
      <c r="IMT16" s="12"/>
      <c r="IMU16" s="13"/>
      <c r="INA16" s="4"/>
      <c r="INB16" s="12"/>
      <c r="INC16" s="13"/>
      <c r="INI16" s="4"/>
      <c r="INJ16" s="12"/>
      <c r="INK16" s="13"/>
      <c r="INQ16" s="4"/>
      <c r="INR16" s="12"/>
      <c r="INS16" s="13"/>
      <c r="INY16" s="4"/>
      <c r="INZ16" s="12"/>
      <c r="IOA16" s="13"/>
      <c r="IOG16" s="4"/>
      <c r="IOH16" s="12"/>
      <c r="IOI16" s="13"/>
      <c r="IOO16" s="4"/>
      <c r="IOP16" s="12"/>
      <c r="IOQ16" s="13"/>
      <c r="IOW16" s="4"/>
      <c r="IOX16" s="12"/>
      <c r="IOY16" s="13"/>
      <c r="IPE16" s="4"/>
      <c r="IPF16" s="12"/>
      <c r="IPG16" s="13"/>
      <c r="IPM16" s="4"/>
      <c r="IPN16" s="12"/>
      <c r="IPO16" s="13"/>
      <c r="IPU16" s="4"/>
      <c r="IPV16" s="12"/>
      <c r="IPW16" s="13"/>
      <c r="IQC16" s="4"/>
      <c r="IQD16" s="12"/>
      <c r="IQE16" s="13"/>
      <c r="IQK16" s="4"/>
      <c r="IQL16" s="12"/>
      <c r="IQM16" s="13"/>
      <c r="IQS16" s="4"/>
      <c r="IQT16" s="12"/>
      <c r="IQU16" s="13"/>
      <c r="IRA16" s="4"/>
      <c r="IRB16" s="12"/>
      <c r="IRC16" s="13"/>
      <c r="IRI16" s="4"/>
      <c r="IRJ16" s="12"/>
      <c r="IRK16" s="13"/>
      <c r="IRQ16" s="4"/>
      <c r="IRR16" s="12"/>
      <c r="IRS16" s="13"/>
      <c r="IRY16" s="4"/>
      <c r="IRZ16" s="12"/>
      <c r="ISA16" s="13"/>
      <c r="ISG16" s="4"/>
      <c r="ISH16" s="12"/>
      <c r="ISI16" s="13"/>
      <c r="ISO16" s="4"/>
      <c r="ISP16" s="12"/>
      <c r="ISQ16" s="13"/>
      <c r="ISW16" s="4"/>
      <c r="ISX16" s="12"/>
      <c r="ISY16" s="13"/>
      <c r="ITE16" s="4"/>
      <c r="ITF16" s="12"/>
      <c r="ITG16" s="13"/>
      <c r="ITM16" s="4"/>
      <c r="ITN16" s="12"/>
      <c r="ITO16" s="13"/>
      <c r="ITU16" s="4"/>
      <c r="ITV16" s="12"/>
      <c r="ITW16" s="13"/>
      <c r="IUC16" s="4"/>
      <c r="IUD16" s="12"/>
      <c r="IUE16" s="13"/>
      <c r="IUK16" s="4"/>
      <c r="IUL16" s="12"/>
      <c r="IUM16" s="13"/>
      <c r="IUS16" s="4"/>
      <c r="IUT16" s="12"/>
      <c r="IUU16" s="13"/>
      <c r="IVA16" s="4"/>
      <c r="IVB16" s="12"/>
      <c r="IVC16" s="13"/>
      <c r="IVI16" s="4"/>
      <c r="IVJ16" s="12"/>
      <c r="IVK16" s="13"/>
      <c r="IVQ16" s="4"/>
      <c r="IVR16" s="12"/>
      <c r="IVS16" s="13"/>
      <c r="IVY16" s="4"/>
      <c r="IVZ16" s="12"/>
      <c r="IWA16" s="13"/>
      <c r="IWG16" s="4"/>
      <c r="IWH16" s="12"/>
      <c r="IWI16" s="13"/>
      <c r="IWO16" s="4"/>
      <c r="IWP16" s="12"/>
      <c r="IWQ16" s="13"/>
      <c r="IWW16" s="4"/>
      <c r="IWX16" s="12"/>
      <c r="IWY16" s="13"/>
      <c r="IXE16" s="4"/>
      <c r="IXF16" s="12"/>
      <c r="IXG16" s="13"/>
      <c r="IXM16" s="4"/>
      <c r="IXN16" s="12"/>
      <c r="IXO16" s="13"/>
      <c r="IXU16" s="4"/>
      <c r="IXV16" s="12"/>
      <c r="IXW16" s="13"/>
      <c r="IYC16" s="4"/>
      <c r="IYD16" s="12"/>
      <c r="IYE16" s="13"/>
      <c r="IYK16" s="4"/>
      <c r="IYL16" s="12"/>
      <c r="IYM16" s="13"/>
      <c r="IYS16" s="4"/>
      <c r="IYT16" s="12"/>
      <c r="IYU16" s="13"/>
      <c r="IZA16" s="4"/>
      <c r="IZB16" s="12"/>
      <c r="IZC16" s="13"/>
      <c r="IZI16" s="4"/>
      <c r="IZJ16" s="12"/>
      <c r="IZK16" s="13"/>
      <c r="IZQ16" s="4"/>
      <c r="IZR16" s="12"/>
      <c r="IZS16" s="13"/>
      <c r="IZY16" s="4"/>
      <c r="IZZ16" s="12"/>
      <c r="JAA16" s="13"/>
      <c r="JAG16" s="4"/>
      <c r="JAH16" s="12"/>
      <c r="JAI16" s="13"/>
      <c r="JAO16" s="4"/>
      <c r="JAP16" s="12"/>
      <c r="JAQ16" s="13"/>
      <c r="JAW16" s="4"/>
      <c r="JAX16" s="12"/>
      <c r="JAY16" s="13"/>
      <c r="JBE16" s="4"/>
      <c r="JBF16" s="12"/>
      <c r="JBG16" s="13"/>
      <c r="JBM16" s="4"/>
      <c r="JBN16" s="12"/>
      <c r="JBO16" s="13"/>
      <c r="JBU16" s="4"/>
      <c r="JBV16" s="12"/>
      <c r="JBW16" s="13"/>
      <c r="JCC16" s="4"/>
      <c r="JCD16" s="12"/>
      <c r="JCE16" s="13"/>
      <c r="JCK16" s="4"/>
      <c r="JCL16" s="12"/>
      <c r="JCM16" s="13"/>
      <c r="JCS16" s="4"/>
      <c r="JCT16" s="12"/>
      <c r="JCU16" s="13"/>
      <c r="JDA16" s="4"/>
      <c r="JDB16" s="12"/>
      <c r="JDC16" s="13"/>
      <c r="JDI16" s="4"/>
      <c r="JDJ16" s="12"/>
      <c r="JDK16" s="13"/>
      <c r="JDQ16" s="4"/>
      <c r="JDR16" s="12"/>
      <c r="JDS16" s="13"/>
      <c r="JDY16" s="4"/>
      <c r="JDZ16" s="12"/>
      <c r="JEA16" s="13"/>
      <c r="JEG16" s="4"/>
      <c r="JEH16" s="12"/>
      <c r="JEI16" s="13"/>
      <c r="JEO16" s="4"/>
      <c r="JEP16" s="12"/>
      <c r="JEQ16" s="13"/>
      <c r="JEW16" s="4"/>
      <c r="JEX16" s="12"/>
      <c r="JEY16" s="13"/>
      <c r="JFE16" s="4"/>
      <c r="JFF16" s="12"/>
      <c r="JFG16" s="13"/>
      <c r="JFM16" s="4"/>
      <c r="JFN16" s="12"/>
      <c r="JFO16" s="13"/>
      <c r="JFU16" s="4"/>
      <c r="JFV16" s="12"/>
      <c r="JFW16" s="13"/>
      <c r="JGC16" s="4"/>
      <c r="JGD16" s="12"/>
      <c r="JGE16" s="13"/>
      <c r="JGK16" s="4"/>
      <c r="JGL16" s="12"/>
      <c r="JGM16" s="13"/>
      <c r="JGS16" s="4"/>
      <c r="JGT16" s="12"/>
      <c r="JGU16" s="13"/>
      <c r="JHA16" s="4"/>
      <c r="JHB16" s="12"/>
      <c r="JHC16" s="13"/>
      <c r="JHI16" s="4"/>
      <c r="JHJ16" s="12"/>
      <c r="JHK16" s="13"/>
      <c r="JHQ16" s="4"/>
      <c r="JHR16" s="12"/>
      <c r="JHS16" s="13"/>
      <c r="JHY16" s="4"/>
      <c r="JHZ16" s="12"/>
      <c r="JIA16" s="13"/>
      <c r="JIG16" s="4"/>
      <c r="JIH16" s="12"/>
      <c r="JII16" s="13"/>
      <c r="JIO16" s="4"/>
      <c r="JIP16" s="12"/>
      <c r="JIQ16" s="13"/>
      <c r="JIW16" s="4"/>
      <c r="JIX16" s="12"/>
      <c r="JIY16" s="13"/>
      <c r="JJE16" s="4"/>
      <c r="JJF16" s="12"/>
      <c r="JJG16" s="13"/>
      <c r="JJM16" s="4"/>
      <c r="JJN16" s="12"/>
      <c r="JJO16" s="13"/>
      <c r="JJU16" s="4"/>
      <c r="JJV16" s="12"/>
      <c r="JJW16" s="13"/>
      <c r="JKC16" s="4"/>
      <c r="JKD16" s="12"/>
      <c r="JKE16" s="13"/>
      <c r="JKK16" s="4"/>
      <c r="JKL16" s="12"/>
      <c r="JKM16" s="13"/>
      <c r="JKS16" s="4"/>
      <c r="JKT16" s="12"/>
      <c r="JKU16" s="13"/>
      <c r="JLA16" s="4"/>
      <c r="JLB16" s="12"/>
      <c r="JLC16" s="13"/>
      <c r="JLI16" s="4"/>
      <c r="JLJ16" s="12"/>
      <c r="JLK16" s="13"/>
      <c r="JLQ16" s="4"/>
      <c r="JLR16" s="12"/>
      <c r="JLS16" s="13"/>
      <c r="JLY16" s="4"/>
      <c r="JLZ16" s="12"/>
      <c r="JMA16" s="13"/>
      <c r="JMG16" s="4"/>
      <c r="JMH16" s="12"/>
      <c r="JMI16" s="13"/>
      <c r="JMO16" s="4"/>
      <c r="JMP16" s="12"/>
      <c r="JMQ16" s="13"/>
      <c r="JMW16" s="4"/>
      <c r="JMX16" s="12"/>
      <c r="JMY16" s="13"/>
      <c r="JNE16" s="4"/>
      <c r="JNF16" s="12"/>
      <c r="JNG16" s="13"/>
      <c r="JNM16" s="4"/>
      <c r="JNN16" s="12"/>
      <c r="JNO16" s="13"/>
      <c r="JNU16" s="4"/>
      <c r="JNV16" s="12"/>
      <c r="JNW16" s="13"/>
      <c r="JOC16" s="4"/>
      <c r="JOD16" s="12"/>
      <c r="JOE16" s="13"/>
      <c r="JOK16" s="4"/>
      <c r="JOL16" s="12"/>
      <c r="JOM16" s="13"/>
      <c r="JOS16" s="4"/>
      <c r="JOT16" s="12"/>
      <c r="JOU16" s="13"/>
      <c r="JPA16" s="4"/>
      <c r="JPB16" s="12"/>
      <c r="JPC16" s="13"/>
      <c r="JPI16" s="4"/>
      <c r="JPJ16" s="12"/>
      <c r="JPK16" s="13"/>
      <c r="JPQ16" s="4"/>
      <c r="JPR16" s="12"/>
      <c r="JPS16" s="13"/>
      <c r="JPY16" s="4"/>
      <c r="JPZ16" s="12"/>
      <c r="JQA16" s="13"/>
      <c r="JQG16" s="4"/>
      <c r="JQH16" s="12"/>
      <c r="JQI16" s="13"/>
      <c r="JQO16" s="4"/>
      <c r="JQP16" s="12"/>
      <c r="JQQ16" s="13"/>
      <c r="JQW16" s="4"/>
      <c r="JQX16" s="12"/>
      <c r="JQY16" s="13"/>
      <c r="JRE16" s="4"/>
      <c r="JRF16" s="12"/>
      <c r="JRG16" s="13"/>
      <c r="JRM16" s="4"/>
      <c r="JRN16" s="12"/>
      <c r="JRO16" s="13"/>
      <c r="JRU16" s="4"/>
      <c r="JRV16" s="12"/>
      <c r="JRW16" s="13"/>
      <c r="JSC16" s="4"/>
      <c r="JSD16" s="12"/>
      <c r="JSE16" s="13"/>
      <c r="JSK16" s="4"/>
      <c r="JSL16" s="12"/>
      <c r="JSM16" s="13"/>
      <c r="JSS16" s="4"/>
      <c r="JST16" s="12"/>
      <c r="JSU16" s="13"/>
      <c r="JTA16" s="4"/>
      <c r="JTB16" s="12"/>
      <c r="JTC16" s="13"/>
      <c r="JTI16" s="4"/>
      <c r="JTJ16" s="12"/>
      <c r="JTK16" s="13"/>
      <c r="JTQ16" s="4"/>
      <c r="JTR16" s="12"/>
      <c r="JTS16" s="13"/>
      <c r="JTY16" s="4"/>
      <c r="JTZ16" s="12"/>
      <c r="JUA16" s="13"/>
      <c r="JUG16" s="4"/>
      <c r="JUH16" s="12"/>
      <c r="JUI16" s="13"/>
      <c r="JUO16" s="4"/>
      <c r="JUP16" s="12"/>
      <c r="JUQ16" s="13"/>
      <c r="JUW16" s="4"/>
      <c r="JUX16" s="12"/>
      <c r="JUY16" s="13"/>
      <c r="JVE16" s="4"/>
      <c r="JVF16" s="12"/>
      <c r="JVG16" s="13"/>
      <c r="JVM16" s="4"/>
      <c r="JVN16" s="12"/>
      <c r="JVO16" s="13"/>
      <c r="JVU16" s="4"/>
      <c r="JVV16" s="12"/>
      <c r="JVW16" s="13"/>
      <c r="JWC16" s="4"/>
      <c r="JWD16" s="12"/>
      <c r="JWE16" s="13"/>
      <c r="JWK16" s="4"/>
      <c r="JWL16" s="12"/>
      <c r="JWM16" s="13"/>
      <c r="JWS16" s="4"/>
      <c r="JWT16" s="12"/>
      <c r="JWU16" s="13"/>
      <c r="JXA16" s="4"/>
      <c r="JXB16" s="12"/>
      <c r="JXC16" s="13"/>
      <c r="JXI16" s="4"/>
      <c r="JXJ16" s="12"/>
      <c r="JXK16" s="13"/>
      <c r="JXQ16" s="4"/>
      <c r="JXR16" s="12"/>
      <c r="JXS16" s="13"/>
      <c r="JXY16" s="4"/>
      <c r="JXZ16" s="12"/>
      <c r="JYA16" s="13"/>
      <c r="JYG16" s="4"/>
      <c r="JYH16" s="12"/>
      <c r="JYI16" s="13"/>
      <c r="JYO16" s="4"/>
      <c r="JYP16" s="12"/>
      <c r="JYQ16" s="13"/>
      <c r="JYW16" s="4"/>
      <c r="JYX16" s="12"/>
      <c r="JYY16" s="13"/>
      <c r="JZE16" s="4"/>
      <c r="JZF16" s="12"/>
      <c r="JZG16" s="13"/>
      <c r="JZM16" s="4"/>
      <c r="JZN16" s="12"/>
      <c r="JZO16" s="13"/>
      <c r="JZU16" s="4"/>
      <c r="JZV16" s="12"/>
      <c r="JZW16" s="13"/>
      <c r="KAC16" s="4"/>
      <c r="KAD16" s="12"/>
      <c r="KAE16" s="13"/>
      <c r="KAK16" s="4"/>
      <c r="KAL16" s="12"/>
      <c r="KAM16" s="13"/>
      <c r="KAS16" s="4"/>
      <c r="KAT16" s="12"/>
      <c r="KAU16" s="13"/>
      <c r="KBA16" s="4"/>
      <c r="KBB16" s="12"/>
      <c r="KBC16" s="13"/>
      <c r="KBI16" s="4"/>
      <c r="KBJ16" s="12"/>
      <c r="KBK16" s="13"/>
      <c r="KBQ16" s="4"/>
      <c r="KBR16" s="12"/>
      <c r="KBS16" s="13"/>
      <c r="KBY16" s="4"/>
      <c r="KBZ16" s="12"/>
      <c r="KCA16" s="13"/>
      <c r="KCG16" s="4"/>
      <c r="KCH16" s="12"/>
      <c r="KCI16" s="13"/>
      <c r="KCO16" s="4"/>
      <c r="KCP16" s="12"/>
      <c r="KCQ16" s="13"/>
      <c r="KCW16" s="4"/>
      <c r="KCX16" s="12"/>
      <c r="KCY16" s="13"/>
      <c r="KDE16" s="4"/>
      <c r="KDF16" s="12"/>
      <c r="KDG16" s="13"/>
      <c r="KDM16" s="4"/>
      <c r="KDN16" s="12"/>
      <c r="KDO16" s="13"/>
      <c r="KDU16" s="4"/>
      <c r="KDV16" s="12"/>
      <c r="KDW16" s="13"/>
      <c r="KEC16" s="4"/>
      <c r="KED16" s="12"/>
      <c r="KEE16" s="13"/>
      <c r="KEK16" s="4"/>
      <c r="KEL16" s="12"/>
      <c r="KEM16" s="13"/>
      <c r="KES16" s="4"/>
      <c r="KET16" s="12"/>
      <c r="KEU16" s="13"/>
      <c r="KFA16" s="4"/>
      <c r="KFB16" s="12"/>
      <c r="KFC16" s="13"/>
      <c r="KFI16" s="4"/>
      <c r="KFJ16" s="12"/>
      <c r="KFK16" s="13"/>
      <c r="KFQ16" s="4"/>
      <c r="KFR16" s="12"/>
      <c r="KFS16" s="13"/>
      <c r="KFY16" s="4"/>
      <c r="KFZ16" s="12"/>
      <c r="KGA16" s="13"/>
      <c r="KGG16" s="4"/>
      <c r="KGH16" s="12"/>
      <c r="KGI16" s="13"/>
      <c r="KGO16" s="4"/>
      <c r="KGP16" s="12"/>
      <c r="KGQ16" s="13"/>
      <c r="KGW16" s="4"/>
      <c r="KGX16" s="12"/>
      <c r="KGY16" s="13"/>
      <c r="KHE16" s="4"/>
      <c r="KHF16" s="12"/>
      <c r="KHG16" s="13"/>
      <c r="KHM16" s="4"/>
      <c r="KHN16" s="12"/>
      <c r="KHO16" s="13"/>
      <c r="KHU16" s="4"/>
      <c r="KHV16" s="12"/>
      <c r="KHW16" s="13"/>
      <c r="KIC16" s="4"/>
      <c r="KID16" s="12"/>
      <c r="KIE16" s="13"/>
      <c r="KIK16" s="4"/>
      <c r="KIL16" s="12"/>
      <c r="KIM16" s="13"/>
      <c r="KIS16" s="4"/>
      <c r="KIT16" s="12"/>
      <c r="KIU16" s="13"/>
      <c r="KJA16" s="4"/>
      <c r="KJB16" s="12"/>
      <c r="KJC16" s="13"/>
      <c r="KJI16" s="4"/>
      <c r="KJJ16" s="12"/>
      <c r="KJK16" s="13"/>
      <c r="KJQ16" s="4"/>
      <c r="KJR16" s="12"/>
      <c r="KJS16" s="13"/>
      <c r="KJY16" s="4"/>
      <c r="KJZ16" s="12"/>
      <c r="KKA16" s="13"/>
      <c r="KKG16" s="4"/>
      <c r="KKH16" s="12"/>
      <c r="KKI16" s="13"/>
      <c r="KKO16" s="4"/>
      <c r="KKP16" s="12"/>
      <c r="KKQ16" s="13"/>
      <c r="KKW16" s="4"/>
      <c r="KKX16" s="12"/>
      <c r="KKY16" s="13"/>
      <c r="KLE16" s="4"/>
      <c r="KLF16" s="12"/>
      <c r="KLG16" s="13"/>
      <c r="KLM16" s="4"/>
      <c r="KLN16" s="12"/>
      <c r="KLO16" s="13"/>
      <c r="KLU16" s="4"/>
      <c r="KLV16" s="12"/>
      <c r="KLW16" s="13"/>
      <c r="KMC16" s="4"/>
      <c r="KMD16" s="12"/>
      <c r="KME16" s="13"/>
      <c r="KMK16" s="4"/>
      <c r="KML16" s="12"/>
      <c r="KMM16" s="13"/>
      <c r="KMS16" s="4"/>
      <c r="KMT16" s="12"/>
      <c r="KMU16" s="13"/>
      <c r="KNA16" s="4"/>
      <c r="KNB16" s="12"/>
      <c r="KNC16" s="13"/>
      <c r="KNI16" s="4"/>
      <c r="KNJ16" s="12"/>
      <c r="KNK16" s="13"/>
      <c r="KNQ16" s="4"/>
      <c r="KNR16" s="12"/>
      <c r="KNS16" s="13"/>
      <c r="KNY16" s="4"/>
      <c r="KNZ16" s="12"/>
      <c r="KOA16" s="13"/>
      <c r="KOG16" s="4"/>
      <c r="KOH16" s="12"/>
      <c r="KOI16" s="13"/>
      <c r="KOO16" s="4"/>
      <c r="KOP16" s="12"/>
      <c r="KOQ16" s="13"/>
      <c r="KOW16" s="4"/>
      <c r="KOX16" s="12"/>
      <c r="KOY16" s="13"/>
      <c r="KPE16" s="4"/>
      <c r="KPF16" s="12"/>
      <c r="KPG16" s="13"/>
      <c r="KPM16" s="4"/>
      <c r="KPN16" s="12"/>
      <c r="KPO16" s="13"/>
      <c r="KPU16" s="4"/>
      <c r="KPV16" s="12"/>
      <c r="KPW16" s="13"/>
      <c r="KQC16" s="4"/>
      <c r="KQD16" s="12"/>
      <c r="KQE16" s="13"/>
      <c r="KQK16" s="4"/>
      <c r="KQL16" s="12"/>
      <c r="KQM16" s="13"/>
      <c r="KQS16" s="4"/>
      <c r="KQT16" s="12"/>
      <c r="KQU16" s="13"/>
      <c r="KRA16" s="4"/>
      <c r="KRB16" s="12"/>
      <c r="KRC16" s="13"/>
      <c r="KRI16" s="4"/>
      <c r="KRJ16" s="12"/>
      <c r="KRK16" s="13"/>
      <c r="KRQ16" s="4"/>
      <c r="KRR16" s="12"/>
      <c r="KRS16" s="13"/>
      <c r="KRY16" s="4"/>
      <c r="KRZ16" s="12"/>
      <c r="KSA16" s="13"/>
      <c r="KSG16" s="4"/>
      <c r="KSH16" s="12"/>
      <c r="KSI16" s="13"/>
      <c r="KSO16" s="4"/>
      <c r="KSP16" s="12"/>
      <c r="KSQ16" s="13"/>
      <c r="KSW16" s="4"/>
      <c r="KSX16" s="12"/>
      <c r="KSY16" s="13"/>
      <c r="KTE16" s="4"/>
      <c r="KTF16" s="12"/>
      <c r="KTG16" s="13"/>
      <c r="KTM16" s="4"/>
      <c r="KTN16" s="12"/>
      <c r="KTO16" s="13"/>
      <c r="KTU16" s="4"/>
      <c r="KTV16" s="12"/>
      <c r="KTW16" s="13"/>
      <c r="KUC16" s="4"/>
      <c r="KUD16" s="12"/>
      <c r="KUE16" s="13"/>
      <c r="KUK16" s="4"/>
      <c r="KUL16" s="12"/>
      <c r="KUM16" s="13"/>
      <c r="KUS16" s="4"/>
      <c r="KUT16" s="12"/>
      <c r="KUU16" s="13"/>
      <c r="KVA16" s="4"/>
      <c r="KVB16" s="12"/>
      <c r="KVC16" s="13"/>
      <c r="KVI16" s="4"/>
      <c r="KVJ16" s="12"/>
      <c r="KVK16" s="13"/>
      <c r="KVQ16" s="4"/>
      <c r="KVR16" s="12"/>
      <c r="KVS16" s="13"/>
      <c r="KVY16" s="4"/>
      <c r="KVZ16" s="12"/>
      <c r="KWA16" s="13"/>
      <c r="KWG16" s="4"/>
      <c r="KWH16" s="12"/>
      <c r="KWI16" s="13"/>
      <c r="KWO16" s="4"/>
      <c r="KWP16" s="12"/>
      <c r="KWQ16" s="13"/>
      <c r="KWW16" s="4"/>
      <c r="KWX16" s="12"/>
      <c r="KWY16" s="13"/>
      <c r="KXE16" s="4"/>
      <c r="KXF16" s="12"/>
      <c r="KXG16" s="13"/>
      <c r="KXM16" s="4"/>
      <c r="KXN16" s="12"/>
      <c r="KXO16" s="13"/>
      <c r="KXU16" s="4"/>
      <c r="KXV16" s="12"/>
      <c r="KXW16" s="13"/>
      <c r="KYC16" s="4"/>
      <c r="KYD16" s="12"/>
      <c r="KYE16" s="13"/>
      <c r="KYK16" s="4"/>
      <c r="KYL16" s="12"/>
      <c r="KYM16" s="13"/>
      <c r="KYS16" s="4"/>
      <c r="KYT16" s="12"/>
      <c r="KYU16" s="13"/>
      <c r="KZA16" s="4"/>
      <c r="KZB16" s="12"/>
      <c r="KZC16" s="13"/>
      <c r="KZI16" s="4"/>
      <c r="KZJ16" s="12"/>
      <c r="KZK16" s="13"/>
      <c r="KZQ16" s="4"/>
      <c r="KZR16" s="12"/>
      <c r="KZS16" s="13"/>
      <c r="KZY16" s="4"/>
      <c r="KZZ16" s="12"/>
      <c r="LAA16" s="13"/>
      <c r="LAG16" s="4"/>
      <c r="LAH16" s="12"/>
      <c r="LAI16" s="13"/>
      <c r="LAO16" s="4"/>
      <c r="LAP16" s="12"/>
      <c r="LAQ16" s="13"/>
      <c r="LAW16" s="4"/>
      <c r="LAX16" s="12"/>
      <c r="LAY16" s="13"/>
      <c r="LBE16" s="4"/>
      <c r="LBF16" s="12"/>
      <c r="LBG16" s="13"/>
      <c r="LBM16" s="4"/>
      <c r="LBN16" s="12"/>
      <c r="LBO16" s="13"/>
      <c r="LBU16" s="4"/>
      <c r="LBV16" s="12"/>
      <c r="LBW16" s="13"/>
      <c r="LCC16" s="4"/>
      <c r="LCD16" s="12"/>
      <c r="LCE16" s="13"/>
      <c r="LCK16" s="4"/>
      <c r="LCL16" s="12"/>
      <c r="LCM16" s="13"/>
      <c r="LCS16" s="4"/>
      <c r="LCT16" s="12"/>
      <c r="LCU16" s="13"/>
      <c r="LDA16" s="4"/>
      <c r="LDB16" s="12"/>
      <c r="LDC16" s="13"/>
      <c r="LDI16" s="4"/>
      <c r="LDJ16" s="12"/>
      <c r="LDK16" s="13"/>
      <c r="LDQ16" s="4"/>
      <c r="LDR16" s="12"/>
      <c r="LDS16" s="13"/>
      <c r="LDY16" s="4"/>
      <c r="LDZ16" s="12"/>
      <c r="LEA16" s="13"/>
      <c r="LEG16" s="4"/>
      <c r="LEH16" s="12"/>
      <c r="LEI16" s="13"/>
      <c r="LEO16" s="4"/>
      <c r="LEP16" s="12"/>
      <c r="LEQ16" s="13"/>
      <c r="LEW16" s="4"/>
      <c r="LEX16" s="12"/>
      <c r="LEY16" s="13"/>
      <c r="LFE16" s="4"/>
      <c r="LFF16" s="12"/>
      <c r="LFG16" s="13"/>
      <c r="LFM16" s="4"/>
      <c r="LFN16" s="12"/>
      <c r="LFO16" s="13"/>
      <c r="LFU16" s="4"/>
      <c r="LFV16" s="12"/>
      <c r="LFW16" s="13"/>
      <c r="LGC16" s="4"/>
      <c r="LGD16" s="12"/>
      <c r="LGE16" s="13"/>
      <c r="LGK16" s="4"/>
      <c r="LGL16" s="12"/>
      <c r="LGM16" s="13"/>
      <c r="LGS16" s="4"/>
      <c r="LGT16" s="12"/>
      <c r="LGU16" s="13"/>
      <c r="LHA16" s="4"/>
      <c r="LHB16" s="12"/>
      <c r="LHC16" s="13"/>
      <c r="LHI16" s="4"/>
      <c r="LHJ16" s="12"/>
      <c r="LHK16" s="13"/>
      <c r="LHQ16" s="4"/>
      <c r="LHR16" s="12"/>
      <c r="LHS16" s="13"/>
      <c r="LHY16" s="4"/>
      <c r="LHZ16" s="12"/>
      <c r="LIA16" s="13"/>
      <c r="LIG16" s="4"/>
      <c r="LIH16" s="12"/>
      <c r="LII16" s="13"/>
      <c r="LIO16" s="4"/>
      <c r="LIP16" s="12"/>
      <c r="LIQ16" s="13"/>
      <c r="LIW16" s="4"/>
      <c r="LIX16" s="12"/>
      <c r="LIY16" s="13"/>
      <c r="LJE16" s="4"/>
      <c r="LJF16" s="12"/>
      <c r="LJG16" s="13"/>
      <c r="LJM16" s="4"/>
      <c r="LJN16" s="12"/>
      <c r="LJO16" s="13"/>
      <c r="LJU16" s="4"/>
      <c r="LJV16" s="12"/>
      <c r="LJW16" s="13"/>
      <c r="LKC16" s="4"/>
      <c r="LKD16" s="12"/>
      <c r="LKE16" s="13"/>
      <c r="LKK16" s="4"/>
      <c r="LKL16" s="12"/>
      <c r="LKM16" s="13"/>
      <c r="LKS16" s="4"/>
      <c r="LKT16" s="12"/>
      <c r="LKU16" s="13"/>
      <c r="LLA16" s="4"/>
      <c r="LLB16" s="12"/>
      <c r="LLC16" s="13"/>
      <c r="LLI16" s="4"/>
      <c r="LLJ16" s="12"/>
      <c r="LLK16" s="13"/>
      <c r="LLQ16" s="4"/>
      <c r="LLR16" s="12"/>
      <c r="LLS16" s="13"/>
      <c r="LLY16" s="4"/>
      <c r="LLZ16" s="12"/>
      <c r="LMA16" s="13"/>
      <c r="LMG16" s="4"/>
      <c r="LMH16" s="12"/>
      <c r="LMI16" s="13"/>
      <c r="LMO16" s="4"/>
      <c r="LMP16" s="12"/>
      <c r="LMQ16" s="13"/>
      <c r="LMW16" s="4"/>
      <c r="LMX16" s="12"/>
      <c r="LMY16" s="13"/>
      <c r="LNE16" s="4"/>
      <c r="LNF16" s="12"/>
      <c r="LNG16" s="13"/>
      <c r="LNM16" s="4"/>
      <c r="LNN16" s="12"/>
      <c r="LNO16" s="13"/>
      <c r="LNU16" s="4"/>
      <c r="LNV16" s="12"/>
      <c r="LNW16" s="13"/>
      <c r="LOC16" s="4"/>
      <c r="LOD16" s="12"/>
      <c r="LOE16" s="13"/>
      <c r="LOK16" s="4"/>
      <c r="LOL16" s="12"/>
      <c r="LOM16" s="13"/>
      <c r="LOS16" s="4"/>
      <c r="LOT16" s="12"/>
      <c r="LOU16" s="13"/>
      <c r="LPA16" s="4"/>
      <c r="LPB16" s="12"/>
      <c r="LPC16" s="13"/>
      <c r="LPI16" s="4"/>
      <c r="LPJ16" s="12"/>
      <c r="LPK16" s="13"/>
      <c r="LPQ16" s="4"/>
      <c r="LPR16" s="12"/>
      <c r="LPS16" s="13"/>
      <c r="LPY16" s="4"/>
      <c r="LPZ16" s="12"/>
      <c r="LQA16" s="13"/>
      <c r="LQG16" s="4"/>
      <c r="LQH16" s="12"/>
      <c r="LQI16" s="13"/>
      <c r="LQO16" s="4"/>
      <c r="LQP16" s="12"/>
      <c r="LQQ16" s="13"/>
      <c r="LQW16" s="4"/>
      <c r="LQX16" s="12"/>
      <c r="LQY16" s="13"/>
      <c r="LRE16" s="4"/>
      <c r="LRF16" s="12"/>
      <c r="LRG16" s="13"/>
      <c r="LRM16" s="4"/>
      <c r="LRN16" s="12"/>
      <c r="LRO16" s="13"/>
      <c r="LRU16" s="4"/>
      <c r="LRV16" s="12"/>
      <c r="LRW16" s="13"/>
      <c r="LSC16" s="4"/>
      <c r="LSD16" s="12"/>
      <c r="LSE16" s="13"/>
      <c r="LSK16" s="4"/>
      <c r="LSL16" s="12"/>
      <c r="LSM16" s="13"/>
      <c r="LSS16" s="4"/>
      <c r="LST16" s="12"/>
      <c r="LSU16" s="13"/>
      <c r="LTA16" s="4"/>
      <c r="LTB16" s="12"/>
      <c r="LTC16" s="13"/>
      <c r="LTI16" s="4"/>
      <c r="LTJ16" s="12"/>
      <c r="LTK16" s="13"/>
      <c r="LTQ16" s="4"/>
      <c r="LTR16" s="12"/>
      <c r="LTS16" s="13"/>
      <c r="LTY16" s="4"/>
      <c r="LTZ16" s="12"/>
      <c r="LUA16" s="13"/>
      <c r="LUG16" s="4"/>
      <c r="LUH16" s="12"/>
      <c r="LUI16" s="13"/>
      <c r="LUO16" s="4"/>
      <c r="LUP16" s="12"/>
      <c r="LUQ16" s="13"/>
      <c r="LUW16" s="4"/>
      <c r="LUX16" s="12"/>
      <c r="LUY16" s="13"/>
      <c r="LVE16" s="4"/>
      <c r="LVF16" s="12"/>
      <c r="LVG16" s="13"/>
      <c r="LVM16" s="4"/>
      <c r="LVN16" s="12"/>
      <c r="LVO16" s="13"/>
      <c r="LVU16" s="4"/>
      <c r="LVV16" s="12"/>
      <c r="LVW16" s="13"/>
      <c r="LWC16" s="4"/>
      <c r="LWD16" s="12"/>
      <c r="LWE16" s="13"/>
      <c r="LWK16" s="4"/>
      <c r="LWL16" s="12"/>
      <c r="LWM16" s="13"/>
      <c r="LWS16" s="4"/>
      <c r="LWT16" s="12"/>
      <c r="LWU16" s="13"/>
      <c r="LXA16" s="4"/>
      <c r="LXB16" s="12"/>
      <c r="LXC16" s="13"/>
      <c r="LXI16" s="4"/>
      <c r="LXJ16" s="12"/>
      <c r="LXK16" s="13"/>
      <c r="LXQ16" s="4"/>
      <c r="LXR16" s="12"/>
      <c r="LXS16" s="13"/>
      <c r="LXY16" s="4"/>
      <c r="LXZ16" s="12"/>
      <c r="LYA16" s="13"/>
      <c r="LYG16" s="4"/>
      <c r="LYH16" s="12"/>
      <c r="LYI16" s="13"/>
      <c r="LYO16" s="4"/>
      <c r="LYP16" s="12"/>
      <c r="LYQ16" s="13"/>
      <c r="LYW16" s="4"/>
      <c r="LYX16" s="12"/>
      <c r="LYY16" s="13"/>
      <c r="LZE16" s="4"/>
      <c r="LZF16" s="12"/>
      <c r="LZG16" s="13"/>
      <c r="LZM16" s="4"/>
      <c r="LZN16" s="12"/>
      <c r="LZO16" s="13"/>
      <c r="LZU16" s="4"/>
      <c r="LZV16" s="12"/>
      <c r="LZW16" s="13"/>
      <c r="MAC16" s="4"/>
      <c r="MAD16" s="12"/>
      <c r="MAE16" s="13"/>
      <c r="MAK16" s="4"/>
      <c r="MAL16" s="12"/>
      <c r="MAM16" s="13"/>
      <c r="MAS16" s="4"/>
      <c r="MAT16" s="12"/>
      <c r="MAU16" s="13"/>
      <c r="MBA16" s="4"/>
      <c r="MBB16" s="12"/>
      <c r="MBC16" s="13"/>
      <c r="MBI16" s="4"/>
      <c r="MBJ16" s="12"/>
      <c r="MBK16" s="13"/>
      <c r="MBQ16" s="4"/>
      <c r="MBR16" s="12"/>
      <c r="MBS16" s="13"/>
      <c r="MBY16" s="4"/>
      <c r="MBZ16" s="12"/>
      <c r="MCA16" s="13"/>
      <c r="MCG16" s="4"/>
      <c r="MCH16" s="12"/>
      <c r="MCI16" s="13"/>
      <c r="MCO16" s="4"/>
      <c r="MCP16" s="12"/>
      <c r="MCQ16" s="13"/>
      <c r="MCW16" s="4"/>
      <c r="MCX16" s="12"/>
      <c r="MCY16" s="13"/>
      <c r="MDE16" s="4"/>
      <c r="MDF16" s="12"/>
      <c r="MDG16" s="13"/>
      <c r="MDM16" s="4"/>
      <c r="MDN16" s="12"/>
      <c r="MDO16" s="13"/>
      <c r="MDU16" s="4"/>
      <c r="MDV16" s="12"/>
      <c r="MDW16" s="13"/>
      <c r="MEC16" s="4"/>
      <c r="MED16" s="12"/>
      <c r="MEE16" s="13"/>
      <c r="MEK16" s="4"/>
      <c r="MEL16" s="12"/>
      <c r="MEM16" s="13"/>
      <c r="MES16" s="4"/>
      <c r="MET16" s="12"/>
      <c r="MEU16" s="13"/>
      <c r="MFA16" s="4"/>
      <c r="MFB16" s="12"/>
      <c r="MFC16" s="13"/>
      <c r="MFI16" s="4"/>
      <c r="MFJ16" s="12"/>
      <c r="MFK16" s="13"/>
      <c r="MFQ16" s="4"/>
      <c r="MFR16" s="12"/>
      <c r="MFS16" s="13"/>
      <c r="MFY16" s="4"/>
      <c r="MFZ16" s="12"/>
      <c r="MGA16" s="13"/>
      <c r="MGG16" s="4"/>
      <c r="MGH16" s="12"/>
      <c r="MGI16" s="13"/>
      <c r="MGO16" s="4"/>
      <c r="MGP16" s="12"/>
      <c r="MGQ16" s="13"/>
      <c r="MGW16" s="4"/>
      <c r="MGX16" s="12"/>
      <c r="MGY16" s="13"/>
      <c r="MHE16" s="4"/>
      <c r="MHF16" s="12"/>
      <c r="MHG16" s="13"/>
      <c r="MHM16" s="4"/>
      <c r="MHN16" s="12"/>
      <c r="MHO16" s="13"/>
      <c r="MHU16" s="4"/>
      <c r="MHV16" s="12"/>
      <c r="MHW16" s="13"/>
      <c r="MIC16" s="4"/>
      <c r="MID16" s="12"/>
      <c r="MIE16" s="13"/>
      <c r="MIK16" s="4"/>
      <c r="MIL16" s="12"/>
      <c r="MIM16" s="13"/>
      <c r="MIS16" s="4"/>
      <c r="MIT16" s="12"/>
      <c r="MIU16" s="13"/>
      <c r="MJA16" s="4"/>
      <c r="MJB16" s="12"/>
      <c r="MJC16" s="13"/>
      <c r="MJI16" s="4"/>
      <c r="MJJ16" s="12"/>
      <c r="MJK16" s="13"/>
      <c r="MJQ16" s="4"/>
      <c r="MJR16" s="12"/>
      <c r="MJS16" s="13"/>
      <c r="MJY16" s="4"/>
      <c r="MJZ16" s="12"/>
      <c r="MKA16" s="13"/>
      <c r="MKG16" s="4"/>
      <c r="MKH16" s="12"/>
      <c r="MKI16" s="13"/>
      <c r="MKO16" s="4"/>
      <c r="MKP16" s="12"/>
      <c r="MKQ16" s="13"/>
      <c r="MKW16" s="4"/>
      <c r="MKX16" s="12"/>
      <c r="MKY16" s="13"/>
      <c r="MLE16" s="4"/>
      <c r="MLF16" s="12"/>
      <c r="MLG16" s="13"/>
      <c r="MLM16" s="4"/>
      <c r="MLN16" s="12"/>
      <c r="MLO16" s="13"/>
      <c r="MLU16" s="4"/>
      <c r="MLV16" s="12"/>
      <c r="MLW16" s="13"/>
      <c r="MMC16" s="4"/>
      <c r="MMD16" s="12"/>
      <c r="MME16" s="13"/>
      <c r="MMK16" s="4"/>
      <c r="MML16" s="12"/>
      <c r="MMM16" s="13"/>
      <c r="MMS16" s="4"/>
      <c r="MMT16" s="12"/>
      <c r="MMU16" s="13"/>
      <c r="MNA16" s="4"/>
      <c r="MNB16" s="12"/>
      <c r="MNC16" s="13"/>
      <c r="MNI16" s="4"/>
      <c r="MNJ16" s="12"/>
      <c r="MNK16" s="13"/>
      <c r="MNQ16" s="4"/>
      <c r="MNR16" s="12"/>
      <c r="MNS16" s="13"/>
      <c r="MNY16" s="4"/>
      <c r="MNZ16" s="12"/>
      <c r="MOA16" s="13"/>
      <c r="MOG16" s="4"/>
      <c r="MOH16" s="12"/>
      <c r="MOI16" s="13"/>
      <c r="MOO16" s="4"/>
      <c r="MOP16" s="12"/>
      <c r="MOQ16" s="13"/>
      <c r="MOW16" s="4"/>
      <c r="MOX16" s="12"/>
      <c r="MOY16" s="13"/>
      <c r="MPE16" s="4"/>
      <c r="MPF16" s="12"/>
      <c r="MPG16" s="13"/>
      <c r="MPM16" s="4"/>
      <c r="MPN16" s="12"/>
      <c r="MPO16" s="13"/>
      <c r="MPU16" s="4"/>
      <c r="MPV16" s="12"/>
      <c r="MPW16" s="13"/>
      <c r="MQC16" s="4"/>
      <c r="MQD16" s="12"/>
      <c r="MQE16" s="13"/>
      <c r="MQK16" s="4"/>
      <c r="MQL16" s="12"/>
      <c r="MQM16" s="13"/>
      <c r="MQS16" s="4"/>
      <c r="MQT16" s="12"/>
      <c r="MQU16" s="13"/>
      <c r="MRA16" s="4"/>
      <c r="MRB16" s="12"/>
      <c r="MRC16" s="13"/>
      <c r="MRI16" s="4"/>
      <c r="MRJ16" s="12"/>
      <c r="MRK16" s="13"/>
      <c r="MRQ16" s="4"/>
      <c r="MRR16" s="12"/>
      <c r="MRS16" s="13"/>
      <c r="MRY16" s="4"/>
      <c r="MRZ16" s="12"/>
      <c r="MSA16" s="13"/>
      <c r="MSG16" s="4"/>
      <c r="MSH16" s="12"/>
      <c r="MSI16" s="13"/>
      <c r="MSO16" s="4"/>
      <c r="MSP16" s="12"/>
      <c r="MSQ16" s="13"/>
      <c r="MSW16" s="4"/>
      <c r="MSX16" s="12"/>
      <c r="MSY16" s="13"/>
      <c r="MTE16" s="4"/>
      <c r="MTF16" s="12"/>
      <c r="MTG16" s="13"/>
      <c r="MTM16" s="4"/>
      <c r="MTN16" s="12"/>
      <c r="MTO16" s="13"/>
      <c r="MTU16" s="4"/>
      <c r="MTV16" s="12"/>
      <c r="MTW16" s="13"/>
      <c r="MUC16" s="4"/>
      <c r="MUD16" s="12"/>
      <c r="MUE16" s="13"/>
      <c r="MUK16" s="4"/>
      <c r="MUL16" s="12"/>
      <c r="MUM16" s="13"/>
      <c r="MUS16" s="4"/>
      <c r="MUT16" s="12"/>
      <c r="MUU16" s="13"/>
      <c r="MVA16" s="4"/>
      <c r="MVB16" s="12"/>
      <c r="MVC16" s="13"/>
      <c r="MVI16" s="4"/>
      <c r="MVJ16" s="12"/>
      <c r="MVK16" s="13"/>
      <c r="MVQ16" s="4"/>
      <c r="MVR16" s="12"/>
      <c r="MVS16" s="13"/>
      <c r="MVY16" s="4"/>
      <c r="MVZ16" s="12"/>
      <c r="MWA16" s="13"/>
      <c r="MWG16" s="4"/>
      <c r="MWH16" s="12"/>
      <c r="MWI16" s="13"/>
      <c r="MWO16" s="4"/>
      <c r="MWP16" s="12"/>
      <c r="MWQ16" s="13"/>
      <c r="MWW16" s="4"/>
      <c r="MWX16" s="12"/>
      <c r="MWY16" s="13"/>
      <c r="MXE16" s="4"/>
      <c r="MXF16" s="12"/>
      <c r="MXG16" s="13"/>
      <c r="MXM16" s="4"/>
      <c r="MXN16" s="12"/>
      <c r="MXO16" s="13"/>
      <c r="MXU16" s="4"/>
      <c r="MXV16" s="12"/>
      <c r="MXW16" s="13"/>
      <c r="MYC16" s="4"/>
      <c r="MYD16" s="12"/>
      <c r="MYE16" s="13"/>
      <c r="MYK16" s="4"/>
      <c r="MYL16" s="12"/>
      <c r="MYM16" s="13"/>
      <c r="MYS16" s="4"/>
      <c r="MYT16" s="12"/>
      <c r="MYU16" s="13"/>
      <c r="MZA16" s="4"/>
      <c r="MZB16" s="12"/>
      <c r="MZC16" s="13"/>
      <c r="MZI16" s="4"/>
      <c r="MZJ16" s="12"/>
      <c r="MZK16" s="13"/>
      <c r="MZQ16" s="4"/>
      <c r="MZR16" s="12"/>
      <c r="MZS16" s="13"/>
      <c r="MZY16" s="4"/>
      <c r="MZZ16" s="12"/>
      <c r="NAA16" s="13"/>
      <c r="NAG16" s="4"/>
      <c r="NAH16" s="12"/>
      <c r="NAI16" s="13"/>
      <c r="NAO16" s="4"/>
      <c r="NAP16" s="12"/>
      <c r="NAQ16" s="13"/>
      <c r="NAW16" s="4"/>
      <c r="NAX16" s="12"/>
      <c r="NAY16" s="13"/>
      <c r="NBE16" s="4"/>
      <c r="NBF16" s="12"/>
      <c r="NBG16" s="13"/>
      <c r="NBM16" s="4"/>
      <c r="NBN16" s="12"/>
      <c r="NBO16" s="13"/>
      <c r="NBU16" s="4"/>
      <c r="NBV16" s="12"/>
      <c r="NBW16" s="13"/>
      <c r="NCC16" s="4"/>
      <c r="NCD16" s="12"/>
      <c r="NCE16" s="13"/>
      <c r="NCK16" s="4"/>
      <c r="NCL16" s="12"/>
      <c r="NCM16" s="13"/>
      <c r="NCS16" s="4"/>
      <c r="NCT16" s="12"/>
      <c r="NCU16" s="13"/>
      <c r="NDA16" s="4"/>
      <c r="NDB16" s="12"/>
      <c r="NDC16" s="13"/>
      <c r="NDI16" s="4"/>
      <c r="NDJ16" s="12"/>
      <c r="NDK16" s="13"/>
      <c r="NDQ16" s="4"/>
      <c r="NDR16" s="12"/>
      <c r="NDS16" s="13"/>
      <c r="NDY16" s="4"/>
      <c r="NDZ16" s="12"/>
      <c r="NEA16" s="13"/>
      <c r="NEG16" s="4"/>
      <c r="NEH16" s="12"/>
      <c r="NEI16" s="13"/>
      <c r="NEO16" s="4"/>
      <c r="NEP16" s="12"/>
      <c r="NEQ16" s="13"/>
      <c r="NEW16" s="4"/>
      <c r="NEX16" s="12"/>
      <c r="NEY16" s="13"/>
      <c r="NFE16" s="4"/>
      <c r="NFF16" s="12"/>
      <c r="NFG16" s="13"/>
      <c r="NFM16" s="4"/>
      <c r="NFN16" s="12"/>
      <c r="NFO16" s="13"/>
      <c r="NFU16" s="4"/>
      <c r="NFV16" s="12"/>
      <c r="NFW16" s="13"/>
      <c r="NGC16" s="4"/>
      <c r="NGD16" s="12"/>
      <c r="NGE16" s="13"/>
      <c r="NGK16" s="4"/>
      <c r="NGL16" s="12"/>
      <c r="NGM16" s="13"/>
      <c r="NGS16" s="4"/>
      <c r="NGT16" s="12"/>
      <c r="NGU16" s="13"/>
      <c r="NHA16" s="4"/>
      <c r="NHB16" s="12"/>
      <c r="NHC16" s="13"/>
      <c r="NHI16" s="4"/>
      <c r="NHJ16" s="12"/>
      <c r="NHK16" s="13"/>
      <c r="NHQ16" s="4"/>
      <c r="NHR16" s="12"/>
      <c r="NHS16" s="13"/>
      <c r="NHY16" s="4"/>
      <c r="NHZ16" s="12"/>
      <c r="NIA16" s="13"/>
      <c r="NIG16" s="4"/>
      <c r="NIH16" s="12"/>
      <c r="NII16" s="13"/>
      <c r="NIO16" s="4"/>
      <c r="NIP16" s="12"/>
      <c r="NIQ16" s="13"/>
      <c r="NIW16" s="4"/>
      <c r="NIX16" s="12"/>
      <c r="NIY16" s="13"/>
      <c r="NJE16" s="4"/>
      <c r="NJF16" s="12"/>
      <c r="NJG16" s="13"/>
      <c r="NJM16" s="4"/>
      <c r="NJN16" s="12"/>
      <c r="NJO16" s="13"/>
      <c r="NJU16" s="4"/>
      <c r="NJV16" s="12"/>
      <c r="NJW16" s="13"/>
      <c r="NKC16" s="4"/>
      <c r="NKD16" s="12"/>
      <c r="NKE16" s="13"/>
      <c r="NKK16" s="4"/>
      <c r="NKL16" s="12"/>
      <c r="NKM16" s="13"/>
      <c r="NKS16" s="4"/>
      <c r="NKT16" s="12"/>
      <c r="NKU16" s="13"/>
      <c r="NLA16" s="4"/>
      <c r="NLB16" s="12"/>
      <c r="NLC16" s="13"/>
      <c r="NLI16" s="4"/>
      <c r="NLJ16" s="12"/>
      <c r="NLK16" s="13"/>
      <c r="NLQ16" s="4"/>
      <c r="NLR16" s="12"/>
      <c r="NLS16" s="13"/>
      <c r="NLY16" s="4"/>
      <c r="NLZ16" s="12"/>
      <c r="NMA16" s="13"/>
      <c r="NMG16" s="4"/>
      <c r="NMH16" s="12"/>
      <c r="NMI16" s="13"/>
      <c r="NMO16" s="4"/>
      <c r="NMP16" s="12"/>
      <c r="NMQ16" s="13"/>
      <c r="NMW16" s="4"/>
      <c r="NMX16" s="12"/>
      <c r="NMY16" s="13"/>
      <c r="NNE16" s="4"/>
      <c r="NNF16" s="12"/>
      <c r="NNG16" s="13"/>
      <c r="NNM16" s="4"/>
      <c r="NNN16" s="12"/>
      <c r="NNO16" s="13"/>
      <c r="NNU16" s="4"/>
      <c r="NNV16" s="12"/>
      <c r="NNW16" s="13"/>
      <c r="NOC16" s="4"/>
      <c r="NOD16" s="12"/>
      <c r="NOE16" s="13"/>
      <c r="NOK16" s="4"/>
      <c r="NOL16" s="12"/>
      <c r="NOM16" s="13"/>
      <c r="NOS16" s="4"/>
      <c r="NOT16" s="12"/>
      <c r="NOU16" s="13"/>
      <c r="NPA16" s="4"/>
      <c r="NPB16" s="12"/>
      <c r="NPC16" s="13"/>
      <c r="NPI16" s="4"/>
      <c r="NPJ16" s="12"/>
      <c r="NPK16" s="13"/>
      <c r="NPQ16" s="4"/>
      <c r="NPR16" s="12"/>
      <c r="NPS16" s="13"/>
      <c r="NPY16" s="4"/>
      <c r="NPZ16" s="12"/>
      <c r="NQA16" s="13"/>
      <c r="NQG16" s="4"/>
      <c r="NQH16" s="12"/>
      <c r="NQI16" s="13"/>
      <c r="NQO16" s="4"/>
      <c r="NQP16" s="12"/>
      <c r="NQQ16" s="13"/>
      <c r="NQW16" s="4"/>
      <c r="NQX16" s="12"/>
      <c r="NQY16" s="13"/>
      <c r="NRE16" s="4"/>
      <c r="NRF16" s="12"/>
      <c r="NRG16" s="13"/>
      <c r="NRM16" s="4"/>
      <c r="NRN16" s="12"/>
      <c r="NRO16" s="13"/>
      <c r="NRU16" s="4"/>
      <c r="NRV16" s="12"/>
      <c r="NRW16" s="13"/>
      <c r="NSC16" s="4"/>
      <c r="NSD16" s="12"/>
      <c r="NSE16" s="13"/>
      <c r="NSK16" s="4"/>
      <c r="NSL16" s="12"/>
      <c r="NSM16" s="13"/>
      <c r="NSS16" s="4"/>
      <c r="NST16" s="12"/>
      <c r="NSU16" s="13"/>
      <c r="NTA16" s="4"/>
      <c r="NTB16" s="12"/>
      <c r="NTC16" s="13"/>
      <c r="NTI16" s="4"/>
      <c r="NTJ16" s="12"/>
      <c r="NTK16" s="13"/>
      <c r="NTQ16" s="4"/>
      <c r="NTR16" s="12"/>
      <c r="NTS16" s="13"/>
      <c r="NTY16" s="4"/>
      <c r="NTZ16" s="12"/>
      <c r="NUA16" s="13"/>
      <c r="NUG16" s="4"/>
      <c r="NUH16" s="12"/>
      <c r="NUI16" s="13"/>
      <c r="NUO16" s="4"/>
      <c r="NUP16" s="12"/>
      <c r="NUQ16" s="13"/>
      <c r="NUW16" s="4"/>
      <c r="NUX16" s="12"/>
      <c r="NUY16" s="13"/>
      <c r="NVE16" s="4"/>
      <c r="NVF16" s="12"/>
      <c r="NVG16" s="13"/>
      <c r="NVM16" s="4"/>
      <c r="NVN16" s="12"/>
      <c r="NVO16" s="13"/>
      <c r="NVU16" s="4"/>
      <c r="NVV16" s="12"/>
      <c r="NVW16" s="13"/>
      <c r="NWC16" s="4"/>
      <c r="NWD16" s="12"/>
      <c r="NWE16" s="13"/>
      <c r="NWK16" s="4"/>
      <c r="NWL16" s="12"/>
      <c r="NWM16" s="13"/>
      <c r="NWS16" s="4"/>
      <c r="NWT16" s="12"/>
      <c r="NWU16" s="13"/>
      <c r="NXA16" s="4"/>
      <c r="NXB16" s="12"/>
      <c r="NXC16" s="13"/>
      <c r="NXI16" s="4"/>
      <c r="NXJ16" s="12"/>
      <c r="NXK16" s="13"/>
      <c r="NXQ16" s="4"/>
      <c r="NXR16" s="12"/>
      <c r="NXS16" s="13"/>
      <c r="NXY16" s="4"/>
      <c r="NXZ16" s="12"/>
      <c r="NYA16" s="13"/>
      <c r="NYG16" s="4"/>
      <c r="NYH16" s="12"/>
      <c r="NYI16" s="13"/>
      <c r="NYO16" s="4"/>
      <c r="NYP16" s="12"/>
      <c r="NYQ16" s="13"/>
      <c r="NYW16" s="4"/>
      <c r="NYX16" s="12"/>
      <c r="NYY16" s="13"/>
      <c r="NZE16" s="4"/>
      <c r="NZF16" s="12"/>
      <c r="NZG16" s="13"/>
      <c r="NZM16" s="4"/>
      <c r="NZN16" s="12"/>
      <c r="NZO16" s="13"/>
      <c r="NZU16" s="4"/>
      <c r="NZV16" s="12"/>
      <c r="NZW16" s="13"/>
      <c r="OAC16" s="4"/>
      <c r="OAD16" s="12"/>
      <c r="OAE16" s="13"/>
      <c r="OAK16" s="4"/>
      <c r="OAL16" s="12"/>
      <c r="OAM16" s="13"/>
      <c r="OAS16" s="4"/>
      <c r="OAT16" s="12"/>
      <c r="OAU16" s="13"/>
      <c r="OBA16" s="4"/>
      <c r="OBB16" s="12"/>
      <c r="OBC16" s="13"/>
      <c r="OBI16" s="4"/>
      <c r="OBJ16" s="12"/>
      <c r="OBK16" s="13"/>
      <c r="OBQ16" s="4"/>
      <c r="OBR16" s="12"/>
      <c r="OBS16" s="13"/>
      <c r="OBY16" s="4"/>
      <c r="OBZ16" s="12"/>
      <c r="OCA16" s="13"/>
      <c r="OCG16" s="4"/>
      <c r="OCH16" s="12"/>
      <c r="OCI16" s="13"/>
      <c r="OCO16" s="4"/>
      <c r="OCP16" s="12"/>
      <c r="OCQ16" s="13"/>
      <c r="OCW16" s="4"/>
      <c r="OCX16" s="12"/>
      <c r="OCY16" s="13"/>
      <c r="ODE16" s="4"/>
      <c r="ODF16" s="12"/>
      <c r="ODG16" s="13"/>
      <c r="ODM16" s="4"/>
      <c r="ODN16" s="12"/>
      <c r="ODO16" s="13"/>
      <c r="ODU16" s="4"/>
      <c r="ODV16" s="12"/>
      <c r="ODW16" s="13"/>
      <c r="OEC16" s="4"/>
      <c r="OED16" s="12"/>
      <c r="OEE16" s="13"/>
      <c r="OEK16" s="4"/>
      <c r="OEL16" s="12"/>
      <c r="OEM16" s="13"/>
      <c r="OES16" s="4"/>
      <c r="OET16" s="12"/>
      <c r="OEU16" s="13"/>
      <c r="OFA16" s="4"/>
      <c r="OFB16" s="12"/>
      <c r="OFC16" s="13"/>
      <c r="OFI16" s="4"/>
      <c r="OFJ16" s="12"/>
      <c r="OFK16" s="13"/>
      <c r="OFQ16" s="4"/>
      <c r="OFR16" s="12"/>
      <c r="OFS16" s="13"/>
      <c r="OFY16" s="4"/>
      <c r="OFZ16" s="12"/>
      <c r="OGA16" s="13"/>
      <c r="OGG16" s="4"/>
      <c r="OGH16" s="12"/>
      <c r="OGI16" s="13"/>
      <c r="OGO16" s="4"/>
      <c r="OGP16" s="12"/>
      <c r="OGQ16" s="13"/>
      <c r="OGW16" s="4"/>
      <c r="OGX16" s="12"/>
      <c r="OGY16" s="13"/>
      <c r="OHE16" s="4"/>
      <c r="OHF16" s="12"/>
      <c r="OHG16" s="13"/>
      <c r="OHM16" s="4"/>
      <c r="OHN16" s="12"/>
      <c r="OHO16" s="13"/>
      <c r="OHU16" s="4"/>
      <c r="OHV16" s="12"/>
      <c r="OHW16" s="13"/>
      <c r="OIC16" s="4"/>
      <c r="OID16" s="12"/>
      <c r="OIE16" s="13"/>
      <c r="OIK16" s="4"/>
      <c r="OIL16" s="12"/>
      <c r="OIM16" s="13"/>
      <c r="OIS16" s="4"/>
      <c r="OIT16" s="12"/>
      <c r="OIU16" s="13"/>
      <c r="OJA16" s="4"/>
      <c r="OJB16" s="12"/>
      <c r="OJC16" s="13"/>
      <c r="OJI16" s="4"/>
      <c r="OJJ16" s="12"/>
      <c r="OJK16" s="13"/>
      <c r="OJQ16" s="4"/>
      <c r="OJR16" s="12"/>
      <c r="OJS16" s="13"/>
      <c r="OJY16" s="4"/>
      <c r="OJZ16" s="12"/>
      <c r="OKA16" s="13"/>
      <c r="OKG16" s="4"/>
      <c r="OKH16" s="12"/>
      <c r="OKI16" s="13"/>
      <c r="OKO16" s="4"/>
      <c r="OKP16" s="12"/>
      <c r="OKQ16" s="13"/>
      <c r="OKW16" s="4"/>
      <c r="OKX16" s="12"/>
      <c r="OKY16" s="13"/>
      <c r="OLE16" s="4"/>
      <c r="OLF16" s="12"/>
      <c r="OLG16" s="13"/>
      <c r="OLM16" s="4"/>
      <c r="OLN16" s="12"/>
      <c r="OLO16" s="13"/>
      <c r="OLU16" s="4"/>
      <c r="OLV16" s="12"/>
      <c r="OLW16" s="13"/>
      <c r="OMC16" s="4"/>
      <c r="OMD16" s="12"/>
      <c r="OME16" s="13"/>
      <c r="OMK16" s="4"/>
      <c r="OML16" s="12"/>
      <c r="OMM16" s="13"/>
      <c r="OMS16" s="4"/>
      <c r="OMT16" s="12"/>
      <c r="OMU16" s="13"/>
      <c r="ONA16" s="4"/>
      <c r="ONB16" s="12"/>
      <c r="ONC16" s="13"/>
      <c r="ONI16" s="4"/>
      <c r="ONJ16" s="12"/>
      <c r="ONK16" s="13"/>
      <c r="ONQ16" s="4"/>
      <c r="ONR16" s="12"/>
      <c r="ONS16" s="13"/>
      <c r="ONY16" s="4"/>
      <c r="ONZ16" s="12"/>
      <c r="OOA16" s="13"/>
      <c r="OOG16" s="4"/>
      <c r="OOH16" s="12"/>
      <c r="OOI16" s="13"/>
      <c r="OOO16" s="4"/>
      <c r="OOP16" s="12"/>
      <c r="OOQ16" s="13"/>
      <c r="OOW16" s="4"/>
      <c r="OOX16" s="12"/>
      <c r="OOY16" s="13"/>
      <c r="OPE16" s="4"/>
      <c r="OPF16" s="12"/>
      <c r="OPG16" s="13"/>
      <c r="OPM16" s="4"/>
      <c r="OPN16" s="12"/>
      <c r="OPO16" s="13"/>
      <c r="OPU16" s="4"/>
      <c r="OPV16" s="12"/>
      <c r="OPW16" s="13"/>
      <c r="OQC16" s="4"/>
      <c r="OQD16" s="12"/>
      <c r="OQE16" s="13"/>
      <c r="OQK16" s="4"/>
      <c r="OQL16" s="12"/>
      <c r="OQM16" s="13"/>
      <c r="OQS16" s="4"/>
      <c r="OQT16" s="12"/>
      <c r="OQU16" s="13"/>
      <c r="ORA16" s="4"/>
      <c r="ORB16" s="12"/>
      <c r="ORC16" s="13"/>
      <c r="ORI16" s="4"/>
      <c r="ORJ16" s="12"/>
      <c r="ORK16" s="13"/>
      <c r="ORQ16" s="4"/>
      <c r="ORR16" s="12"/>
      <c r="ORS16" s="13"/>
      <c r="ORY16" s="4"/>
      <c r="ORZ16" s="12"/>
      <c r="OSA16" s="13"/>
      <c r="OSG16" s="4"/>
      <c r="OSH16" s="12"/>
      <c r="OSI16" s="13"/>
      <c r="OSO16" s="4"/>
      <c r="OSP16" s="12"/>
      <c r="OSQ16" s="13"/>
      <c r="OSW16" s="4"/>
      <c r="OSX16" s="12"/>
      <c r="OSY16" s="13"/>
      <c r="OTE16" s="4"/>
      <c r="OTF16" s="12"/>
      <c r="OTG16" s="13"/>
      <c r="OTM16" s="4"/>
      <c r="OTN16" s="12"/>
      <c r="OTO16" s="13"/>
      <c r="OTU16" s="4"/>
      <c r="OTV16" s="12"/>
      <c r="OTW16" s="13"/>
      <c r="OUC16" s="4"/>
      <c r="OUD16" s="12"/>
      <c r="OUE16" s="13"/>
      <c r="OUK16" s="4"/>
      <c r="OUL16" s="12"/>
      <c r="OUM16" s="13"/>
      <c r="OUS16" s="4"/>
      <c r="OUT16" s="12"/>
      <c r="OUU16" s="13"/>
      <c r="OVA16" s="4"/>
      <c r="OVB16" s="12"/>
      <c r="OVC16" s="13"/>
      <c r="OVI16" s="4"/>
      <c r="OVJ16" s="12"/>
      <c r="OVK16" s="13"/>
      <c r="OVQ16" s="4"/>
      <c r="OVR16" s="12"/>
      <c r="OVS16" s="13"/>
      <c r="OVY16" s="4"/>
      <c r="OVZ16" s="12"/>
      <c r="OWA16" s="13"/>
      <c r="OWG16" s="4"/>
      <c r="OWH16" s="12"/>
      <c r="OWI16" s="13"/>
      <c r="OWO16" s="4"/>
      <c r="OWP16" s="12"/>
      <c r="OWQ16" s="13"/>
      <c r="OWW16" s="4"/>
      <c r="OWX16" s="12"/>
      <c r="OWY16" s="13"/>
      <c r="OXE16" s="4"/>
      <c r="OXF16" s="12"/>
      <c r="OXG16" s="13"/>
      <c r="OXM16" s="4"/>
      <c r="OXN16" s="12"/>
      <c r="OXO16" s="13"/>
      <c r="OXU16" s="4"/>
      <c r="OXV16" s="12"/>
      <c r="OXW16" s="13"/>
      <c r="OYC16" s="4"/>
      <c r="OYD16" s="12"/>
      <c r="OYE16" s="13"/>
      <c r="OYK16" s="4"/>
      <c r="OYL16" s="12"/>
      <c r="OYM16" s="13"/>
      <c r="OYS16" s="4"/>
      <c r="OYT16" s="12"/>
      <c r="OYU16" s="13"/>
      <c r="OZA16" s="4"/>
      <c r="OZB16" s="12"/>
      <c r="OZC16" s="13"/>
      <c r="OZI16" s="4"/>
      <c r="OZJ16" s="12"/>
      <c r="OZK16" s="13"/>
      <c r="OZQ16" s="4"/>
      <c r="OZR16" s="12"/>
      <c r="OZS16" s="13"/>
      <c r="OZY16" s="4"/>
      <c r="OZZ16" s="12"/>
      <c r="PAA16" s="13"/>
      <c r="PAG16" s="4"/>
      <c r="PAH16" s="12"/>
      <c r="PAI16" s="13"/>
      <c r="PAO16" s="4"/>
      <c r="PAP16" s="12"/>
      <c r="PAQ16" s="13"/>
      <c r="PAW16" s="4"/>
      <c r="PAX16" s="12"/>
      <c r="PAY16" s="13"/>
      <c r="PBE16" s="4"/>
      <c r="PBF16" s="12"/>
      <c r="PBG16" s="13"/>
      <c r="PBM16" s="4"/>
      <c r="PBN16" s="12"/>
      <c r="PBO16" s="13"/>
      <c r="PBU16" s="4"/>
      <c r="PBV16" s="12"/>
      <c r="PBW16" s="13"/>
      <c r="PCC16" s="4"/>
      <c r="PCD16" s="12"/>
      <c r="PCE16" s="13"/>
      <c r="PCK16" s="4"/>
      <c r="PCL16" s="12"/>
      <c r="PCM16" s="13"/>
      <c r="PCS16" s="4"/>
      <c r="PCT16" s="12"/>
      <c r="PCU16" s="13"/>
      <c r="PDA16" s="4"/>
      <c r="PDB16" s="12"/>
      <c r="PDC16" s="13"/>
      <c r="PDI16" s="4"/>
      <c r="PDJ16" s="12"/>
      <c r="PDK16" s="13"/>
      <c r="PDQ16" s="4"/>
      <c r="PDR16" s="12"/>
      <c r="PDS16" s="13"/>
      <c r="PDY16" s="4"/>
      <c r="PDZ16" s="12"/>
      <c r="PEA16" s="13"/>
      <c r="PEG16" s="4"/>
      <c r="PEH16" s="12"/>
      <c r="PEI16" s="13"/>
      <c r="PEO16" s="4"/>
      <c r="PEP16" s="12"/>
      <c r="PEQ16" s="13"/>
      <c r="PEW16" s="4"/>
      <c r="PEX16" s="12"/>
      <c r="PEY16" s="13"/>
      <c r="PFE16" s="4"/>
      <c r="PFF16" s="12"/>
      <c r="PFG16" s="13"/>
      <c r="PFM16" s="4"/>
      <c r="PFN16" s="12"/>
      <c r="PFO16" s="13"/>
      <c r="PFU16" s="4"/>
      <c r="PFV16" s="12"/>
      <c r="PFW16" s="13"/>
      <c r="PGC16" s="4"/>
      <c r="PGD16" s="12"/>
      <c r="PGE16" s="13"/>
      <c r="PGK16" s="4"/>
      <c r="PGL16" s="12"/>
      <c r="PGM16" s="13"/>
      <c r="PGS16" s="4"/>
      <c r="PGT16" s="12"/>
      <c r="PGU16" s="13"/>
      <c r="PHA16" s="4"/>
      <c r="PHB16" s="12"/>
      <c r="PHC16" s="13"/>
      <c r="PHI16" s="4"/>
      <c r="PHJ16" s="12"/>
      <c r="PHK16" s="13"/>
      <c r="PHQ16" s="4"/>
      <c r="PHR16" s="12"/>
      <c r="PHS16" s="13"/>
      <c r="PHY16" s="4"/>
      <c r="PHZ16" s="12"/>
      <c r="PIA16" s="13"/>
      <c r="PIG16" s="4"/>
      <c r="PIH16" s="12"/>
      <c r="PII16" s="13"/>
      <c r="PIO16" s="4"/>
      <c r="PIP16" s="12"/>
      <c r="PIQ16" s="13"/>
      <c r="PIW16" s="4"/>
      <c r="PIX16" s="12"/>
      <c r="PIY16" s="13"/>
      <c r="PJE16" s="4"/>
      <c r="PJF16" s="12"/>
      <c r="PJG16" s="13"/>
      <c r="PJM16" s="4"/>
      <c r="PJN16" s="12"/>
      <c r="PJO16" s="13"/>
      <c r="PJU16" s="4"/>
      <c r="PJV16" s="12"/>
      <c r="PJW16" s="13"/>
      <c r="PKC16" s="4"/>
      <c r="PKD16" s="12"/>
      <c r="PKE16" s="13"/>
      <c r="PKK16" s="4"/>
      <c r="PKL16" s="12"/>
      <c r="PKM16" s="13"/>
      <c r="PKS16" s="4"/>
      <c r="PKT16" s="12"/>
      <c r="PKU16" s="13"/>
      <c r="PLA16" s="4"/>
      <c r="PLB16" s="12"/>
      <c r="PLC16" s="13"/>
      <c r="PLI16" s="4"/>
      <c r="PLJ16" s="12"/>
      <c r="PLK16" s="13"/>
      <c r="PLQ16" s="4"/>
      <c r="PLR16" s="12"/>
      <c r="PLS16" s="13"/>
      <c r="PLY16" s="4"/>
      <c r="PLZ16" s="12"/>
      <c r="PMA16" s="13"/>
      <c r="PMG16" s="4"/>
      <c r="PMH16" s="12"/>
      <c r="PMI16" s="13"/>
      <c r="PMO16" s="4"/>
      <c r="PMP16" s="12"/>
      <c r="PMQ16" s="13"/>
      <c r="PMW16" s="4"/>
      <c r="PMX16" s="12"/>
      <c r="PMY16" s="13"/>
      <c r="PNE16" s="4"/>
      <c r="PNF16" s="12"/>
      <c r="PNG16" s="13"/>
      <c r="PNM16" s="4"/>
      <c r="PNN16" s="12"/>
      <c r="PNO16" s="13"/>
      <c r="PNU16" s="4"/>
      <c r="PNV16" s="12"/>
      <c r="PNW16" s="13"/>
      <c r="POC16" s="4"/>
      <c r="POD16" s="12"/>
      <c r="POE16" s="13"/>
      <c r="POK16" s="4"/>
      <c r="POL16" s="12"/>
      <c r="POM16" s="13"/>
      <c r="POS16" s="4"/>
      <c r="POT16" s="12"/>
      <c r="POU16" s="13"/>
      <c r="PPA16" s="4"/>
      <c r="PPB16" s="12"/>
      <c r="PPC16" s="13"/>
      <c r="PPI16" s="4"/>
      <c r="PPJ16" s="12"/>
      <c r="PPK16" s="13"/>
      <c r="PPQ16" s="4"/>
      <c r="PPR16" s="12"/>
      <c r="PPS16" s="13"/>
      <c r="PPY16" s="4"/>
      <c r="PPZ16" s="12"/>
      <c r="PQA16" s="13"/>
      <c r="PQG16" s="4"/>
      <c r="PQH16" s="12"/>
      <c r="PQI16" s="13"/>
      <c r="PQO16" s="4"/>
      <c r="PQP16" s="12"/>
      <c r="PQQ16" s="13"/>
      <c r="PQW16" s="4"/>
      <c r="PQX16" s="12"/>
      <c r="PQY16" s="13"/>
      <c r="PRE16" s="4"/>
      <c r="PRF16" s="12"/>
      <c r="PRG16" s="13"/>
      <c r="PRM16" s="4"/>
      <c r="PRN16" s="12"/>
      <c r="PRO16" s="13"/>
      <c r="PRU16" s="4"/>
      <c r="PRV16" s="12"/>
      <c r="PRW16" s="13"/>
      <c r="PSC16" s="4"/>
      <c r="PSD16" s="12"/>
      <c r="PSE16" s="13"/>
      <c r="PSK16" s="4"/>
      <c r="PSL16" s="12"/>
      <c r="PSM16" s="13"/>
      <c r="PSS16" s="4"/>
      <c r="PST16" s="12"/>
      <c r="PSU16" s="13"/>
      <c r="PTA16" s="4"/>
      <c r="PTB16" s="12"/>
      <c r="PTC16" s="13"/>
      <c r="PTI16" s="4"/>
      <c r="PTJ16" s="12"/>
      <c r="PTK16" s="13"/>
      <c r="PTQ16" s="4"/>
      <c r="PTR16" s="12"/>
      <c r="PTS16" s="13"/>
      <c r="PTY16" s="4"/>
      <c r="PTZ16" s="12"/>
      <c r="PUA16" s="13"/>
      <c r="PUG16" s="4"/>
      <c r="PUH16" s="12"/>
      <c r="PUI16" s="13"/>
      <c r="PUO16" s="4"/>
      <c r="PUP16" s="12"/>
      <c r="PUQ16" s="13"/>
      <c r="PUW16" s="4"/>
      <c r="PUX16" s="12"/>
      <c r="PUY16" s="13"/>
      <c r="PVE16" s="4"/>
      <c r="PVF16" s="12"/>
      <c r="PVG16" s="13"/>
      <c r="PVM16" s="4"/>
      <c r="PVN16" s="12"/>
      <c r="PVO16" s="13"/>
      <c r="PVU16" s="4"/>
      <c r="PVV16" s="12"/>
      <c r="PVW16" s="13"/>
      <c r="PWC16" s="4"/>
      <c r="PWD16" s="12"/>
      <c r="PWE16" s="13"/>
      <c r="PWK16" s="4"/>
      <c r="PWL16" s="12"/>
      <c r="PWM16" s="13"/>
      <c r="PWS16" s="4"/>
      <c r="PWT16" s="12"/>
      <c r="PWU16" s="13"/>
      <c r="PXA16" s="4"/>
      <c r="PXB16" s="12"/>
      <c r="PXC16" s="13"/>
      <c r="PXI16" s="4"/>
      <c r="PXJ16" s="12"/>
      <c r="PXK16" s="13"/>
      <c r="PXQ16" s="4"/>
      <c r="PXR16" s="12"/>
      <c r="PXS16" s="13"/>
      <c r="PXY16" s="4"/>
      <c r="PXZ16" s="12"/>
      <c r="PYA16" s="13"/>
      <c r="PYG16" s="4"/>
      <c r="PYH16" s="12"/>
      <c r="PYI16" s="13"/>
      <c r="PYO16" s="4"/>
      <c r="PYP16" s="12"/>
      <c r="PYQ16" s="13"/>
      <c r="PYW16" s="4"/>
      <c r="PYX16" s="12"/>
      <c r="PYY16" s="13"/>
      <c r="PZE16" s="4"/>
      <c r="PZF16" s="12"/>
      <c r="PZG16" s="13"/>
      <c r="PZM16" s="4"/>
      <c r="PZN16" s="12"/>
      <c r="PZO16" s="13"/>
      <c r="PZU16" s="4"/>
      <c r="PZV16" s="12"/>
      <c r="PZW16" s="13"/>
      <c r="QAC16" s="4"/>
      <c r="QAD16" s="12"/>
      <c r="QAE16" s="13"/>
      <c r="QAK16" s="4"/>
      <c r="QAL16" s="12"/>
      <c r="QAM16" s="13"/>
      <c r="QAS16" s="4"/>
      <c r="QAT16" s="12"/>
      <c r="QAU16" s="13"/>
      <c r="QBA16" s="4"/>
      <c r="QBB16" s="12"/>
      <c r="QBC16" s="13"/>
      <c r="QBI16" s="4"/>
      <c r="QBJ16" s="12"/>
      <c r="QBK16" s="13"/>
      <c r="QBQ16" s="4"/>
      <c r="QBR16" s="12"/>
      <c r="QBS16" s="13"/>
      <c r="QBY16" s="4"/>
      <c r="QBZ16" s="12"/>
      <c r="QCA16" s="13"/>
      <c r="QCG16" s="4"/>
      <c r="QCH16" s="12"/>
      <c r="QCI16" s="13"/>
      <c r="QCO16" s="4"/>
      <c r="QCP16" s="12"/>
      <c r="QCQ16" s="13"/>
      <c r="QCW16" s="4"/>
      <c r="QCX16" s="12"/>
      <c r="QCY16" s="13"/>
      <c r="QDE16" s="4"/>
      <c r="QDF16" s="12"/>
      <c r="QDG16" s="13"/>
      <c r="QDM16" s="4"/>
      <c r="QDN16" s="12"/>
      <c r="QDO16" s="13"/>
      <c r="QDU16" s="4"/>
      <c r="QDV16" s="12"/>
      <c r="QDW16" s="13"/>
      <c r="QEC16" s="4"/>
      <c r="QED16" s="12"/>
      <c r="QEE16" s="13"/>
      <c r="QEK16" s="4"/>
      <c r="QEL16" s="12"/>
      <c r="QEM16" s="13"/>
      <c r="QES16" s="4"/>
      <c r="QET16" s="12"/>
      <c r="QEU16" s="13"/>
      <c r="QFA16" s="4"/>
      <c r="QFB16" s="12"/>
      <c r="QFC16" s="13"/>
      <c r="QFI16" s="4"/>
      <c r="QFJ16" s="12"/>
      <c r="QFK16" s="13"/>
      <c r="QFQ16" s="4"/>
      <c r="QFR16" s="12"/>
      <c r="QFS16" s="13"/>
      <c r="QFY16" s="4"/>
      <c r="QFZ16" s="12"/>
      <c r="QGA16" s="13"/>
      <c r="QGG16" s="4"/>
      <c r="QGH16" s="12"/>
      <c r="QGI16" s="13"/>
      <c r="QGO16" s="4"/>
      <c r="QGP16" s="12"/>
      <c r="QGQ16" s="13"/>
      <c r="QGW16" s="4"/>
      <c r="QGX16" s="12"/>
      <c r="QGY16" s="13"/>
      <c r="QHE16" s="4"/>
      <c r="QHF16" s="12"/>
      <c r="QHG16" s="13"/>
      <c r="QHM16" s="4"/>
      <c r="QHN16" s="12"/>
      <c r="QHO16" s="13"/>
      <c r="QHU16" s="4"/>
      <c r="QHV16" s="12"/>
      <c r="QHW16" s="13"/>
      <c r="QIC16" s="4"/>
      <c r="QID16" s="12"/>
      <c r="QIE16" s="13"/>
      <c r="QIK16" s="4"/>
      <c r="QIL16" s="12"/>
      <c r="QIM16" s="13"/>
      <c r="QIS16" s="4"/>
      <c r="QIT16" s="12"/>
      <c r="QIU16" s="13"/>
      <c r="QJA16" s="4"/>
      <c r="QJB16" s="12"/>
      <c r="QJC16" s="13"/>
      <c r="QJI16" s="4"/>
      <c r="QJJ16" s="12"/>
      <c r="QJK16" s="13"/>
      <c r="QJQ16" s="4"/>
      <c r="QJR16" s="12"/>
      <c r="QJS16" s="13"/>
      <c r="QJY16" s="4"/>
      <c r="QJZ16" s="12"/>
      <c r="QKA16" s="13"/>
      <c r="QKG16" s="4"/>
      <c r="QKH16" s="12"/>
      <c r="QKI16" s="13"/>
      <c r="QKO16" s="4"/>
      <c r="QKP16" s="12"/>
      <c r="QKQ16" s="13"/>
      <c r="QKW16" s="4"/>
      <c r="QKX16" s="12"/>
      <c r="QKY16" s="13"/>
      <c r="QLE16" s="4"/>
      <c r="QLF16" s="12"/>
      <c r="QLG16" s="13"/>
      <c r="QLM16" s="4"/>
      <c r="QLN16" s="12"/>
      <c r="QLO16" s="13"/>
      <c r="QLU16" s="4"/>
      <c r="QLV16" s="12"/>
      <c r="QLW16" s="13"/>
      <c r="QMC16" s="4"/>
      <c r="QMD16" s="12"/>
      <c r="QME16" s="13"/>
      <c r="QMK16" s="4"/>
      <c r="QML16" s="12"/>
      <c r="QMM16" s="13"/>
      <c r="QMS16" s="4"/>
      <c r="QMT16" s="12"/>
      <c r="QMU16" s="13"/>
      <c r="QNA16" s="4"/>
      <c r="QNB16" s="12"/>
      <c r="QNC16" s="13"/>
      <c r="QNI16" s="4"/>
      <c r="QNJ16" s="12"/>
      <c r="QNK16" s="13"/>
      <c r="QNQ16" s="4"/>
      <c r="QNR16" s="12"/>
      <c r="QNS16" s="13"/>
      <c r="QNY16" s="4"/>
      <c r="QNZ16" s="12"/>
      <c r="QOA16" s="13"/>
      <c r="QOG16" s="4"/>
      <c r="QOH16" s="12"/>
      <c r="QOI16" s="13"/>
      <c r="QOO16" s="4"/>
      <c r="QOP16" s="12"/>
      <c r="QOQ16" s="13"/>
      <c r="QOW16" s="4"/>
      <c r="QOX16" s="12"/>
      <c r="QOY16" s="13"/>
      <c r="QPE16" s="4"/>
      <c r="QPF16" s="12"/>
      <c r="QPG16" s="13"/>
      <c r="QPM16" s="4"/>
      <c r="QPN16" s="12"/>
      <c r="QPO16" s="13"/>
      <c r="QPU16" s="4"/>
      <c r="QPV16" s="12"/>
      <c r="QPW16" s="13"/>
      <c r="QQC16" s="4"/>
      <c r="QQD16" s="12"/>
      <c r="QQE16" s="13"/>
      <c r="QQK16" s="4"/>
      <c r="QQL16" s="12"/>
      <c r="QQM16" s="13"/>
      <c r="QQS16" s="4"/>
      <c r="QQT16" s="12"/>
      <c r="QQU16" s="13"/>
      <c r="QRA16" s="4"/>
      <c r="QRB16" s="12"/>
      <c r="QRC16" s="13"/>
      <c r="QRI16" s="4"/>
      <c r="QRJ16" s="12"/>
      <c r="QRK16" s="13"/>
      <c r="QRQ16" s="4"/>
      <c r="QRR16" s="12"/>
      <c r="QRS16" s="13"/>
      <c r="QRY16" s="4"/>
      <c r="QRZ16" s="12"/>
      <c r="QSA16" s="13"/>
      <c r="QSG16" s="4"/>
      <c r="QSH16" s="12"/>
      <c r="QSI16" s="13"/>
      <c r="QSO16" s="4"/>
      <c r="QSP16" s="12"/>
      <c r="QSQ16" s="13"/>
      <c r="QSW16" s="4"/>
      <c r="QSX16" s="12"/>
      <c r="QSY16" s="13"/>
      <c r="QTE16" s="4"/>
      <c r="QTF16" s="12"/>
      <c r="QTG16" s="13"/>
      <c r="QTM16" s="4"/>
      <c r="QTN16" s="12"/>
      <c r="QTO16" s="13"/>
      <c r="QTU16" s="4"/>
      <c r="QTV16" s="12"/>
      <c r="QTW16" s="13"/>
      <c r="QUC16" s="4"/>
      <c r="QUD16" s="12"/>
      <c r="QUE16" s="13"/>
      <c r="QUK16" s="4"/>
      <c r="QUL16" s="12"/>
      <c r="QUM16" s="13"/>
      <c r="QUS16" s="4"/>
      <c r="QUT16" s="12"/>
      <c r="QUU16" s="13"/>
      <c r="QVA16" s="4"/>
      <c r="QVB16" s="12"/>
      <c r="QVC16" s="13"/>
      <c r="QVI16" s="4"/>
      <c r="QVJ16" s="12"/>
      <c r="QVK16" s="13"/>
      <c r="QVQ16" s="4"/>
      <c r="QVR16" s="12"/>
      <c r="QVS16" s="13"/>
      <c r="QVY16" s="4"/>
      <c r="QVZ16" s="12"/>
      <c r="QWA16" s="13"/>
      <c r="QWG16" s="4"/>
      <c r="QWH16" s="12"/>
      <c r="QWI16" s="13"/>
      <c r="QWO16" s="4"/>
      <c r="QWP16" s="12"/>
      <c r="QWQ16" s="13"/>
      <c r="QWW16" s="4"/>
      <c r="QWX16" s="12"/>
      <c r="QWY16" s="13"/>
      <c r="QXE16" s="4"/>
      <c r="QXF16" s="12"/>
      <c r="QXG16" s="13"/>
      <c r="QXM16" s="4"/>
      <c r="QXN16" s="12"/>
      <c r="QXO16" s="13"/>
      <c r="QXU16" s="4"/>
      <c r="QXV16" s="12"/>
      <c r="QXW16" s="13"/>
      <c r="QYC16" s="4"/>
      <c r="QYD16" s="12"/>
      <c r="QYE16" s="13"/>
      <c r="QYK16" s="4"/>
      <c r="QYL16" s="12"/>
      <c r="QYM16" s="13"/>
      <c r="QYS16" s="4"/>
      <c r="QYT16" s="12"/>
      <c r="QYU16" s="13"/>
      <c r="QZA16" s="4"/>
      <c r="QZB16" s="12"/>
      <c r="QZC16" s="13"/>
      <c r="QZI16" s="4"/>
      <c r="QZJ16" s="12"/>
      <c r="QZK16" s="13"/>
      <c r="QZQ16" s="4"/>
      <c r="QZR16" s="12"/>
      <c r="QZS16" s="13"/>
      <c r="QZY16" s="4"/>
      <c r="QZZ16" s="12"/>
      <c r="RAA16" s="13"/>
      <c r="RAG16" s="4"/>
      <c r="RAH16" s="12"/>
      <c r="RAI16" s="13"/>
      <c r="RAO16" s="4"/>
      <c r="RAP16" s="12"/>
      <c r="RAQ16" s="13"/>
      <c r="RAW16" s="4"/>
      <c r="RAX16" s="12"/>
      <c r="RAY16" s="13"/>
      <c r="RBE16" s="4"/>
      <c r="RBF16" s="12"/>
      <c r="RBG16" s="13"/>
      <c r="RBM16" s="4"/>
      <c r="RBN16" s="12"/>
      <c r="RBO16" s="13"/>
      <c r="RBU16" s="4"/>
      <c r="RBV16" s="12"/>
      <c r="RBW16" s="13"/>
      <c r="RCC16" s="4"/>
      <c r="RCD16" s="12"/>
      <c r="RCE16" s="13"/>
      <c r="RCK16" s="4"/>
      <c r="RCL16" s="12"/>
      <c r="RCM16" s="13"/>
      <c r="RCS16" s="4"/>
      <c r="RCT16" s="12"/>
      <c r="RCU16" s="13"/>
      <c r="RDA16" s="4"/>
      <c r="RDB16" s="12"/>
      <c r="RDC16" s="13"/>
      <c r="RDI16" s="4"/>
      <c r="RDJ16" s="12"/>
      <c r="RDK16" s="13"/>
      <c r="RDQ16" s="4"/>
      <c r="RDR16" s="12"/>
      <c r="RDS16" s="13"/>
      <c r="RDY16" s="4"/>
      <c r="RDZ16" s="12"/>
      <c r="REA16" s="13"/>
      <c r="REG16" s="4"/>
      <c r="REH16" s="12"/>
      <c r="REI16" s="13"/>
      <c r="REO16" s="4"/>
      <c r="REP16" s="12"/>
      <c r="REQ16" s="13"/>
      <c r="REW16" s="4"/>
      <c r="REX16" s="12"/>
      <c r="REY16" s="13"/>
      <c r="RFE16" s="4"/>
      <c r="RFF16" s="12"/>
      <c r="RFG16" s="13"/>
      <c r="RFM16" s="4"/>
      <c r="RFN16" s="12"/>
      <c r="RFO16" s="13"/>
      <c r="RFU16" s="4"/>
      <c r="RFV16" s="12"/>
      <c r="RFW16" s="13"/>
      <c r="RGC16" s="4"/>
      <c r="RGD16" s="12"/>
      <c r="RGE16" s="13"/>
      <c r="RGK16" s="4"/>
      <c r="RGL16" s="12"/>
      <c r="RGM16" s="13"/>
      <c r="RGS16" s="4"/>
      <c r="RGT16" s="12"/>
      <c r="RGU16" s="13"/>
      <c r="RHA16" s="4"/>
      <c r="RHB16" s="12"/>
      <c r="RHC16" s="13"/>
      <c r="RHI16" s="4"/>
      <c r="RHJ16" s="12"/>
      <c r="RHK16" s="13"/>
      <c r="RHQ16" s="4"/>
      <c r="RHR16" s="12"/>
      <c r="RHS16" s="13"/>
      <c r="RHY16" s="4"/>
      <c r="RHZ16" s="12"/>
      <c r="RIA16" s="13"/>
      <c r="RIG16" s="4"/>
      <c r="RIH16" s="12"/>
      <c r="RII16" s="13"/>
      <c r="RIO16" s="4"/>
      <c r="RIP16" s="12"/>
      <c r="RIQ16" s="13"/>
      <c r="RIW16" s="4"/>
      <c r="RIX16" s="12"/>
      <c r="RIY16" s="13"/>
      <c r="RJE16" s="4"/>
      <c r="RJF16" s="12"/>
      <c r="RJG16" s="13"/>
      <c r="RJM16" s="4"/>
      <c r="RJN16" s="12"/>
      <c r="RJO16" s="13"/>
      <c r="RJU16" s="4"/>
      <c r="RJV16" s="12"/>
      <c r="RJW16" s="13"/>
      <c r="RKC16" s="4"/>
      <c r="RKD16" s="12"/>
      <c r="RKE16" s="13"/>
      <c r="RKK16" s="4"/>
      <c r="RKL16" s="12"/>
      <c r="RKM16" s="13"/>
      <c r="RKS16" s="4"/>
      <c r="RKT16" s="12"/>
      <c r="RKU16" s="13"/>
      <c r="RLA16" s="4"/>
      <c r="RLB16" s="12"/>
      <c r="RLC16" s="13"/>
      <c r="RLI16" s="4"/>
      <c r="RLJ16" s="12"/>
      <c r="RLK16" s="13"/>
      <c r="RLQ16" s="4"/>
      <c r="RLR16" s="12"/>
      <c r="RLS16" s="13"/>
      <c r="RLY16" s="4"/>
      <c r="RLZ16" s="12"/>
      <c r="RMA16" s="13"/>
      <c r="RMG16" s="4"/>
      <c r="RMH16" s="12"/>
      <c r="RMI16" s="13"/>
      <c r="RMO16" s="4"/>
      <c r="RMP16" s="12"/>
      <c r="RMQ16" s="13"/>
      <c r="RMW16" s="4"/>
      <c r="RMX16" s="12"/>
      <c r="RMY16" s="13"/>
      <c r="RNE16" s="4"/>
      <c r="RNF16" s="12"/>
      <c r="RNG16" s="13"/>
      <c r="RNM16" s="4"/>
      <c r="RNN16" s="12"/>
      <c r="RNO16" s="13"/>
      <c r="RNU16" s="4"/>
      <c r="RNV16" s="12"/>
      <c r="RNW16" s="13"/>
      <c r="ROC16" s="4"/>
      <c r="ROD16" s="12"/>
      <c r="ROE16" s="13"/>
      <c r="ROK16" s="4"/>
      <c r="ROL16" s="12"/>
      <c r="ROM16" s="13"/>
      <c r="ROS16" s="4"/>
      <c r="ROT16" s="12"/>
      <c r="ROU16" s="13"/>
      <c r="RPA16" s="4"/>
      <c r="RPB16" s="12"/>
      <c r="RPC16" s="13"/>
      <c r="RPI16" s="4"/>
      <c r="RPJ16" s="12"/>
      <c r="RPK16" s="13"/>
      <c r="RPQ16" s="4"/>
      <c r="RPR16" s="12"/>
      <c r="RPS16" s="13"/>
      <c r="RPY16" s="4"/>
      <c r="RPZ16" s="12"/>
      <c r="RQA16" s="13"/>
      <c r="RQG16" s="4"/>
      <c r="RQH16" s="12"/>
      <c r="RQI16" s="13"/>
      <c r="RQO16" s="4"/>
      <c r="RQP16" s="12"/>
      <c r="RQQ16" s="13"/>
      <c r="RQW16" s="4"/>
      <c r="RQX16" s="12"/>
      <c r="RQY16" s="13"/>
      <c r="RRE16" s="4"/>
      <c r="RRF16" s="12"/>
      <c r="RRG16" s="13"/>
      <c r="RRM16" s="4"/>
      <c r="RRN16" s="12"/>
      <c r="RRO16" s="13"/>
      <c r="RRU16" s="4"/>
      <c r="RRV16" s="12"/>
      <c r="RRW16" s="13"/>
      <c r="RSC16" s="4"/>
      <c r="RSD16" s="12"/>
      <c r="RSE16" s="13"/>
      <c r="RSK16" s="4"/>
      <c r="RSL16" s="12"/>
      <c r="RSM16" s="13"/>
      <c r="RSS16" s="4"/>
      <c r="RST16" s="12"/>
      <c r="RSU16" s="13"/>
      <c r="RTA16" s="4"/>
      <c r="RTB16" s="12"/>
      <c r="RTC16" s="13"/>
      <c r="RTI16" s="4"/>
      <c r="RTJ16" s="12"/>
      <c r="RTK16" s="13"/>
      <c r="RTQ16" s="4"/>
      <c r="RTR16" s="12"/>
      <c r="RTS16" s="13"/>
      <c r="RTY16" s="4"/>
      <c r="RTZ16" s="12"/>
      <c r="RUA16" s="13"/>
      <c r="RUG16" s="4"/>
      <c r="RUH16" s="12"/>
      <c r="RUI16" s="13"/>
      <c r="RUO16" s="4"/>
      <c r="RUP16" s="12"/>
      <c r="RUQ16" s="13"/>
      <c r="RUW16" s="4"/>
      <c r="RUX16" s="12"/>
      <c r="RUY16" s="13"/>
      <c r="RVE16" s="4"/>
      <c r="RVF16" s="12"/>
      <c r="RVG16" s="13"/>
      <c r="RVM16" s="4"/>
      <c r="RVN16" s="12"/>
      <c r="RVO16" s="13"/>
      <c r="RVU16" s="4"/>
      <c r="RVV16" s="12"/>
      <c r="RVW16" s="13"/>
      <c r="RWC16" s="4"/>
      <c r="RWD16" s="12"/>
      <c r="RWE16" s="13"/>
      <c r="RWK16" s="4"/>
      <c r="RWL16" s="12"/>
      <c r="RWM16" s="13"/>
      <c r="RWS16" s="4"/>
      <c r="RWT16" s="12"/>
      <c r="RWU16" s="13"/>
      <c r="RXA16" s="4"/>
      <c r="RXB16" s="12"/>
      <c r="RXC16" s="13"/>
      <c r="RXI16" s="4"/>
      <c r="RXJ16" s="12"/>
      <c r="RXK16" s="13"/>
      <c r="RXQ16" s="4"/>
      <c r="RXR16" s="12"/>
      <c r="RXS16" s="13"/>
      <c r="RXY16" s="4"/>
      <c r="RXZ16" s="12"/>
      <c r="RYA16" s="13"/>
      <c r="RYG16" s="4"/>
      <c r="RYH16" s="12"/>
      <c r="RYI16" s="13"/>
      <c r="RYO16" s="4"/>
      <c r="RYP16" s="12"/>
      <c r="RYQ16" s="13"/>
      <c r="RYW16" s="4"/>
      <c r="RYX16" s="12"/>
      <c r="RYY16" s="13"/>
      <c r="RZE16" s="4"/>
      <c r="RZF16" s="12"/>
      <c r="RZG16" s="13"/>
      <c r="RZM16" s="4"/>
      <c r="RZN16" s="12"/>
      <c r="RZO16" s="13"/>
      <c r="RZU16" s="4"/>
      <c r="RZV16" s="12"/>
      <c r="RZW16" s="13"/>
      <c r="SAC16" s="4"/>
      <c r="SAD16" s="12"/>
      <c r="SAE16" s="13"/>
      <c r="SAK16" s="4"/>
      <c r="SAL16" s="12"/>
      <c r="SAM16" s="13"/>
      <c r="SAS16" s="4"/>
      <c r="SAT16" s="12"/>
      <c r="SAU16" s="13"/>
      <c r="SBA16" s="4"/>
      <c r="SBB16" s="12"/>
      <c r="SBC16" s="13"/>
      <c r="SBI16" s="4"/>
      <c r="SBJ16" s="12"/>
      <c r="SBK16" s="13"/>
      <c r="SBQ16" s="4"/>
      <c r="SBR16" s="12"/>
      <c r="SBS16" s="13"/>
      <c r="SBY16" s="4"/>
      <c r="SBZ16" s="12"/>
      <c r="SCA16" s="13"/>
      <c r="SCG16" s="4"/>
      <c r="SCH16" s="12"/>
      <c r="SCI16" s="13"/>
      <c r="SCO16" s="4"/>
      <c r="SCP16" s="12"/>
      <c r="SCQ16" s="13"/>
      <c r="SCW16" s="4"/>
      <c r="SCX16" s="12"/>
      <c r="SCY16" s="13"/>
      <c r="SDE16" s="4"/>
      <c r="SDF16" s="12"/>
      <c r="SDG16" s="13"/>
      <c r="SDM16" s="4"/>
      <c r="SDN16" s="12"/>
      <c r="SDO16" s="13"/>
      <c r="SDU16" s="4"/>
      <c r="SDV16" s="12"/>
      <c r="SDW16" s="13"/>
      <c r="SEC16" s="4"/>
      <c r="SED16" s="12"/>
      <c r="SEE16" s="13"/>
      <c r="SEK16" s="4"/>
      <c r="SEL16" s="12"/>
      <c r="SEM16" s="13"/>
      <c r="SES16" s="4"/>
      <c r="SET16" s="12"/>
      <c r="SEU16" s="13"/>
      <c r="SFA16" s="4"/>
      <c r="SFB16" s="12"/>
      <c r="SFC16" s="13"/>
      <c r="SFI16" s="4"/>
      <c r="SFJ16" s="12"/>
      <c r="SFK16" s="13"/>
      <c r="SFQ16" s="4"/>
      <c r="SFR16" s="12"/>
      <c r="SFS16" s="13"/>
      <c r="SFY16" s="4"/>
      <c r="SFZ16" s="12"/>
      <c r="SGA16" s="13"/>
      <c r="SGG16" s="4"/>
      <c r="SGH16" s="12"/>
      <c r="SGI16" s="13"/>
      <c r="SGO16" s="4"/>
      <c r="SGP16" s="12"/>
      <c r="SGQ16" s="13"/>
      <c r="SGW16" s="4"/>
      <c r="SGX16" s="12"/>
      <c r="SGY16" s="13"/>
      <c r="SHE16" s="4"/>
      <c r="SHF16" s="12"/>
      <c r="SHG16" s="13"/>
      <c r="SHM16" s="4"/>
      <c r="SHN16" s="12"/>
      <c r="SHO16" s="13"/>
      <c r="SHU16" s="4"/>
      <c r="SHV16" s="12"/>
      <c r="SHW16" s="13"/>
      <c r="SIC16" s="4"/>
      <c r="SID16" s="12"/>
      <c r="SIE16" s="13"/>
      <c r="SIK16" s="4"/>
      <c r="SIL16" s="12"/>
      <c r="SIM16" s="13"/>
      <c r="SIS16" s="4"/>
      <c r="SIT16" s="12"/>
      <c r="SIU16" s="13"/>
      <c r="SJA16" s="4"/>
      <c r="SJB16" s="12"/>
      <c r="SJC16" s="13"/>
      <c r="SJI16" s="4"/>
      <c r="SJJ16" s="12"/>
      <c r="SJK16" s="13"/>
      <c r="SJQ16" s="4"/>
      <c r="SJR16" s="12"/>
      <c r="SJS16" s="13"/>
      <c r="SJY16" s="4"/>
      <c r="SJZ16" s="12"/>
      <c r="SKA16" s="13"/>
      <c r="SKG16" s="4"/>
      <c r="SKH16" s="12"/>
      <c r="SKI16" s="13"/>
      <c r="SKO16" s="4"/>
      <c r="SKP16" s="12"/>
      <c r="SKQ16" s="13"/>
      <c r="SKW16" s="4"/>
      <c r="SKX16" s="12"/>
      <c r="SKY16" s="13"/>
      <c r="SLE16" s="4"/>
      <c r="SLF16" s="12"/>
      <c r="SLG16" s="13"/>
      <c r="SLM16" s="4"/>
      <c r="SLN16" s="12"/>
      <c r="SLO16" s="13"/>
      <c r="SLU16" s="4"/>
      <c r="SLV16" s="12"/>
      <c r="SLW16" s="13"/>
      <c r="SMC16" s="4"/>
      <c r="SMD16" s="12"/>
      <c r="SME16" s="13"/>
      <c r="SMK16" s="4"/>
      <c r="SML16" s="12"/>
      <c r="SMM16" s="13"/>
      <c r="SMS16" s="4"/>
      <c r="SMT16" s="12"/>
      <c r="SMU16" s="13"/>
      <c r="SNA16" s="4"/>
      <c r="SNB16" s="12"/>
      <c r="SNC16" s="13"/>
      <c r="SNI16" s="4"/>
      <c r="SNJ16" s="12"/>
      <c r="SNK16" s="13"/>
      <c r="SNQ16" s="4"/>
      <c r="SNR16" s="12"/>
      <c r="SNS16" s="13"/>
      <c r="SNY16" s="4"/>
      <c r="SNZ16" s="12"/>
      <c r="SOA16" s="13"/>
      <c r="SOG16" s="4"/>
      <c r="SOH16" s="12"/>
      <c r="SOI16" s="13"/>
      <c r="SOO16" s="4"/>
      <c r="SOP16" s="12"/>
      <c r="SOQ16" s="13"/>
      <c r="SOW16" s="4"/>
      <c r="SOX16" s="12"/>
      <c r="SOY16" s="13"/>
      <c r="SPE16" s="4"/>
      <c r="SPF16" s="12"/>
      <c r="SPG16" s="13"/>
      <c r="SPM16" s="4"/>
      <c r="SPN16" s="12"/>
      <c r="SPO16" s="13"/>
      <c r="SPU16" s="4"/>
      <c r="SPV16" s="12"/>
      <c r="SPW16" s="13"/>
      <c r="SQC16" s="4"/>
      <c r="SQD16" s="12"/>
      <c r="SQE16" s="13"/>
      <c r="SQK16" s="4"/>
      <c r="SQL16" s="12"/>
      <c r="SQM16" s="13"/>
      <c r="SQS16" s="4"/>
      <c r="SQT16" s="12"/>
      <c r="SQU16" s="13"/>
      <c r="SRA16" s="4"/>
      <c r="SRB16" s="12"/>
      <c r="SRC16" s="13"/>
      <c r="SRI16" s="4"/>
      <c r="SRJ16" s="12"/>
      <c r="SRK16" s="13"/>
      <c r="SRQ16" s="4"/>
      <c r="SRR16" s="12"/>
      <c r="SRS16" s="13"/>
      <c r="SRY16" s="4"/>
      <c r="SRZ16" s="12"/>
      <c r="SSA16" s="13"/>
      <c r="SSG16" s="4"/>
      <c r="SSH16" s="12"/>
      <c r="SSI16" s="13"/>
      <c r="SSO16" s="4"/>
      <c r="SSP16" s="12"/>
      <c r="SSQ16" s="13"/>
      <c r="SSW16" s="4"/>
      <c r="SSX16" s="12"/>
      <c r="SSY16" s="13"/>
      <c r="STE16" s="4"/>
      <c r="STF16" s="12"/>
      <c r="STG16" s="13"/>
      <c r="STM16" s="4"/>
      <c r="STN16" s="12"/>
      <c r="STO16" s="13"/>
      <c r="STU16" s="4"/>
      <c r="STV16" s="12"/>
      <c r="STW16" s="13"/>
      <c r="SUC16" s="4"/>
      <c r="SUD16" s="12"/>
      <c r="SUE16" s="13"/>
      <c r="SUK16" s="4"/>
      <c r="SUL16" s="12"/>
      <c r="SUM16" s="13"/>
      <c r="SUS16" s="4"/>
      <c r="SUT16" s="12"/>
      <c r="SUU16" s="13"/>
      <c r="SVA16" s="4"/>
      <c r="SVB16" s="12"/>
      <c r="SVC16" s="13"/>
      <c r="SVI16" s="4"/>
      <c r="SVJ16" s="12"/>
      <c r="SVK16" s="13"/>
      <c r="SVQ16" s="4"/>
      <c r="SVR16" s="12"/>
      <c r="SVS16" s="13"/>
      <c r="SVY16" s="4"/>
      <c r="SVZ16" s="12"/>
      <c r="SWA16" s="13"/>
      <c r="SWG16" s="4"/>
      <c r="SWH16" s="12"/>
      <c r="SWI16" s="13"/>
      <c r="SWO16" s="4"/>
      <c r="SWP16" s="12"/>
      <c r="SWQ16" s="13"/>
      <c r="SWW16" s="4"/>
      <c r="SWX16" s="12"/>
      <c r="SWY16" s="13"/>
      <c r="SXE16" s="4"/>
      <c r="SXF16" s="12"/>
      <c r="SXG16" s="13"/>
      <c r="SXM16" s="4"/>
      <c r="SXN16" s="12"/>
      <c r="SXO16" s="13"/>
      <c r="SXU16" s="4"/>
      <c r="SXV16" s="12"/>
      <c r="SXW16" s="13"/>
      <c r="SYC16" s="4"/>
      <c r="SYD16" s="12"/>
      <c r="SYE16" s="13"/>
      <c r="SYK16" s="4"/>
      <c r="SYL16" s="12"/>
      <c r="SYM16" s="13"/>
      <c r="SYS16" s="4"/>
      <c r="SYT16" s="12"/>
      <c r="SYU16" s="13"/>
      <c r="SZA16" s="4"/>
      <c r="SZB16" s="12"/>
      <c r="SZC16" s="13"/>
      <c r="SZI16" s="4"/>
      <c r="SZJ16" s="12"/>
      <c r="SZK16" s="13"/>
      <c r="SZQ16" s="4"/>
      <c r="SZR16" s="12"/>
      <c r="SZS16" s="13"/>
      <c r="SZY16" s="4"/>
      <c r="SZZ16" s="12"/>
      <c r="TAA16" s="13"/>
      <c r="TAG16" s="4"/>
      <c r="TAH16" s="12"/>
      <c r="TAI16" s="13"/>
      <c r="TAO16" s="4"/>
      <c r="TAP16" s="12"/>
      <c r="TAQ16" s="13"/>
      <c r="TAW16" s="4"/>
      <c r="TAX16" s="12"/>
      <c r="TAY16" s="13"/>
      <c r="TBE16" s="4"/>
      <c r="TBF16" s="12"/>
      <c r="TBG16" s="13"/>
      <c r="TBM16" s="4"/>
      <c r="TBN16" s="12"/>
      <c r="TBO16" s="13"/>
      <c r="TBU16" s="4"/>
      <c r="TBV16" s="12"/>
      <c r="TBW16" s="13"/>
      <c r="TCC16" s="4"/>
      <c r="TCD16" s="12"/>
      <c r="TCE16" s="13"/>
      <c r="TCK16" s="4"/>
      <c r="TCL16" s="12"/>
      <c r="TCM16" s="13"/>
      <c r="TCS16" s="4"/>
      <c r="TCT16" s="12"/>
      <c r="TCU16" s="13"/>
      <c r="TDA16" s="4"/>
      <c r="TDB16" s="12"/>
      <c r="TDC16" s="13"/>
      <c r="TDI16" s="4"/>
      <c r="TDJ16" s="12"/>
      <c r="TDK16" s="13"/>
      <c r="TDQ16" s="4"/>
      <c r="TDR16" s="12"/>
      <c r="TDS16" s="13"/>
      <c r="TDY16" s="4"/>
      <c r="TDZ16" s="12"/>
      <c r="TEA16" s="13"/>
      <c r="TEG16" s="4"/>
      <c r="TEH16" s="12"/>
      <c r="TEI16" s="13"/>
      <c r="TEO16" s="4"/>
      <c r="TEP16" s="12"/>
      <c r="TEQ16" s="13"/>
      <c r="TEW16" s="4"/>
      <c r="TEX16" s="12"/>
      <c r="TEY16" s="13"/>
      <c r="TFE16" s="4"/>
      <c r="TFF16" s="12"/>
      <c r="TFG16" s="13"/>
      <c r="TFM16" s="4"/>
      <c r="TFN16" s="12"/>
      <c r="TFO16" s="13"/>
      <c r="TFU16" s="4"/>
      <c r="TFV16" s="12"/>
      <c r="TFW16" s="13"/>
      <c r="TGC16" s="4"/>
      <c r="TGD16" s="12"/>
      <c r="TGE16" s="13"/>
      <c r="TGK16" s="4"/>
      <c r="TGL16" s="12"/>
      <c r="TGM16" s="13"/>
      <c r="TGS16" s="4"/>
      <c r="TGT16" s="12"/>
      <c r="TGU16" s="13"/>
      <c r="THA16" s="4"/>
      <c r="THB16" s="12"/>
      <c r="THC16" s="13"/>
      <c r="THI16" s="4"/>
      <c r="THJ16" s="12"/>
      <c r="THK16" s="13"/>
      <c r="THQ16" s="4"/>
      <c r="THR16" s="12"/>
      <c r="THS16" s="13"/>
      <c r="THY16" s="4"/>
      <c r="THZ16" s="12"/>
      <c r="TIA16" s="13"/>
      <c r="TIG16" s="4"/>
      <c r="TIH16" s="12"/>
      <c r="TII16" s="13"/>
      <c r="TIO16" s="4"/>
      <c r="TIP16" s="12"/>
      <c r="TIQ16" s="13"/>
      <c r="TIW16" s="4"/>
      <c r="TIX16" s="12"/>
      <c r="TIY16" s="13"/>
      <c r="TJE16" s="4"/>
      <c r="TJF16" s="12"/>
      <c r="TJG16" s="13"/>
      <c r="TJM16" s="4"/>
      <c r="TJN16" s="12"/>
      <c r="TJO16" s="13"/>
      <c r="TJU16" s="4"/>
      <c r="TJV16" s="12"/>
      <c r="TJW16" s="13"/>
      <c r="TKC16" s="4"/>
      <c r="TKD16" s="12"/>
      <c r="TKE16" s="13"/>
      <c r="TKK16" s="4"/>
      <c r="TKL16" s="12"/>
      <c r="TKM16" s="13"/>
      <c r="TKS16" s="4"/>
      <c r="TKT16" s="12"/>
      <c r="TKU16" s="13"/>
      <c r="TLA16" s="4"/>
      <c r="TLB16" s="12"/>
      <c r="TLC16" s="13"/>
      <c r="TLI16" s="4"/>
      <c r="TLJ16" s="12"/>
      <c r="TLK16" s="13"/>
      <c r="TLQ16" s="4"/>
      <c r="TLR16" s="12"/>
      <c r="TLS16" s="13"/>
      <c r="TLY16" s="4"/>
      <c r="TLZ16" s="12"/>
      <c r="TMA16" s="13"/>
      <c r="TMG16" s="4"/>
      <c r="TMH16" s="12"/>
      <c r="TMI16" s="13"/>
      <c r="TMO16" s="4"/>
      <c r="TMP16" s="12"/>
      <c r="TMQ16" s="13"/>
      <c r="TMW16" s="4"/>
      <c r="TMX16" s="12"/>
      <c r="TMY16" s="13"/>
      <c r="TNE16" s="4"/>
      <c r="TNF16" s="12"/>
      <c r="TNG16" s="13"/>
      <c r="TNM16" s="4"/>
      <c r="TNN16" s="12"/>
      <c r="TNO16" s="13"/>
      <c r="TNU16" s="4"/>
      <c r="TNV16" s="12"/>
      <c r="TNW16" s="13"/>
      <c r="TOC16" s="4"/>
      <c r="TOD16" s="12"/>
      <c r="TOE16" s="13"/>
      <c r="TOK16" s="4"/>
      <c r="TOL16" s="12"/>
      <c r="TOM16" s="13"/>
      <c r="TOS16" s="4"/>
      <c r="TOT16" s="12"/>
      <c r="TOU16" s="13"/>
      <c r="TPA16" s="4"/>
      <c r="TPB16" s="12"/>
      <c r="TPC16" s="13"/>
      <c r="TPI16" s="4"/>
      <c r="TPJ16" s="12"/>
      <c r="TPK16" s="13"/>
      <c r="TPQ16" s="4"/>
      <c r="TPR16" s="12"/>
      <c r="TPS16" s="13"/>
      <c r="TPY16" s="4"/>
      <c r="TPZ16" s="12"/>
      <c r="TQA16" s="13"/>
      <c r="TQG16" s="4"/>
      <c r="TQH16" s="12"/>
      <c r="TQI16" s="13"/>
      <c r="TQO16" s="4"/>
      <c r="TQP16" s="12"/>
      <c r="TQQ16" s="13"/>
      <c r="TQW16" s="4"/>
      <c r="TQX16" s="12"/>
      <c r="TQY16" s="13"/>
      <c r="TRE16" s="4"/>
      <c r="TRF16" s="12"/>
      <c r="TRG16" s="13"/>
      <c r="TRM16" s="4"/>
      <c r="TRN16" s="12"/>
      <c r="TRO16" s="13"/>
      <c r="TRU16" s="4"/>
      <c r="TRV16" s="12"/>
      <c r="TRW16" s="13"/>
      <c r="TSC16" s="4"/>
      <c r="TSD16" s="12"/>
      <c r="TSE16" s="13"/>
      <c r="TSK16" s="4"/>
      <c r="TSL16" s="12"/>
      <c r="TSM16" s="13"/>
      <c r="TSS16" s="4"/>
      <c r="TST16" s="12"/>
      <c r="TSU16" s="13"/>
      <c r="TTA16" s="4"/>
      <c r="TTB16" s="12"/>
      <c r="TTC16" s="13"/>
      <c r="TTI16" s="4"/>
      <c r="TTJ16" s="12"/>
      <c r="TTK16" s="13"/>
      <c r="TTQ16" s="4"/>
      <c r="TTR16" s="12"/>
      <c r="TTS16" s="13"/>
      <c r="TTY16" s="4"/>
      <c r="TTZ16" s="12"/>
      <c r="TUA16" s="13"/>
      <c r="TUG16" s="4"/>
      <c r="TUH16" s="12"/>
      <c r="TUI16" s="13"/>
      <c r="TUO16" s="4"/>
      <c r="TUP16" s="12"/>
      <c r="TUQ16" s="13"/>
      <c r="TUW16" s="4"/>
      <c r="TUX16" s="12"/>
      <c r="TUY16" s="13"/>
      <c r="TVE16" s="4"/>
      <c r="TVF16" s="12"/>
      <c r="TVG16" s="13"/>
      <c r="TVM16" s="4"/>
      <c r="TVN16" s="12"/>
      <c r="TVO16" s="13"/>
      <c r="TVU16" s="4"/>
      <c r="TVV16" s="12"/>
      <c r="TVW16" s="13"/>
      <c r="TWC16" s="4"/>
      <c r="TWD16" s="12"/>
      <c r="TWE16" s="13"/>
      <c r="TWK16" s="4"/>
      <c r="TWL16" s="12"/>
      <c r="TWM16" s="13"/>
      <c r="TWS16" s="4"/>
      <c r="TWT16" s="12"/>
      <c r="TWU16" s="13"/>
      <c r="TXA16" s="4"/>
      <c r="TXB16" s="12"/>
      <c r="TXC16" s="13"/>
      <c r="TXI16" s="4"/>
      <c r="TXJ16" s="12"/>
      <c r="TXK16" s="13"/>
      <c r="TXQ16" s="4"/>
      <c r="TXR16" s="12"/>
      <c r="TXS16" s="13"/>
      <c r="TXY16" s="4"/>
      <c r="TXZ16" s="12"/>
      <c r="TYA16" s="13"/>
      <c r="TYG16" s="4"/>
      <c r="TYH16" s="12"/>
      <c r="TYI16" s="13"/>
      <c r="TYO16" s="4"/>
      <c r="TYP16" s="12"/>
      <c r="TYQ16" s="13"/>
      <c r="TYW16" s="4"/>
      <c r="TYX16" s="12"/>
      <c r="TYY16" s="13"/>
      <c r="TZE16" s="4"/>
      <c r="TZF16" s="12"/>
      <c r="TZG16" s="13"/>
      <c r="TZM16" s="4"/>
      <c r="TZN16" s="12"/>
      <c r="TZO16" s="13"/>
      <c r="TZU16" s="4"/>
      <c r="TZV16" s="12"/>
      <c r="TZW16" s="13"/>
      <c r="UAC16" s="4"/>
      <c r="UAD16" s="12"/>
      <c r="UAE16" s="13"/>
      <c r="UAK16" s="4"/>
      <c r="UAL16" s="12"/>
      <c r="UAM16" s="13"/>
      <c r="UAS16" s="4"/>
      <c r="UAT16" s="12"/>
      <c r="UAU16" s="13"/>
      <c r="UBA16" s="4"/>
      <c r="UBB16" s="12"/>
      <c r="UBC16" s="13"/>
      <c r="UBI16" s="4"/>
      <c r="UBJ16" s="12"/>
      <c r="UBK16" s="13"/>
      <c r="UBQ16" s="4"/>
      <c r="UBR16" s="12"/>
      <c r="UBS16" s="13"/>
      <c r="UBY16" s="4"/>
      <c r="UBZ16" s="12"/>
      <c r="UCA16" s="13"/>
      <c r="UCG16" s="4"/>
      <c r="UCH16" s="12"/>
      <c r="UCI16" s="13"/>
      <c r="UCO16" s="4"/>
      <c r="UCP16" s="12"/>
      <c r="UCQ16" s="13"/>
      <c r="UCW16" s="4"/>
      <c r="UCX16" s="12"/>
      <c r="UCY16" s="13"/>
      <c r="UDE16" s="4"/>
      <c r="UDF16" s="12"/>
      <c r="UDG16" s="13"/>
      <c r="UDM16" s="4"/>
      <c r="UDN16" s="12"/>
      <c r="UDO16" s="13"/>
      <c r="UDU16" s="4"/>
      <c r="UDV16" s="12"/>
      <c r="UDW16" s="13"/>
      <c r="UEC16" s="4"/>
      <c r="UED16" s="12"/>
      <c r="UEE16" s="13"/>
      <c r="UEK16" s="4"/>
      <c r="UEL16" s="12"/>
      <c r="UEM16" s="13"/>
      <c r="UES16" s="4"/>
      <c r="UET16" s="12"/>
      <c r="UEU16" s="13"/>
      <c r="UFA16" s="4"/>
      <c r="UFB16" s="12"/>
      <c r="UFC16" s="13"/>
      <c r="UFI16" s="4"/>
      <c r="UFJ16" s="12"/>
      <c r="UFK16" s="13"/>
      <c r="UFQ16" s="4"/>
      <c r="UFR16" s="12"/>
      <c r="UFS16" s="13"/>
      <c r="UFY16" s="4"/>
      <c r="UFZ16" s="12"/>
      <c r="UGA16" s="13"/>
      <c r="UGG16" s="4"/>
      <c r="UGH16" s="12"/>
      <c r="UGI16" s="13"/>
      <c r="UGO16" s="4"/>
      <c r="UGP16" s="12"/>
      <c r="UGQ16" s="13"/>
      <c r="UGW16" s="4"/>
      <c r="UGX16" s="12"/>
      <c r="UGY16" s="13"/>
      <c r="UHE16" s="4"/>
      <c r="UHF16" s="12"/>
      <c r="UHG16" s="13"/>
      <c r="UHM16" s="4"/>
      <c r="UHN16" s="12"/>
      <c r="UHO16" s="13"/>
      <c r="UHU16" s="4"/>
      <c r="UHV16" s="12"/>
      <c r="UHW16" s="13"/>
      <c r="UIC16" s="4"/>
      <c r="UID16" s="12"/>
      <c r="UIE16" s="13"/>
      <c r="UIK16" s="4"/>
      <c r="UIL16" s="12"/>
      <c r="UIM16" s="13"/>
      <c r="UIS16" s="4"/>
      <c r="UIT16" s="12"/>
      <c r="UIU16" s="13"/>
      <c r="UJA16" s="4"/>
      <c r="UJB16" s="12"/>
      <c r="UJC16" s="13"/>
      <c r="UJI16" s="4"/>
      <c r="UJJ16" s="12"/>
      <c r="UJK16" s="13"/>
      <c r="UJQ16" s="4"/>
      <c r="UJR16" s="12"/>
      <c r="UJS16" s="13"/>
      <c r="UJY16" s="4"/>
      <c r="UJZ16" s="12"/>
      <c r="UKA16" s="13"/>
      <c r="UKG16" s="4"/>
      <c r="UKH16" s="12"/>
      <c r="UKI16" s="13"/>
      <c r="UKO16" s="4"/>
      <c r="UKP16" s="12"/>
      <c r="UKQ16" s="13"/>
      <c r="UKW16" s="4"/>
      <c r="UKX16" s="12"/>
      <c r="UKY16" s="13"/>
      <c r="ULE16" s="4"/>
      <c r="ULF16" s="12"/>
      <c r="ULG16" s="13"/>
      <c r="ULM16" s="4"/>
      <c r="ULN16" s="12"/>
      <c r="ULO16" s="13"/>
      <c r="ULU16" s="4"/>
      <c r="ULV16" s="12"/>
      <c r="ULW16" s="13"/>
      <c r="UMC16" s="4"/>
      <c r="UMD16" s="12"/>
      <c r="UME16" s="13"/>
      <c r="UMK16" s="4"/>
      <c r="UML16" s="12"/>
      <c r="UMM16" s="13"/>
      <c r="UMS16" s="4"/>
      <c r="UMT16" s="12"/>
      <c r="UMU16" s="13"/>
      <c r="UNA16" s="4"/>
      <c r="UNB16" s="12"/>
      <c r="UNC16" s="13"/>
      <c r="UNI16" s="4"/>
      <c r="UNJ16" s="12"/>
      <c r="UNK16" s="13"/>
      <c r="UNQ16" s="4"/>
      <c r="UNR16" s="12"/>
      <c r="UNS16" s="13"/>
      <c r="UNY16" s="4"/>
      <c r="UNZ16" s="12"/>
      <c r="UOA16" s="13"/>
      <c r="UOG16" s="4"/>
      <c r="UOH16" s="12"/>
      <c r="UOI16" s="13"/>
      <c r="UOO16" s="4"/>
      <c r="UOP16" s="12"/>
      <c r="UOQ16" s="13"/>
      <c r="UOW16" s="4"/>
      <c r="UOX16" s="12"/>
      <c r="UOY16" s="13"/>
      <c r="UPE16" s="4"/>
      <c r="UPF16" s="12"/>
      <c r="UPG16" s="13"/>
      <c r="UPM16" s="4"/>
      <c r="UPN16" s="12"/>
      <c r="UPO16" s="13"/>
      <c r="UPU16" s="4"/>
      <c r="UPV16" s="12"/>
      <c r="UPW16" s="13"/>
      <c r="UQC16" s="4"/>
      <c r="UQD16" s="12"/>
      <c r="UQE16" s="13"/>
      <c r="UQK16" s="4"/>
      <c r="UQL16" s="12"/>
      <c r="UQM16" s="13"/>
      <c r="UQS16" s="4"/>
      <c r="UQT16" s="12"/>
      <c r="UQU16" s="13"/>
      <c r="URA16" s="4"/>
      <c r="URB16" s="12"/>
      <c r="URC16" s="13"/>
      <c r="URI16" s="4"/>
      <c r="URJ16" s="12"/>
      <c r="URK16" s="13"/>
      <c r="URQ16" s="4"/>
      <c r="URR16" s="12"/>
      <c r="URS16" s="13"/>
      <c r="URY16" s="4"/>
      <c r="URZ16" s="12"/>
      <c r="USA16" s="13"/>
      <c r="USG16" s="4"/>
      <c r="USH16" s="12"/>
      <c r="USI16" s="13"/>
      <c r="USO16" s="4"/>
      <c r="USP16" s="12"/>
      <c r="USQ16" s="13"/>
      <c r="USW16" s="4"/>
      <c r="USX16" s="12"/>
      <c r="USY16" s="13"/>
      <c r="UTE16" s="4"/>
      <c r="UTF16" s="12"/>
      <c r="UTG16" s="13"/>
      <c r="UTM16" s="4"/>
      <c r="UTN16" s="12"/>
      <c r="UTO16" s="13"/>
      <c r="UTU16" s="4"/>
      <c r="UTV16" s="12"/>
      <c r="UTW16" s="13"/>
      <c r="UUC16" s="4"/>
      <c r="UUD16" s="12"/>
      <c r="UUE16" s="13"/>
      <c r="UUK16" s="4"/>
      <c r="UUL16" s="12"/>
      <c r="UUM16" s="13"/>
      <c r="UUS16" s="4"/>
      <c r="UUT16" s="12"/>
      <c r="UUU16" s="13"/>
      <c r="UVA16" s="4"/>
      <c r="UVB16" s="12"/>
      <c r="UVC16" s="13"/>
      <c r="UVI16" s="4"/>
      <c r="UVJ16" s="12"/>
      <c r="UVK16" s="13"/>
      <c r="UVQ16" s="4"/>
      <c r="UVR16" s="12"/>
      <c r="UVS16" s="13"/>
      <c r="UVY16" s="4"/>
      <c r="UVZ16" s="12"/>
      <c r="UWA16" s="13"/>
      <c r="UWG16" s="4"/>
      <c r="UWH16" s="12"/>
      <c r="UWI16" s="13"/>
      <c r="UWO16" s="4"/>
      <c r="UWP16" s="12"/>
      <c r="UWQ16" s="13"/>
      <c r="UWW16" s="4"/>
      <c r="UWX16" s="12"/>
      <c r="UWY16" s="13"/>
      <c r="UXE16" s="4"/>
      <c r="UXF16" s="12"/>
      <c r="UXG16" s="13"/>
      <c r="UXM16" s="4"/>
      <c r="UXN16" s="12"/>
      <c r="UXO16" s="13"/>
      <c r="UXU16" s="4"/>
      <c r="UXV16" s="12"/>
      <c r="UXW16" s="13"/>
      <c r="UYC16" s="4"/>
      <c r="UYD16" s="12"/>
      <c r="UYE16" s="13"/>
      <c r="UYK16" s="4"/>
      <c r="UYL16" s="12"/>
      <c r="UYM16" s="13"/>
      <c r="UYS16" s="4"/>
      <c r="UYT16" s="12"/>
      <c r="UYU16" s="13"/>
      <c r="UZA16" s="4"/>
      <c r="UZB16" s="12"/>
      <c r="UZC16" s="13"/>
      <c r="UZI16" s="4"/>
      <c r="UZJ16" s="12"/>
      <c r="UZK16" s="13"/>
      <c r="UZQ16" s="4"/>
      <c r="UZR16" s="12"/>
      <c r="UZS16" s="13"/>
      <c r="UZY16" s="4"/>
      <c r="UZZ16" s="12"/>
      <c r="VAA16" s="13"/>
      <c r="VAG16" s="4"/>
      <c r="VAH16" s="12"/>
      <c r="VAI16" s="13"/>
      <c r="VAO16" s="4"/>
      <c r="VAP16" s="12"/>
      <c r="VAQ16" s="13"/>
      <c r="VAW16" s="4"/>
      <c r="VAX16" s="12"/>
      <c r="VAY16" s="13"/>
      <c r="VBE16" s="4"/>
      <c r="VBF16" s="12"/>
      <c r="VBG16" s="13"/>
      <c r="VBM16" s="4"/>
      <c r="VBN16" s="12"/>
      <c r="VBO16" s="13"/>
      <c r="VBU16" s="4"/>
      <c r="VBV16" s="12"/>
      <c r="VBW16" s="13"/>
      <c r="VCC16" s="4"/>
      <c r="VCD16" s="12"/>
      <c r="VCE16" s="13"/>
      <c r="VCK16" s="4"/>
      <c r="VCL16" s="12"/>
      <c r="VCM16" s="13"/>
      <c r="VCS16" s="4"/>
      <c r="VCT16" s="12"/>
      <c r="VCU16" s="13"/>
      <c r="VDA16" s="4"/>
      <c r="VDB16" s="12"/>
      <c r="VDC16" s="13"/>
      <c r="VDI16" s="4"/>
      <c r="VDJ16" s="12"/>
      <c r="VDK16" s="13"/>
      <c r="VDQ16" s="4"/>
      <c r="VDR16" s="12"/>
      <c r="VDS16" s="13"/>
      <c r="VDY16" s="4"/>
      <c r="VDZ16" s="12"/>
      <c r="VEA16" s="13"/>
      <c r="VEG16" s="4"/>
      <c r="VEH16" s="12"/>
      <c r="VEI16" s="13"/>
      <c r="VEO16" s="4"/>
      <c r="VEP16" s="12"/>
      <c r="VEQ16" s="13"/>
      <c r="VEW16" s="4"/>
      <c r="VEX16" s="12"/>
      <c r="VEY16" s="13"/>
      <c r="VFE16" s="4"/>
      <c r="VFF16" s="12"/>
      <c r="VFG16" s="13"/>
      <c r="VFM16" s="4"/>
      <c r="VFN16" s="12"/>
      <c r="VFO16" s="13"/>
      <c r="VFU16" s="4"/>
      <c r="VFV16" s="12"/>
      <c r="VFW16" s="13"/>
      <c r="VGC16" s="4"/>
      <c r="VGD16" s="12"/>
      <c r="VGE16" s="13"/>
      <c r="VGK16" s="4"/>
      <c r="VGL16" s="12"/>
      <c r="VGM16" s="13"/>
      <c r="VGS16" s="4"/>
      <c r="VGT16" s="12"/>
      <c r="VGU16" s="13"/>
      <c r="VHA16" s="4"/>
      <c r="VHB16" s="12"/>
      <c r="VHC16" s="13"/>
      <c r="VHI16" s="4"/>
      <c r="VHJ16" s="12"/>
      <c r="VHK16" s="13"/>
      <c r="VHQ16" s="4"/>
      <c r="VHR16" s="12"/>
      <c r="VHS16" s="13"/>
      <c r="VHY16" s="4"/>
      <c r="VHZ16" s="12"/>
      <c r="VIA16" s="13"/>
      <c r="VIG16" s="4"/>
      <c r="VIH16" s="12"/>
      <c r="VII16" s="13"/>
      <c r="VIO16" s="4"/>
      <c r="VIP16" s="12"/>
      <c r="VIQ16" s="13"/>
      <c r="VIW16" s="4"/>
      <c r="VIX16" s="12"/>
      <c r="VIY16" s="13"/>
      <c r="VJE16" s="4"/>
      <c r="VJF16" s="12"/>
      <c r="VJG16" s="13"/>
      <c r="VJM16" s="4"/>
      <c r="VJN16" s="12"/>
      <c r="VJO16" s="13"/>
      <c r="VJU16" s="4"/>
      <c r="VJV16" s="12"/>
      <c r="VJW16" s="13"/>
      <c r="VKC16" s="4"/>
      <c r="VKD16" s="12"/>
      <c r="VKE16" s="13"/>
      <c r="VKK16" s="4"/>
      <c r="VKL16" s="12"/>
      <c r="VKM16" s="13"/>
      <c r="VKS16" s="4"/>
      <c r="VKT16" s="12"/>
      <c r="VKU16" s="13"/>
      <c r="VLA16" s="4"/>
      <c r="VLB16" s="12"/>
      <c r="VLC16" s="13"/>
      <c r="VLI16" s="4"/>
      <c r="VLJ16" s="12"/>
      <c r="VLK16" s="13"/>
      <c r="VLQ16" s="4"/>
      <c r="VLR16" s="12"/>
      <c r="VLS16" s="13"/>
      <c r="VLY16" s="4"/>
      <c r="VLZ16" s="12"/>
      <c r="VMA16" s="13"/>
      <c r="VMG16" s="4"/>
      <c r="VMH16" s="12"/>
      <c r="VMI16" s="13"/>
      <c r="VMO16" s="4"/>
      <c r="VMP16" s="12"/>
      <c r="VMQ16" s="13"/>
      <c r="VMW16" s="4"/>
      <c r="VMX16" s="12"/>
      <c r="VMY16" s="13"/>
      <c r="VNE16" s="4"/>
      <c r="VNF16" s="12"/>
      <c r="VNG16" s="13"/>
      <c r="VNM16" s="4"/>
      <c r="VNN16" s="12"/>
      <c r="VNO16" s="13"/>
      <c r="VNU16" s="4"/>
      <c r="VNV16" s="12"/>
      <c r="VNW16" s="13"/>
      <c r="VOC16" s="4"/>
      <c r="VOD16" s="12"/>
      <c r="VOE16" s="13"/>
      <c r="VOK16" s="4"/>
      <c r="VOL16" s="12"/>
      <c r="VOM16" s="13"/>
      <c r="VOS16" s="4"/>
      <c r="VOT16" s="12"/>
      <c r="VOU16" s="13"/>
      <c r="VPA16" s="4"/>
      <c r="VPB16" s="12"/>
      <c r="VPC16" s="13"/>
      <c r="VPI16" s="4"/>
      <c r="VPJ16" s="12"/>
      <c r="VPK16" s="13"/>
      <c r="VPQ16" s="4"/>
      <c r="VPR16" s="12"/>
      <c r="VPS16" s="13"/>
      <c r="VPY16" s="4"/>
      <c r="VPZ16" s="12"/>
      <c r="VQA16" s="13"/>
      <c r="VQG16" s="4"/>
      <c r="VQH16" s="12"/>
      <c r="VQI16" s="13"/>
      <c r="VQO16" s="4"/>
      <c r="VQP16" s="12"/>
      <c r="VQQ16" s="13"/>
      <c r="VQW16" s="4"/>
      <c r="VQX16" s="12"/>
      <c r="VQY16" s="13"/>
      <c r="VRE16" s="4"/>
      <c r="VRF16" s="12"/>
      <c r="VRG16" s="13"/>
      <c r="VRM16" s="4"/>
      <c r="VRN16" s="12"/>
      <c r="VRO16" s="13"/>
      <c r="VRU16" s="4"/>
      <c r="VRV16" s="12"/>
      <c r="VRW16" s="13"/>
      <c r="VSC16" s="4"/>
      <c r="VSD16" s="12"/>
      <c r="VSE16" s="13"/>
      <c r="VSK16" s="4"/>
      <c r="VSL16" s="12"/>
      <c r="VSM16" s="13"/>
      <c r="VSS16" s="4"/>
      <c r="VST16" s="12"/>
      <c r="VSU16" s="13"/>
      <c r="VTA16" s="4"/>
      <c r="VTB16" s="12"/>
      <c r="VTC16" s="13"/>
      <c r="VTI16" s="4"/>
      <c r="VTJ16" s="12"/>
      <c r="VTK16" s="13"/>
      <c r="VTQ16" s="4"/>
      <c r="VTR16" s="12"/>
      <c r="VTS16" s="13"/>
      <c r="VTY16" s="4"/>
      <c r="VTZ16" s="12"/>
      <c r="VUA16" s="13"/>
      <c r="VUG16" s="4"/>
      <c r="VUH16" s="12"/>
      <c r="VUI16" s="13"/>
      <c r="VUO16" s="4"/>
      <c r="VUP16" s="12"/>
      <c r="VUQ16" s="13"/>
      <c r="VUW16" s="4"/>
      <c r="VUX16" s="12"/>
      <c r="VUY16" s="13"/>
      <c r="VVE16" s="4"/>
      <c r="VVF16" s="12"/>
      <c r="VVG16" s="13"/>
      <c r="VVM16" s="4"/>
      <c r="VVN16" s="12"/>
      <c r="VVO16" s="13"/>
      <c r="VVU16" s="4"/>
      <c r="VVV16" s="12"/>
      <c r="VVW16" s="13"/>
      <c r="VWC16" s="4"/>
      <c r="VWD16" s="12"/>
      <c r="VWE16" s="13"/>
      <c r="VWK16" s="4"/>
      <c r="VWL16" s="12"/>
      <c r="VWM16" s="13"/>
      <c r="VWS16" s="4"/>
      <c r="VWT16" s="12"/>
      <c r="VWU16" s="13"/>
      <c r="VXA16" s="4"/>
      <c r="VXB16" s="12"/>
      <c r="VXC16" s="13"/>
      <c r="VXI16" s="4"/>
      <c r="VXJ16" s="12"/>
      <c r="VXK16" s="13"/>
      <c r="VXQ16" s="4"/>
      <c r="VXR16" s="12"/>
      <c r="VXS16" s="13"/>
      <c r="VXY16" s="4"/>
      <c r="VXZ16" s="12"/>
      <c r="VYA16" s="13"/>
      <c r="VYG16" s="4"/>
      <c r="VYH16" s="12"/>
      <c r="VYI16" s="13"/>
      <c r="VYO16" s="4"/>
      <c r="VYP16" s="12"/>
      <c r="VYQ16" s="13"/>
      <c r="VYW16" s="4"/>
      <c r="VYX16" s="12"/>
      <c r="VYY16" s="13"/>
      <c r="VZE16" s="4"/>
      <c r="VZF16" s="12"/>
      <c r="VZG16" s="13"/>
      <c r="VZM16" s="4"/>
      <c r="VZN16" s="12"/>
      <c r="VZO16" s="13"/>
      <c r="VZU16" s="4"/>
      <c r="VZV16" s="12"/>
      <c r="VZW16" s="13"/>
      <c r="WAC16" s="4"/>
      <c r="WAD16" s="12"/>
      <c r="WAE16" s="13"/>
      <c r="WAK16" s="4"/>
      <c r="WAL16" s="12"/>
      <c r="WAM16" s="13"/>
      <c r="WAS16" s="4"/>
      <c r="WAT16" s="12"/>
      <c r="WAU16" s="13"/>
      <c r="WBA16" s="4"/>
      <c r="WBB16" s="12"/>
      <c r="WBC16" s="13"/>
      <c r="WBI16" s="4"/>
      <c r="WBJ16" s="12"/>
      <c r="WBK16" s="13"/>
      <c r="WBQ16" s="4"/>
      <c r="WBR16" s="12"/>
      <c r="WBS16" s="13"/>
      <c r="WBY16" s="4"/>
      <c r="WBZ16" s="12"/>
      <c r="WCA16" s="13"/>
      <c r="WCG16" s="4"/>
      <c r="WCH16" s="12"/>
      <c r="WCI16" s="13"/>
      <c r="WCO16" s="4"/>
      <c r="WCP16" s="12"/>
      <c r="WCQ16" s="13"/>
      <c r="WCW16" s="4"/>
      <c r="WCX16" s="12"/>
      <c r="WCY16" s="13"/>
      <c r="WDE16" s="4"/>
      <c r="WDF16" s="12"/>
      <c r="WDG16" s="13"/>
      <c r="WDM16" s="4"/>
      <c r="WDN16" s="12"/>
      <c r="WDO16" s="13"/>
      <c r="WDU16" s="4"/>
      <c r="WDV16" s="12"/>
      <c r="WDW16" s="13"/>
      <c r="WEC16" s="4"/>
      <c r="WED16" s="12"/>
      <c r="WEE16" s="13"/>
      <c r="WEK16" s="4"/>
      <c r="WEL16" s="12"/>
      <c r="WEM16" s="13"/>
      <c r="WES16" s="4"/>
      <c r="WET16" s="12"/>
      <c r="WEU16" s="13"/>
      <c r="WFA16" s="4"/>
      <c r="WFB16" s="12"/>
      <c r="WFC16" s="13"/>
      <c r="WFI16" s="4"/>
      <c r="WFJ16" s="12"/>
      <c r="WFK16" s="13"/>
      <c r="WFQ16" s="4"/>
      <c r="WFR16" s="12"/>
      <c r="WFS16" s="13"/>
      <c r="WFY16" s="4"/>
      <c r="WFZ16" s="12"/>
      <c r="WGA16" s="13"/>
      <c r="WGG16" s="4"/>
      <c r="WGH16" s="12"/>
      <c r="WGI16" s="13"/>
      <c r="WGO16" s="4"/>
      <c r="WGP16" s="12"/>
      <c r="WGQ16" s="13"/>
      <c r="WGW16" s="4"/>
      <c r="WGX16" s="12"/>
      <c r="WGY16" s="13"/>
      <c r="WHE16" s="4"/>
      <c r="WHF16" s="12"/>
      <c r="WHG16" s="13"/>
      <c r="WHM16" s="4"/>
      <c r="WHN16" s="12"/>
      <c r="WHO16" s="13"/>
      <c r="WHU16" s="4"/>
      <c r="WHV16" s="12"/>
      <c r="WHW16" s="13"/>
      <c r="WIC16" s="4"/>
      <c r="WID16" s="12"/>
      <c r="WIE16" s="13"/>
      <c r="WIK16" s="4"/>
      <c r="WIL16" s="12"/>
      <c r="WIM16" s="13"/>
      <c r="WIS16" s="4"/>
      <c r="WIT16" s="12"/>
      <c r="WIU16" s="13"/>
      <c r="WJA16" s="4"/>
      <c r="WJB16" s="12"/>
      <c r="WJC16" s="13"/>
      <c r="WJI16" s="4"/>
      <c r="WJJ16" s="12"/>
      <c r="WJK16" s="13"/>
      <c r="WJQ16" s="4"/>
      <c r="WJR16" s="12"/>
      <c r="WJS16" s="13"/>
      <c r="WJY16" s="4"/>
      <c r="WJZ16" s="12"/>
      <c r="WKA16" s="13"/>
      <c r="WKG16" s="4"/>
      <c r="WKH16" s="12"/>
      <c r="WKI16" s="13"/>
      <c r="WKO16" s="4"/>
      <c r="WKP16" s="12"/>
      <c r="WKQ16" s="13"/>
      <c r="WKW16" s="4"/>
      <c r="WKX16" s="12"/>
      <c r="WKY16" s="13"/>
      <c r="WLE16" s="4"/>
      <c r="WLF16" s="12"/>
      <c r="WLG16" s="13"/>
      <c r="WLM16" s="4"/>
      <c r="WLN16" s="12"/>
      <c r="WLO16" s="13"/>
      <c r="WLU16" s="4"/>
      <c r="WLV16" s="12"/>
      <c r="WLW16" s="13"/>
      <c r="WMC16" s="4"/>
      <c r="WMD16" s="12"/>
      <c r="WME16" s="13"/>
      <c r="WMK16" s="4"/>
      <c r="WML16" s="12"/>
      <c r="WMM16" s="13"/>
      <c r="WMS16" s="4"/>
      <c r="WMT16" s="12"/>
      <c r="WMU16" s="13"/>
      <c r="WNA16" s="4"/>
      <c r="WNB16" s="12"/>
      <c r="WNC16" s="13"/>
      <c r="WNI16" s="4"/>
      <c r="WNJ16" s="12"/>
      <c r="WNK16" s="13"/>
      <c r="WNQ16" s="4"/>
      <c r="WNR16" s="12"/>
      <c r="WNS16" s="13"/>
      <c r="WNY16" s="4"/>
      <c r="WNZ16" s="12"/>
      <c r="WOA16" s="13"/>
      <c r="WOG16" s="4"/>
      <c r="WOH16" s="12"/>
      <c r="WOI16" s="13"/>
      <c r="WOO16" s="4"/>
      <c r="WOP16" s="12"/>
      <c r="WOQ16" s="13"/>
      <c r="WOW16" s="4"/>
      <c r="WOX16" s="12"/>
      <c r="WOY16" s="13"/>
      <c r="WPE16" s="4"/>
      <c r="WPF16" s="12"/>
      <c r="WPG16" s="13"/>
      <c r="WPM16" s="4"/>
      <c r="WPN16" s="12"/>
      <c r="WPO16" s="13"/>
      <c r="WPU16" s="4"/>
      <c r="WPV16" s="12"/>
      <c r="WPW16" s="13"/>
      <c r="WQC16" s="4"/>
      <c r="WQD16" s="12"/>
      <c r="WQE16" s="13"/>
      <c r="WQK16" s="4"/>
      <c r="WQL16" s="12"/>
      <c r="WQM16" s="13"/>
      <c r="WQS16" s="4"/>
      <c r="WQT16" s="12"/>
      <c r="WQU16" s="13"/>
      <c r="WRA16" s="4"/>
      <c r="WRB16" s="12"/>
      <c r="WRC16" s="13"/>
      <c r="WRI16" s="4"/>
      <c r="WRJ16" s="12"/>
      <c r="WRK16" s="13"/>
      <c r="WRQ16" s="4"/>
      <c r="WRR16" s="12"/>
      <c r="WRS16" s="13"/>
      <c r="WRY16" s="4"/>
      <c r="WRZ16" s="12"/>
      <c r="WSA16" s="13"/>
      <c r="WSG16" s="4"/>
      <c r="WSH16" s="12"/>
      <c r="WSI16" s="13"/>
      <c r="WSO16" s="4"/>
      <c r="WSP16" s="12"/>
      <c r="WSQ16" s="13"/>
      <c r="WSW16" s="4"/>
      <c r="WSX16" s="12"/>
      <c r="WSY16" s="13"/>
      <c r="WTE16" s="4"/>
      <c r="WTF16" s="12"/>
      <c r="WTG16" s="13"/>
      <c r="WTM16" s="4"/>
      <c r="WTN16" s="12"/>
      <c r="WTO16" s="13"/>
      <c r="WTU16" s="4"/>
      <c r="WTV16" s="12"/>
      <c r="WTW16" s="13"/>
      <c r="WUC16" s="4"/>
      <c r="WUD16" s="12"/>
      <c r="WUE16" s="13"/>
      <c r="WUK16" s="4"/>
      <c r="WUL16" s="12"/>
      <c r="WUM16" s="13"/>
      <c r="WUS16" s="4"/>
      <c r="WUT16" s="12"/>
      <c r="WUU16" s="13"/>
      <c r="WVA16" s="4"/>
      <c r="WVB16" s="12"/>
      <c r="WVC16" s="13"/>
      <c r="WVI16" s="4"/>
      <c r="WVJ16" s="12"/>
      <c r="WVK16" s="13"/>
      <c r="WVQ16" s="4"/>
      <c r="WVR16" s="12"/>
      <c r="WVS16" s="13"/>
      <c r="WVY16" s="4"/>
      <c r="WVZ16" s="12"/>
      <c r="WWA16" s="13"/>
      <c r="WWG16" s="4"/>
      <c r="WWH16" s="12"/>
      <c r="WWI16" s="13"/>
      <c r="WWO16" s="4"/>
      <c r="WWP16" s="12"/>
      <c r="WWQ16" s="13"/>
      <c r="WWW16" s="4"/>
      <c r="WWX16" s="12"/>
      <c r="WWY16" s="13"/>
      <c r="WXE16" s="4"/>
      <c r="WXF16" s="12"/>
      <c r="WXG16" s="13"/>
      <c r="WXM16" s="4"/>
      <c r="WXN16" s="12"/>
      <c r="WXO16" s="13"/>
      <c r="WXU16" s="4"/>
      <c r="WXV16" s="12"/>
      <c r="WXW16" s="13"/>
      <c r="WYC16" s="4"/>
      <c r="WYD16" s="12"/>
      <c r="WYE16" s="13"/>
      <c r="WYK16" s="4"/>
      <c r="WYL16" s="12"/>
      <c r="WYM16" s="13"/>
      <c r="WYS16" s="4"/>
      <c r="WYT16" s="12"/>
      <c r="WYU16" s="13"/>
      <c r="WZA16" s="4"/>
      <c r="WZB16" s="12"/>
      <c r="WZC16" s="13"/>
      <c r="WZI16" s="4"/>
      <c r="WZJ16" s="12"/>
      <c r="WZK16" s="13"/>
      <c r="WZQ16" s="4"/>
      <c r="WZR16" s="12"/>
      <c r="WZS16" s="13"/>
      <c r="WZY16" s="4"/>
      <c r="WZZ16" s="12"/>
      <c r="XAA16" s="13"/>
      <c r="XAG16" s="4"/>
      <c r="XAH16" s="12"/>
      <c r="XAI16" s="13"/>
      <c r="XAO16" s="4"/>
      <c r="XAP16" s="12"/>
      <c r="XAQ16" s="13"/>
      <c r="XAW16" s="4"/>
      <c r="XAX16" s="12"/>
      <c r="XAY16" s="13"/>
      <c r="XBE16" s="4"/>
      <c r="XBF16" s="12"/>
      <c r="XBG16" s="13"/>
      <c r="XBM16" s="4"/>
      <c r="XBN16" s="12"/>
      <c r="XBO16" s="13"/>
      <c r="XBU16" s="4"/>
      <c r="XBV16" s="12"/>
      <c r="XBW16" s="13"/>
      <c r="XCC16" s="4"/>
      <c r="XCD16" s="12"/>
      <c r="XCE16" s="13"/>
      <c r="XCK16" s="4"/>
      <c r="XCL16" s="12"/>
      <c r="XCM16" s="13"/>
      <c r="XCS16" s="4"/>
      <c r="XCT16" s="12"/>
      <c r="XCU16" s="13"/>
      <c r="XDA16" s="4"/>
      <c r="XDB16" s="12"/>
      <c r="XDC16" s="13"/>
      <c r="XDI16" s="4"/>
      <c r="XDJ16" s="12"/>
      <c r="XDK16" s="13"/>
      <c r="XDQ16" s="4"/>
      <c r="XDR16" s="12"/>
      <c r="XDS16" s="13"/>
      <c r="XDY16" s="4"/>
      <c r="XDZ16" s="12"/>
      <c r="XEA16" s="13"/>
      <c r="XEG16" s="4"/>
      <c r="XEH16" s="12"/>
      <c r="XEI16" s="13"/>
      <c r="XEO16" s="4"/>
      <c r="XEP16" s="12"/>
      <c r="XEQ16" s="13"/>
      <c r="XEW16" s="4"/>
      <c r="XEX16" s="12"/>
      <c r="XEY16" s="13"/>
    </row>
    <row r="17" spans="1:1019 1025:2043 2049:3067 3073:4091 4097:5115 5121:6139 6145:7163 7169:8187 8193:9211 9217:10235 10241:11259 11265:12283 12289:13307 13313:14331 14337:15355 15361:16379" s="9" customFormat="1">
      <c r="A17" s="6" t="s">
        <v>101</v>
      </c>
      <c r="B17" s="19" t="s">
        <v>134</v>
      </c>
      <c r="C17"/>
      <c r="D17" t="s">
        <v>13</v>
      </c>
      <c r="E17" t="s">
        <v>15</v>
      </c>
      <c r="F17"/>
      <c r="G17" s="13" t="s">
        <v>24</v>
      </c>
      <c r="H17" s="1"/>
      <c r="I17" s="4"/>
      <c r="J17" s="12"/>
      <c r="K17" s="13"/>
      <c r="Q17" s="4"/>
      <c r="R17" s="12"/>
      <c r="S17" s="13"/>
      <c r="Y17" s="4"/>
      <c r="Z17" s="12"/>
      <c r="AA17" s="13"/>
      <c r="AG17" s="4"/>
      <c r="AH17" s="12"/>
      <c r="AI17" s="13"/>
      <c r="AO17" s="4"/>
      <c r="AP17" s="12"/>
      <c r="AQ17" s="13"/>
      <c r="AW17" s="4"/>
      <c r="AX17" s="12"/>
      <c r="AY17" s="13"/>
      <c r="BE17" s="4"/>
      <c r="BF17" s="12"/>
      <c r="BG17" s="13"/>
      <c r="BM17" s="4"/>
      <c r="BN17" s="12"/>
      <c r="BO17" s="13"/>
      <c r="BU17" s="4"/>
      <c r="BV17" s="12"/>
      <c r="BW17" s="13"/>
      <c r="CC17" s="4"/>
      <c r="CD17" s="12"/>
      <c r="CE17" s="13"/>
      <c r="CK17" s="4"/>
      <c r="CL17" s="12"/>
      <c r="CM17" s="13"/>
      <c r="CS17" s="4"/>
      <c r="CT17" s="12"/>
      <c r="CU17" s="13"/>
      <c r="DA17" s="4"/>
      <c r="DB17" s="12"/>
      <c r="DC17" s="13"/>
      <c r="DI17" s="4"/>
      <c r="DJ17" s="12"/>
      <c r="DK17" s="13"/>
      <c r="DQ17" s="4"/>
      <c r="DR17" s="12"/>
      <c r="DS17" s="13"/>
      <c r="DY17" s="4"/>
      <c r="DZ17" s="12"/>
      <c r="EA17" s="13"/>
      <c r="EG17" s="4"/>
      <c r="EH17" s="12"/>
      <c r="EI17" s="13"/>
      <c r="EO17" s="4"/>
      <c r="EP17" s="12"/>
      <c r="EQ17" s="13"/>
      <c r="EW17" s="4"/>
      <c r="EX17" s="12"/>
      <c r="EY17" s="13"/>
      <c r="FE17" s="4"/>
      <c r="FF17" s="12"/>
      <c r="FG17" s="13"/>
      <c r="FM17" s="4"/>
      <c r="FN17" s="12"/>
      <c r="FO17" s="13"/>
      <c r="FU17" s="4"/>
      <c r="FV17" s="12"/>
      <c r="FW17" s="13"/>
      <c r="GC17" s="4"/>
      <c r="GD17" s="12"/>
      <c r="GE17" s="13"/>
      <c r="GK17" s="4"/>
      <c r="GL17" s="12"/>
      <c r="GM17" s="13"/>
      <c r="GS17" s="4"/>
      <c r="GT17" s="12"/>
      <c r="GU17" s="13"/>
      <c r="HA17" s="4"/>
      <c r="HB17" s="12"/>
      <c r="HC17" s="13"/>
      <c r="HI17" s="4"/>
      <c r="HJ17" s="12"/>
      <c r="HK17" s="13"/>
      <c r="HQ17" s="4"/>
      <c r="HR17" s="12"/>
      <c r="HS17" s="13"/>
      <c r="HY17" s="4"/>
      <c r="HZ17" s="12"/>
      <c r="IA17" s="13"/>
      <c r="IG17" s="4"/>
      <c r="IH17" s="12"/>
      <c r="II17" s="13"/>
      <c r="IO17" s="4"/>
      <c r="IP17" s="12"/>
      <c r="IQ17" s="13"/>
      <c r="IW17" s="4"/>
      <c r="IX17" s="12"/>
      <c r="IY17" s="13"/>
      <c r="JE17" s="4"/>
      <c r="JF17" s="12"/>
      <c r="JG17" s="13"/>
      <c r="JM17" s="4"/>
      <c r="JN17" s="12"/>
      <c r="JO17" s="13"/>
      <c r="JU17" s="4"/>
      <c r="JV17" s="12"/>
      <c r="JW17" s="13"/>
      <c r="KC17" s="4"/>
      <c r="KD17" s="12"/>
      <c r="KE17" s="13"/>
      <c r="KK17" s="4"/>
      <c r="KL17" s="12"/>
      <c r="KM17" s="13"/>
      <c r="KS17" s="4"/>
      <c r="KT17" s="12"/>
      <c r="KU17" s="13"/>
      <c r="LA17" s="4"/>
      <c r="LB17" s="12"/>
      <c r="LC17" s="13"/>
      <c r="LI17" s="4"/>
      <c r="LJ17" s="12"/>
      <c r="LK17" s="13"/>
      <c r="LQ17" s="4"/>
      <c r="LR17" s="12"/>
      <c r="LS17" s="13"/>
      <c r="LY17" s="4"/>
      <c r="LZ17" s="12"/>
      <c r="MA17" s="13"/>
      <c r="MG17" s="4"/>
      <c r="MH17" s="12"/>
      <c r="MI17" s="13"/>
      <c r="MO17" s="4"/>
      <c r="MP17" s="12"/>
      <c r="MQ17" s="13"/>
      <c r="MW17" s="4"/>
      <c r="MX17" s="12"/>
      <c r="MY17" s="13"/>
      <c r="NE17" s="4"/>
      <c r="NF17" s="12"/>
      <c r="NG17" s="13"/>
      <c r="NM17" s="4"/>
      <c r="NN17" s="12"/>
      <c r="NO17" s="13"/>
      <c r="NU17" s="4"/>
      <c r="NV17" s="12"/>
      <c r="NW17" s="13"/>
      <c r="OC17" s="4"/>
      <c r="OD17" s="12"/>
      <c r="OE17" s="13"/>
      <c r="OK17" s="4"/>
      <c r="OL17" s="12"/>
      <c r="OM17" s="13"/>
      <c r="OS17" s="4"/>
      <c r="OT17" s="12"/>
      <c r="OU17" s="13"/>
      <c r="PA17" s="4"/>
      <c r="PB17" s="12"/>
      <c r="PC17" s="13"/>
      <c r="PI17" s="4"/>
      <c r="PJ17" s="12"/>
      <c r="PK17" s="13"/>
      <c r="PQ17" s="4"/>
      <c r="PR17" s="12"/>
      <c r="PS17" s="13"/>
      <c r="PY17" s="4"/>
      <c r="PZ17" s="12"/>
      <c r="QA17" s="13"/>
      <c r="QG17" s="4"/>
      <c r="QH17" s="12"/>
      <c r="QI17" s="13"/>
      <c r="QO17" s="4"/>
      <c r="QP17" s="12"/>
      <c r="QQ17" s="13"/>
      <c r="QW17" s="4"/>
      <c r="QX17" s="12"/>
      <c r="QY17" s="13"/>
      <c r="RE17" s="4"/>
      <c r="RF17" s="12"/>
      <c r="RG17" s="13"/>
      <c r="RM17" s="4"/>
      <c r="RN17" s="12"/>
      <c r="RO17" s="13"/>
      <c r="RU17" s="4"/>
      <c r="RV17" s="12"/>
      <c r="RW17" s="13"/>
      <c r="SC17" s="4"/>
      <c r="SD17" s="12"/>
      <c r="SE17" s="13"/>
      <c r="SK17" s="4"/>
      <c r="SL17" s="12"/>
      <c r="SM17" s="13"/>
      <c r="SS17" s="4"/>
      <c r="ST17" s="12"/>
      <c r="SU17" s="13"/>
      <c r="TA17" s="4"/>
      <c r="TB17" s="12"/>
      <c r="TC17" s="13"/>
      <c r="TI17" s="4"/>
      <c r="TJ17" s="12"/>
      <c r="TK17" s="13"/>
      <c r="TQ17" s="4"/>
      <c r="TR17" s="12"/>
      <c r="TS17" s="13"/>
      <c r="TY17" s="4"/>
      <c r="TZ17" s="12"/>
      <c r="UA17" s="13"/>
      <c r="UG17" s="4"/>
      <c r="UH17" s="12"/>
      <c r="UI17" s="13"/>
      <c r="UO17" s="4"/>
      <c r="UP17" s="12"/>
      <c r="UQ17" s="13"/>
      <c r="UW17" s="4"/>
      <c r="UX17" s="12"/>
      <c r="UY17" s="13"/>
      <c r="VE17" s="4"/>
      <c r="VF17" s="12"/>
      <c r="VG17" s="13"/>
      <c r="VM17" s="4"/>
      <c r="VN17" s="12"/>
      <c r="VO17" s="13"/>
      <c r="VU17" s="4"/>
      <c r="VV17" s="12"/>
      <c r="VW17" s="13"/>
      <c r="WC17" s="4"/>
      <c r="WD17" s="12"/>
      <c r="WE17" s="13"/>
      <c r="WK17" s="4"/>
      <c r="WL17" s="12"/>
      <c r="WM17" s="13"/>
      <c r="WS17" s="4"/>
      <c r="WT17" s="12"/>
      <c r="WU17" s="13"/>
      <c r="XA17" s="4"/>
      <c r="XB17" s="12"/>
      <c r="XC17" s="13"/>
      <c r="XI17" s="4"/>
      <c r="XJ17" s="12"/>
      <c r="XK17" s="13"/>
      <c r="XQ17" s="4"/>
      <c r="XR17" s="12"/>
      <c r="XS17" s="13"/>
      <c r="XY17" s="4"/>
      <c r="XZ17" s="12"/>
      <c r="YA17" s="13"/>
      <c r="YG17" s="4"/>
      <c r="YH17" s="12"/>
      <c r="YI17" s="13"/>
      <c r="YO17" s="4"/>
      <c r="YP17" s="12"/>
      <c r="YQ17" s="13"/>
      <c r="YW17" s="4"/>
      <c r="YX17" s="12"/>
      <c r="YY17" s="13"/>
      <c r="ZE17" s="4"/>
      <c r="ZF17" s="12"/>
      <c r="ZG17" s="13"/>
      <c r="ZM17" s="4"/>
      <c r="ZN17" s="12"/>
      <c r="ZO17" s="13"/>
      <c r="ZU17" s="4"/>
      <c r="ZV17" s="12"/>
      <c r="ZW17" s="13"/>
      <c r="AAC17" s="4"/>
      <c r="AAD17" s="12"/>
      <c r="AAE17" s="13"/>
      <c r="AAK17" s="4"/>
      <c r="AAL17" s="12"/>
      <c r="AAM17" s="13"/>
      <c r="AAS17" s="4"/>
      <c r="AAT17" s="12"/>
      <c r="AAU17" s="13"/>
      <c r="ABA17" s="4"/>
      <c r="ABB17" s="12"/>
      <c r="ABC17" s="13"/>
      <c r="ABI17" s="4"/>
      <c r="ABJ17" s="12"/>
      <c r="ABK17" s="13"/>
      <c r="ABQ17" s="4"/>
      <c r="ABR17" s="12"/>
      <c r="ABS17" s="13"/>
      <c r="ABY17" s="4"/>
      <c r="ABZ17" s="12"/>
      <c r="ACA17" s="13"/>
      <c r="ACG17" s="4"/>
      <c r="ACH17" s="12"/>
      <c r="ACI17" s="13"/>
      <c r="ACO17" s="4"/>
      <c r="ACP17" s="12"/>
      <c r="ACQ17" s="13"/>
      <c r="ACW17" s="4"/>
      <c r="ACX17" s="12"/>
      <c r="ACY17" s="13"/>
      <c r="ADE17" s="4"/>
      <c r="ADF17" s="12"/>
      <c r="ADG17" s="13"/>
      <c r="ADM17" s="4"/>
      <c r="ADN17" s="12"/>
      <c r="ADO17" s="13"/>
      <c r="ADU17" s="4"/>
      <c r="ADV17" s="12"/>
      <c r="ADW17" s="13"/>
      <c r="AEC17" s="4"/>
      <c r="AED17" s="12"/>
      <c r="AEE17" s="13"/>
      <c r="AEK17" s="4"/>
      <c r="AEL17" s="12"/>
      <c r="AEM17" s="13"/>
      <c r="AES17" s="4"/>
      <c r="AET17" s="12"/>
      <c r="AEU17" s="13"/>
      <c r="AFA17" s="4"/>
      <c r="AFB17" s="12"/>
      <c r="AFC17" s="13"/>
      <c r="AFI17" s="4"/>
      <c r="AFJ17" s="12"/>
      <c r="AFK17" s="13"/>
      <c r="AFQ17" s="4"/>
      <c r="AFR17" s="12"/>
      <c r="AFS17" s="13"/>
      <c r="AFY17" s="4"/>
      <c r="AFZ17" s="12"/>
      <c r="AGA17" s="13"/>
      <c r="AGG17" s="4"/>
      <c r="AGH17" s="12"/>
      <c r="AGI17" s="13"/>
      <c r="AGO17" s="4"/>
      <c r="AGP17" s="12"/>
      <c r="AGQ17" s="13"/>
      <c r="AGW17" s="4"/>
      <c r="AGX17" s="12"/>
      <c r="AGY17" s="13"/>
      <c r="AHE17" s="4"/>
      <c r="AHF17" s="12"/>
      <c r="AHG17" s="13"/>
      <c r="AHM17" s="4"/>
      <c r="AHN17" s="12"/>
      <c r="AHO17" s="13"/>
      <c r="AHU17" s="4"/>
      <c r="AHV17" s="12"/>
      <c r="AHW17" s="13"/>
      <c r="AIC17" s="4"/>
      <c r="AID17" s="12"/>
      <c r="AIE17" s="13"/>
      <c r="AIK17" s="4"/>
      <c r="AIL17" s="12"/>
      <c r="AIM17" s="13"/>
      <c r="AIS17" s="4"/>
      <c r="AIT17" s="12"/>
      <c r="AIU17" s="13"/>
      <c r="AJA17" s="4"/>
      <c r="AJB17" s="12"/>
      <c r="AJC17" s="13"/>
      <c r="AJI17" s="4"/>
      <c r="AJJ17" s="12"/>
      <c r="AJK17" s="13"/>
      <c r="AJQ17" s="4"/>
      <c r="AJR17" s="12"/>
      <c r="AJS17" s="13"/>
      <c r="AJY17" s="4"/>
      <c r="AJZ17" s="12"/>
      <c r="AKA17" s="13"/>
      <c r="AKG17" s="4"/>
      <c r="AKH17" s="12"/>
      <c r="AKI17" s="13"/>
      <c r="AKO17" s="4"/>
      <c r="AKP17" s="12"/>
      <c r="AKQ17" s="13"/>
      <c r="AKW17" s="4"/>
      <c r="AKX17" s="12"/>
      <c r="AKY17" s="13"/>
      <c r="ALE17" s="4"/>
      <c r="ALF17" s="12"/>
      <c r="ALG17" s="13"/>
      <c r="ALM17" s="4"/>
      <c r="ALN17" s="12"/>
      <c r="ALO17" s="13"/>
      <c r="ALU17" s="4"/>
      <c r="ALV17" s="12"/>
      <c r="ALW17" s="13"/>
      <c r="AMC17" s="4"/>
      <c r="AMD17" s="12"/>
      <c r="AME17" s="13"/>
      <c r="AMK17" s="4"/>
      <c r="AML17" s="12"/>
      <c r="AMM17" s="13"/>
      <c r="AMS17" s="4"/>
      <c r="AMT17" s="12"/>
      <c r="AMU17" s="13"/>
      <c r="ANA17" s="4"/>
      <c r="ANB17" s="12"/>
      <c r="ANC17" s="13"/>
      <c r="ANI17" s="4"/>
      <c r="ANJ17" s="12"/>
      <c r="ANK17" s="13"/>
      <c r="ANQ17" s="4"/>
      <c r="ANR17" s="12"/>
      <c r="ANS17" s="13"/>
      <c r="ANY17" s="4"/>
      <c r="ANZ17" s="12"/>
      <c r="AOA17" s="13"/>
      <c r="AOG17" s="4"/>
      <c r="AOH17" s="12"/>
      <c r="AOI17" s="13"/>
      <c r="AOO17" s="4"/>
      <c r="AOP17" s="12"/>
      <c r="AOQ17" s="13"/>
      <c r="AOW17" s="4"/>
      <c r="AOX17" s="12"/>
      <c r="AOY17" s="13"/>
      <c r="APE17" s="4"/>
      <c r="APF17" s="12"/>
      <c r="APG17" s="13"/>
      <c r="APM17" s="4"/>
      <c r="APN17" s="12"/>
      <c r="APO17" s="13"/>
      <c r="APU17" s="4"/>
      <c r="APV17" s="12"/>
      <c r="APW17" s="13"/>
      <c r="AQC17" s="4"/>
      <c r="AQD17" s="12"/>
      <c r="AQE17" s="13"/>
      <c r="AQK17" s="4"/>
      <c r="AQL17" s="12"/>
      <c r="AQM17" s="13"/>
      <c r="AQS17" s="4"/>
      <c r="AQT17" s="12"/>
      <c r="AQU17" s="13"/>
      <c r="ARA17" s="4"/>
      <c r="ARB17" s="12"/>
      <c r="ARC17" s="13"/>
      <c r="ARI17" s="4"/>
      <c r="ARJ17" s="12"/>
      <c r="ARK17" s="13"/>
      <c r="ARQ17" s="4"/>
      <c r="ARR17" s="12"/>
      <c r="ARS17" s="13"/>
      <c r="ARY17" s="4"/>
      <c r="ARZ17" s="12"/>
      <c r="ASA17" s="13"/>
      <c r="ASG17" s="4"/>
      <c r="ASH17" s="12"/>
      <c r="ASI17" s="13"/>
      <c r="ASO17" s="4"/>
      <c r="ASP17" s="12"/>
      <c r="ASQ17" s="13"/>
      <c r="ASW17" s="4"/>
      <c r="ASX17" s="12"/>
      <c r="ASY17" s="13"/>
      <c r="ATE17" s="4"/>
      <c r="ATF17" s="12"/>
      <c r="ATG17" s="13"/>
      <c r="ATM17" s="4"/>
      <c r="ATN17" s="12"/>
      <c r="ATO17" s="13"/>
      <c r="ATU17" s="4"/>
      <c r="ATV17" s="12"/>
      <c r="ATW17" s="13"/>
      <c r="AUC17" s="4"/>
      <c r="AUD17" s="12"/>
      <c r="AUE17" s="13"/>
      <c r="AUK17" s="4"/>
      <c r="AUL17" s="12"/>
      <c r="AUM17" s="13"/>
      <c r="AUS17" s="4"/>
      <c r="AUT17" s="12"/>
      <c r="AUU17" s="13"/>
      <c r="AVA17" s="4"/>
      <c r="AVB17" s="12"/>
      <c r="AVC17" s="13"/>
      <c r="AVI17" s="4"/>
      <c r="AVJ17" s="12"/>
      <c r="AVK17" s="13"/>
      <c r="AVQ17" s="4"/>
      <c r="AVR17" s="12"/>
      <c r="AVS17" s="13"/>
      <c r="AVY17" s="4"/>
      <c r="AVZ17" s="12"/>
      <c r="AWA17" s="13"/>
      <c r="AWG17" s="4"/>
      <c r="AWH17" s="12"/>
      <c r="AWI17" s="13"/>
      <c r="AWO17" s="4"/>
      <c r="AWP17" s="12"/>
      <c r="AWQ17" s="13"/>
      <c r="AWW17" s="4"/>
      <c r="AWX17" s="12"/>
      <c r="AWY17" s="13"/>
      <c r="AXE17" s="4"/>
      <c r="AXF17" s="12"/>
      <c r="AXG17" s="13"/>
      <c r="AXM17" s="4"/>
      <c r="AXN17" s="12"/>
      <c r="AXO17" s="13"/>
      <c r="AXU17" s="4"/>
      <c r="AXV17" s="12"/>
      <c r="AXW17" s="13"/>
      <c r="AYC17" s="4"/>
      <c r="AYD17" s="12"/>
      <c r="AYE17" s="13"/>
      <c r="AYK17" s="4"/>
      <c r="AYL17" s="12"/>
      <c r="AYM17" s="13"/>
      <c r="AYS17" s="4"/>
      <c r="AYT17" s="12"/>
      <c r="AYU17" s="13"/>
      <c r="AZA17" s="4"/>
      <c r="AZB17" s="12"/>
      <c r="AZC17" s="13"/>
      <c r="AZI17" s="4"/>
      <c r="AZJ17" s="12"/>
      <c r="AZK17" s="13"/>
      <c r="AZQ17" s="4"/>
      <c r="AZR17" s="12"/>
      <c r="AZS17" s="13"/>
      <c r="AZY17" s="4"/>
      <c r="AZZ17" s="12"/>
      <c r="BAA17" s="13"/>
      <c r="BAG17" s="4"/>
      <c r="BAH17" s="12"/>
      <c r="BAI17" s="13"/>
      <c r="BAO17" s="4"/>
      <c r="BAP17" s="12"/>
      <c r="BAQ17" s="13"/>
      <c r="BAW17" s="4"/>
      <c r="BAX17" s="12"/>
      <c r="BAY17" s="13"/>
      <c r="BBE17" s="4"/>
      <c r="BBF17" s="12"/>
      <c r="BBG17" s="13"/>
      <c r="BBM17" s="4"/>
      <c r="BBN17" s="12"/>
      <c r="BBO17" s="13"/>
      <c r="BBU17" s="4"/>
      <c r="BBV17" s="12"/>
      <c r="BBW17" s="13"/>
      <c r="BCC17" s="4"/>
      <c r="BCD17" s="12"/>
      <c r="BCE17" s="13"/>
      <c r="BCK17" s="4"/>
      <c r="BCL17" s="12"/>
      <c r="BCM17" s="13"/>
      <c r="BCS17" s="4"/>
      <c r="BCT17" s="12"/>
      <c r="BCU17" s="13"/>
      <c r="BDA17" s="4"/>
      <c r="BDB17" s="12"/>
      <c r="BDC17" s="13"/>
      <c r="BDI17" s="4"/>
      <c r="BDJ17" s="12"/>
      <c r="BDK17" s="13"/>
      <c r="BDQ17" s="4"/>
      <c r="BDR17" s="12"/>
      <c r="BDS17" s="13"/>
      <c r="BDY17" s="4"/>
      <c r="BDZ17" s="12"/>
      <c r="BEA17" s="13"/>
      <c r="BEG17" s="4"/>
      <c r="BEH17" s="12"/>
      <c r="BEI17" s="13"/>
      <c r="BEO17" s="4"/>
      <c r="BEP17" s="12"/>
      <c r="BEQ17" s="13"/>
      <c r="BEW17" s="4"/>
      <c r="BEX17" s="12"/>
      <c r="BEY17" s="13"/>
      <c r="BFE17" s="4"/>
      <c r="BFF17" s="12"/>
      <c r="BFG17" s="13"/>
      <c r="BFM17" s="4"/>
      <c r="BFN17" s="12"/>
      <c r="BFO17" s="13"/>
      <c r="BFU17" s="4"/>
      <c r="BFV17" s="12"/>
      <c r="BFW17" s="13"/>
      <c r="BGC17" s="4"/>
      <c r="BGD17" s="12"/>
      <c r="BGE17" s="13"/>
      <c r="BGK17" s="4"/>
      <c r="BGL17" s="12"/>
      <c r="BGM17" s="13"/>
      <c r="BGS17" s="4"/>
      <c r="BGT17" s="12"/>
      <c r="BGU17" s="13"/>
      <c r="BHA17" s="4"/>
      <c r="BHB17" s="12"/>
      <c r="BHC17" s="13"/>
      <c r="BHI17" s="4"/>
      <c r="BHJ17" s="12"/>
      <c r="BHK17" s="13"/>
      <c r="BHQ17" s="4"/>
      <c r="BHR17" s="12"/>
      <c r="BHS17" s="13"/>
      <c r="BHY17" s="4"/>
      <c r="BHZ17" s="12"/>
      <c r="BIA17" s="13"/>
      <c r="BIG17" s="4"/>
      <c r="BIH17" s="12"/>
      <c r="BII17" s="13"/>
      <c r="BIO17" s="4"/>
      <c r="BIP17" s="12"/>
      <c r="BIQ17" s="13"/>
      <c r="BIW17" s="4"/>
      <c r="BIX17" s="12"/>
      <c r="BIY17" s="13"/>
      <c r="BJE17" s="4"/>
      <c r="BJF17" s="12"/>
      <c r="BJG17" s="13"/>
      <c r="BJM17" s="4"/>
      <c r="BJN17" s="12"/>
      <c r="BJO17" s="13"/>
      <c r="BJU17" s="4"/>
      <c r="BJV17" s="12"/>
      <c r="BJW17" s="13"/>
      <c r="BKC17" s="4"/>
      <c r="BKD17" s="12"/>
      <c r="BKE17" s="13"/>
      <c r="BKK17" s="4"/>
      <c r="BKL17" s="12"/>
      <c r="BKM17" s="13"/>
      <c r="BKS17" s="4"/>
      <c r="BKT17" s="12"/>
      <c r="BKU17" s="13"/>
      <c r="BLA17" s="4"/>
      <c r="BLB17" s="12"/>
      <c r="BLC17" s="13"/>
      <c r="BLI17" s="4"/>
      <c r="BLJ17" s="12"/>
      <c r="BLK17" s="13"/>
      <c r="BLQ17" s="4"/>
      <c r="BLR17" s="12"/>
      <c r="BLS17" s="13"/>
      <c r="BLY17" s="4"/>
      <c r="BLZ17" s="12"/>
      <c r="BMA17" s="13"/>
      <c r="BMG17" s="4"/>
      <c r="BMH17" s="12"/>
      <c r="BMI17" s="13"/>
      <c r="BMO17" s="4"/>
      <c r="BMP17" s="12"/>
      <c r="BMQ17" s="13"/>
      <c r="BMW17" s="4"/>
      <c r="BMX17" s="12"/>
      <c r="BMY17" s="13"/>
      <c r="BNE17" s="4"/>
      <c r="BNF17" s="12"/>
      <c r="BNG17" s="13"/>
      <c r="BNM17" s="4"/>
      <c r="BNN17" s="12"/>
      <c r="BNO17" s="13"/>
      <c r="BNU17" s="4"/>
      <c r="BNV17" s="12"/>
      <c r="BNW17" s="13"/>
      <c r="BOC17" s="4"/>
      <c r="BOD17" s="12"/>
      <c r="BOE17" s="13"/>
      <c r="BOK17" s="4"/>
      <c r="BOL17" s="12"/>
      <c r="BOM17" s="13"/>
      <c r="BOS17" s="4"/>
      <c r="BOT17" s="12"/>
      <c r="BOU17" s="13"/>
      <c r="BPA17" s="4"/>
      <c r="BPB17" s="12"/>
      <c r="BPC17" s="13"/>
      <c r="BPI17" s="4"/>
      <c r="BPJ17" s="12"/>
      <c r="BPK17" s="13"/>
      <c r="BPQ17" s="4"/>
      <c r="BPR17" s="12"/>
      <c r="BPS17" s="13"/>
      <c r="BPY17" s="4"/>
      <c r="BPZ17" s="12"/>
      <c r="BQA17" s="13"/>
      <c r="BQG17" s="4"/>
      <c r="BQH17" s="12"/>
      <c r="BQI17" s="13"/>
      <c r="BQO17" s="4"/>
      <c r="BQP17" s="12"/>
      <c r="BQQ17" s="13"/>
      <c r="BQW17" s="4"/>
      <c r="BQX17" s="12"/>
      <c r="BQY17" s="13"/>
      <c r="BRE17" s="4"/>
      <c r="BRF17" s="12"/>
      <c r="BRG17" s="13"/>
      <c r="BRM17" s="4"/>
      <c r="BRN17" s="12"/>
      <c r="BRO17" s="13"/>
      <c r="BRU17" s="4"/>
      <c r="BRV17" s="12"/>
      <c r="BRW17" s="13"/>
      <c r="BSC17" s="4"/>
      <c r="BSD17" s="12"/>
      <c r="BSE17" s="13"/>
      <c r="BSK17" s="4"/>
      <c r="BSL17" s="12"/>
      <c r="BSM17" s="13"/>
      <c r="BSS17" s="4"/>
      <c r="BST17" s="12"/>
      <c r="BSU17" s="13"/>
      <c r="BTA17" s="4"/>
      <c r="BTB17" s="12"/>
      <c r="BTC17" s="13"/>
      <c r="BTI17" s="4"/>
      <c r="BTJ17" s="12"/>
      <c r="BTK17" s="13"/>
      <c r="BTQ17" s="4"/>
      <c r="BTR17" s="12"/>
      <c r="BTS17" s="13"/>
      <c r="BTY17" s="4"/>
      <c r="BTZ17" s="12"/>
      <c r="BUA17" s="13"/>
      <c r="BUG17" s="4"/>
      <c r="BUH17" s="12"/>
      <c r="BUI17" s="13"/>
      <c r="BUO17" s="4"/>
      <c r="BUP17" s="12"/>
      <c r="BUQ17" s="13"/>
      <c r="BUW17" s="4"/>
      <c r="BUX17" s="12"/>
      <c r="BUY17" s="13"/>
      <c r="BVE17" s="4"/>
      <c r="BVF17" s="12"/>
      <c r="BVG17" s="13"/>
      <c r="BVM17" s="4"/>
      <c r="BVN17" s="12"/>
      <c r="BVO17" s="13"/>
      <c r="BVU17" s="4"/>
      <c r="BVV17" s="12"/>
      <c r="BVW17" s="13"/>
      <c r="BWC17" s="4"/>
      <c r="BWD17" s="12"/>
      <c r="BWE17" s="13"/>
      <c r="BWK17" s="4"/>
      <c r="BWL17" s="12"/>
      <c r="BWM17" s="13"/>
      <c r="BWS17" s="4"/>
      <c r="BWT17" s="12"/>
      <c r="BWU17" s="13"/>
      <c r="BXA17" s="4"/>
      <c r="BXB17" s="12"/>
      <c r="BXC17" s="13"/>
      <c r="BXI17" s="4"/>
      <c r="BXJ17" s="12"/>
      <c r="BXK17" s="13"/>
      <c r="BXQ17" s="4"/>
      <c r="BXR17" s="12"/>
      <c r="BXS17" s="13"/>
      <c r="BXY17" s="4"/>
      <c r="BXZ17" s="12"/>
      <c r="BYA17" s="13"/>
      <c r="BYG17" s="4"/>
      <c r="BYH17" s="12"/>
      <c r="BYI17" s="13"/>
      <c r="BYO17" s="4"/>
      <c r="BYP17" s="12"/>
      <c r="BYQ17" s="13"/>
      <c r="BYW17" s="4"/>
      <c r="BYX17" s="12"/>
      <c r="BYY17" s="13"/>
      <c r="BZE17" s="4"/>
      <c r="BZF17" s="12"/>
      <c r="BZG17" s="13"/>
      <c r="BZM17" s="4"/>
      <c r="BZN17" s="12"/>
      <c r="BZO17" s="13"/>
      <c r="BZU17" s="4"/>
      <c r="BZV17" s="12"/>
      <c r="BZW17" s="13"/>
      <c r="CAC17" s="4"/>
      <c r="CAD17" s="12"/>
      <c r="CAE17" s="13"/>
      <c r="CAK17" s="4"/>
      <c r="CAL17" s="12"/>
      <c r="CAM17" s="13"/>
      <c r="CAS17" s="4"/>
      <c r="CAT17" s="12"/>
      <c r="CAU17" s="13"/>
      <c r="CBA17" s="4"/>
      <c r="CBB17" s="12"/>
      <c r="CBC17" s="13"/>
      <c r="CBI17" s="4"/>
      <c r="CBJ17" s="12"/>
      <c r="CBK17" s="13"/>
      <c r="CBQ17" s="4"/>
      <c r="CBR17" s="12"/>
      <c r="CBS17" s="13"/>
      <c r="CBY17" s="4"/>
      <c r="CBZ17" s="12"/>
      <c r="CCA17" s="13"/>
      <c r="CCG17" s="4"/>
      <c r="CCH17" s="12"/>
      <c r="CCI17" s="13"/>
      <c r="CCO17" s="4"/>
      <c r="CCP17" s="12"/>
      <c r="CCQ17" s="13"/>
      <c r="CCW17" s="4"/>
      <c r="CCX17" s="12"/>
      <c r="CCY17" s="13"/>
      <c r="CDE17" s="4"/>
      <c r="CDF17" s="12"/>
      <c r="CDG17" s="13"/>
      <c r="CDM17" s="4"/>
      <c r="CDN17" s="12"/>
      <c r="CDO17" s="13"/>
      <c r="CDU17" s="4"/>
      <c r="CDV17" s="12"/>
      <c r="CDW17" s="13"/>
      <c r="CEC17" s="4"/>
      <c r="CED17" s="12"/>
      <c r="CEE17" s="13"/>
      <c r="CEK17" s="4"/>
      <c r="CEL17" s="12"/>
      <c r="CEM17" s="13"/>
      <c r="CES17" s="4"/>
      <c r="CET17" s="12"/>
      <c r="CEU17" s="13"/>
      <c r="CFA17" s="4"/>
      <c r="CFB17" s="12"/>
      <c r="CFC17" s="13"/>
      <c r="CFI17" s="4"/>
      <c r="CFJ17" s="12"/>
      <c r="CFK17" s="13"/>
      <c r="CFQ17" s="4"/>
      <c r="CFR17" s="12"/>
      <c r="CFS17" s="13"/>
      <c r="CFY17" s="4"/>
      <c r="CFZ17" s="12"/>
      <c r="CGA17" s="13"/>
      <c r="CGG17" s="4"/>
      <c r="CGH17" s="12"/>
      <c r="CGI17" s="13"/>
      <c r="CGO17" s="4"/>
      <c r="CGP17" s="12"/>
      <c r="CGQ17" s="13"/>
      <c r="CGW17" s="4"/>
      <c r="CGX17" s="12"/>
      <c r="CGY17" s="13"/>
      <c r="CHE17" s="4"/>
      <c r="CHF17" s="12"/>
      <c r="CHG17" s="13"/>
      <c r="CHM17" s="4"/>
      <c r="CHN17" s="12"/>
      <c r="CHO17" s="13"/>
      <c r="CHU17" s="4"/>
      <c r="CHV17" s="12"/>
      <c r="CHW17" s="13"/>
      <c r="CIC17" s="4"/>
      <c r="CID17" s="12"/>
      <c r="CIE17" s="13"/>
      <c r="CIK17" s="4"/>
      <c r="CIL17" s="12"/>
      <c r="CIM17" s="13"/>
      <c r="CIS17" s="4"/>
      <c r="CIT17" s="12"/>
      <c r="CIU17" s="13"/>
      <c r="CJA17" s="4"/>
      <c r="CJB17" s="12"/>
      <c r="CJC17" s="13"/>
      <c r="CJI17" s="4"/>
      <c r="CJJ17" s="12"/>
      <c r="CJK17" s="13"/>
      <c r="CJQ17" s="4"/>
      <c r="CJR17" s="12"/>
      <c r="CJS17" s="13"/>
      <c r="CJY17" s="4"/>
      <c r="CJZ17" s="12"/>
      <c r="CKA17" s="13"/>
      <c r="CKG17" s="4"/>
      <c r="CKH17" s="12"/>
      <c r="CKI17" s="13"/>
      <c r="CKO17" s="4"/>
      <c r="CKP17" s="12"/>
      <c r="CKQ17" s="13"/>
      <c r="CKW17" s="4"/>
      <c r="CKX17" s="12"/>
      <c r="CKY17" s="13"/>
      <c r="CLE17" s="4"/>
      <c r="CLF17" s="12"/>
      <c r="CLG17" s="13"/>
      <c r="CLM17" s="4"/>
      <c r="CLN17" s="12"/>
      <c r="CLO17" s="13"/>
      <c r="CLU17" s="4"/>
      <c r="CLV17" s="12"/>
      <c r="CLW17" s="13"/>
      <c r="CMC17" s="4"/>
      <c r="CMD17" s="12"/>
      <c r="CME17" s="13"/>
      <c r="CMK17" s="4"/>
      <c r="CML17" s="12"/>
      <c r="CMM17" s="13"/>
      <c r="CMS17" s="4"/>
      <c r="CMT17" s="12"/>
      <c r="CMU17" s="13"/>
      <c r="CNA17" s="4"/>
      <c r="CNB17" s="12"/>
      <c r="CNC17" s="13"/>
      <c r="CNI17" s="4"/>
      <c r="CNJ17" s="12"/>
      <c r="CNK17" s="13"/>
      <c r="CNQ17" s="4"/>
      <c r="CNR17" s="12"/>
      <c r="CNS17" s="13"/>
      <c r="CNY17" s="4"/>
      <c r="CNZ17" s="12"/>
      <c r="COA17" s="13"/>
      <c r="COG17" s="4"/>
      <c r="COH17" s="12"/>
      <c r="COI17" s="13"/>
      <c r="COO17" s="4"/>
      <c r="COP17" s="12"/>
      <c r="COQ17" s="13"/>
      <c r="COW17" s="4"/>
      <c r="COX17" s="12"/>
      <c r="COY17" s="13"/>
      <c r="CPE17" s="4"/>
      <c r="CPF17" s="12"/>
      <c r="CPG17" s="13"/>
      <c r="CPM17" s="4"/>
      <c r="CPN17" s="12"/>
      <c r="CPO17" s="13"/>
      <c r="CPU17" s="4"/>
      <c r="CPV17" s="12"/>
      <c r="CPW17" s="13"/>
      <c r="CQC17" s="4"/>
      <c r="CQD17" s="12"/>
      <c r="CQE17" s="13"/>
      <c r="CQK17" s="4"/>
      <c r="CQL17" s="12"/>
      <c r="CQM17" s="13"/>
      <c r="CQS17" s="4"/>
      <c r="CQT17" s="12"/>
      <c r="CQU17" s="13"/>
      <c r="CRA17" s="4"/>
      <c r="CRB17" s="12"/>
      <c r="CRC17" s="13"/>
      <c r="CRI17" s="4"/>
      <c r="CRJ17" s="12"/>
      <c r="CRK17" s="13"/>
      <c r="CRQ17" s="4"/>
      <c r="CRR17" s="12"/>
      <c r="CRS17" s="13"/>
      <c r="CRY17" s="4"/>
      <c r="CRZ17" s="12"/>
      <c r="CSA17" s="13"/>
      <c r="CSG17" s="4"/>
      <c r="CSH17" s="12"/>
      <c r="CSI17" s="13"/>
      <c r="CSO17" s="4"/>
      <c r="CSP17" s="12"/>
      <c r="CSQ17" s="13"/>
      <c r="CSW17" s="4"/>
      <c r="CSX17" s="12"/>
      <c r="CSY17" s="13"/>
      <c r="CTE17" s="4"/>
      <c r="CTF17" s="12"/>
      <c r="CTG17" s="13"/>
      <c r="CTM17" s="4"/>
      <c r="CTN17" s="12"/>
      <c r="CTO17" s="13"/>
      <c r="CTU17" s="4"/>
      <c r="CTV17" s="12"/>
      <c r="CTW17" s="13"/>
      <c r="CUC17" s="4"/>
      <c r="CUD17" s="12"/>
      <c r="CUE17" s="13"/>
      <c r="CUK17" s="4"/>
      <c r="CUL17" s="12"/>
      <c r="CUM17" s="13"/>
      <c r="CUS17" s="4"/>
      <c r="CUT17" s="12"/>
      <c r="CUU17" s="13"/>
      <c r="CVA17" s="4"/>
      <c r="CVB17" s="12"/>
      <c r="CVC17" s="13"/>
      <c r="CVI17" s="4"/>
      <c r="CVJ17" s="12"/>
      <c r="CVK17" s="13"/>
      <c r="CVQ17" s="4"/>
      <c r="CVR17" s="12"/>
      <c r="CVS17" s="13"/>
      <c r="CVY17" s="4"/>
      <c r="CVZ17" s="12"/>
      <c r="CWA17" s="13"/>
      <c r="CWG17" s="4"/>
      <c r="CWH17" s="12"/>
      <c r="CWI17" s="13"/>
      <c r="CWO17" s="4"/>
      <c r="CWP17" s="12"/>
      <c r="CWQ17" s="13"/>
      <c r="CWW17" s="4"/>
      <c r="CWX17" s="12"/>
      <c r="CWY17" s="13"/>
      <c r="CXE17" s="4"/>
      <c r="CXF17" s="12"/>
      <c r="CXG17" s="13"/>
      <c r="CXM17" s="4"/>
      <c r="CXN17" s="12"/>
      <c r="CXO17" s="13"/>
      <c r="CXU17" s="4"/>
      <c r="CXV17" s="12"/>
      <c r="CXW17" s="13"/>
      <c r="CYC17" s="4"/>
      <c r="CYD17" s="12"/>
      <c r="CYE17" s="13"/>
      <c r="CYK17" s="4"/>
      <c r="CYL17" s="12"/>
      <c r="CYM17" s="13"/>
      <c r="CYS17" s="4"/>
      <c r="CYT17" s="12"/>
      <c r="CYU17" s="13"/>
      <c r="CZA17" s="4"/>
      <c r="CZB17" s="12"/>
      <c r="CZC17" s="13"/>
      <c r="CZI17" s="4"/>
      <c r="CZJ17" s="12"/>
      <c r="CZK17" s="13"/>
      <c r="CZQ17" s="4"/>
      <c r="CZR17" s="12"/>
      <c r="CZS17" s="13"/>
      <c r="CZY17" s="4"/>
      <c r="CZZ17" s="12"/>
      <c r="DAA17" s="13"/>
      <c r="DAG17" s="4"/>
      <c r="DAH17" s="12"/>
      <c r="DAI17" s="13"/>
      <c r="DAO17" s="4"/>
      <c r="DAP17" s="12"/>
      <c r="DAQ17" s="13"/>
      <c r="DAW17" s="4"/>
      <c r="DAX17" s="12"/>
      <c r="DAY17" s="13"/>
      <c r="DBE17" s="4"/>
      <c r="DBF17" s="12"/>
      <c r="DBG17" s="13"/>
      <c r="DBM17" s="4"/>
      <c r="DBN17" s="12"/>
      <c r="DBO17" s="13"/>
      <c r="DBU17" s="4"/>
      <c r="DBV17" s="12"/>
      <c r="DBW17" s="13"/>
      <c r="DCC17" s="4"/>
      <c r="DCD17" s="12"/>
      <c r="DCE17" s="13"/>
      <c r="DCK17" s="4"/>
      <c r="DCL17" s="12"/>
      <c r="DCM17" s="13"/>
      <c r="DCS17" s="4"/>
      <c r="DCT17" s="12"/>
      <c r="DCU17" s="13"/>
      <c r="DDA17" s="4"/>
      <c r="DDB17" s="12"/>
      <c r="DDC17" s="13"/>
      <c r="DDI17" s="4"/>
      <c r="DDJ17" s="12"/>
      <c r="DDK17" s="13"/>
      <c r="DDQ17" s="4"/>
      <c r="DDR17" s="12"/>
      <c r="DDS17" s="13"/>
      <c r="DDY17" s="4"/>
      <c r="DDZ17" s="12"/>
      <c r="DEA17" s="13"/>
      <c r="DEG17" s="4"/>
      <c r="DEH17" s="12"/>
      <c r="DEI17" s="13"/>
      <c r="DEO17" s="4"/>
      <c r="DEP17" s="12"/>
      <c r="DEQ17" s="13"/>
      <c r="DEW17" s="4"/>
      <c r="DEX17" s="12"/>
      <c r="DEY17" s="13"/>
      <c r="DFE17" s="4"/>
      <c r="DFF17" s="12"/>
      <c r="DFG17" s="13"/>
      <c r="DFM17" s="4"/>
      <c r="DFN17" s="12"/>
      <c r="DFO17" s="13"/>
      <c r="DFU17" s="4"/>
      <c r="DFV17" s="12"/>
      <c r="DFW17" s="13"/>
      <c r="DGC17" s="4"/>
      <c r="DGD17" s="12"/>
      <c r="DGE17" s="13"/>
      <c r="DGK17" s="4"/>
      <c r="DGL17" s="12"/>
      <c r="DGM17" s="13"/>
      <c r="DGS17" s="4"/>
      <c r="DGT17" s="12"/>
      <c r="DGU17" s="13"/>
      <c r="DHA17" s="4"/>
      <c r="DHB17" s="12"/>
      <c r="DHC17" s="13"/>
      <c r="DHI17" s="4"/>
      <c r="DHJ17" s="12"/>
      <c r="DHK17" s="13"/>
      <c r="DHQ17" s="4"/>
      <c r="DHR17" s="12"/>
      <c r="DHS17" s="13"/>
      <c r="DHY17" s="4"/>
      <c r="DHZ17" s="12"/>
      <c r="DIA17" s="13"/>
      <c r="DIG17" s="4"/>
      <c r="DIH17" s="12"/>
      <c r="DII17" s="13"/>
      <c r="DIO17" s="4"/>
      <c r="DIP17" s="12"/>
      <c r="DIQ17" s="13"/>
      <c r="DIW17" s="4"/>
      <c r="DIX17" s="12"/>
      <c r="DIY17" s="13"/>
      <c r="DJE17" s="4"/>
      <c r="DJF17" s="12"/>
      <c r="DJG17" s="13"/>
      <c r="DJM17" s="4"/>
      <c r="DJN17" s="12"/>
      <c r="DJO17" s="13"/>
      <c r="DJU17" s="4"/>
      <c r="DJV17" s="12"/>
      <c r="DJW17" s="13"/>
      <c r="DKC17" s="4"/>
      <c r="DKD17" s="12"/>
      <c r="DKE17" s="13"/>
      <c r="DKK17" s="4"/>
      <c r="DKL17" s="12"/>
      <c r="DKM17" s="13"/>
      <c r="DKS17" s="4"/>
      <c r="DKT17" s="12"/>
      <c r="DKU17" s="13"/>
      <c r="DLA17" s="4"/>
      <c r="DLB17" s="12"/>
      <c r="DLC17" s="13"/>
      <c r="DLI17" s="4"/>
      <c r="DLJ17" s="12"/>
      <c r="DLK17" s="13"/>
      <c r="DLQ17" s="4"/>
      <c r="DLR17" s="12"/>
      <c r="DLS17" s="13"/>
      <c r="DLY17" s="4"/>
      <c r="DLZ17" s="12"/>
      <c r="DMA17" s="13"/>
      <c r="DMG17" s="4"/>
      <c r="DMH17" s="12"/>
      <c r="DMI17" s="13"/>
      <c r="DMO17" s="4"/>
      <c r="DMP17" s="12"/>
      <c r="DMQ17" s="13"/>
      <c r="DMW17" s="4"/>
      <c r="DMX17" s="12"/>
      <c r="DMY17" s="13"/>
      <c r="DNE17" s="4"/>
      <c r="DNF17" s="12"/>
      <c r="DNG17" s="13"/>
      <c r="DNM17" s="4"/>
      <c r="DNN17" s="12"/>
      <c r="DNO17" s="13"/>
      <c r="DNU17" s="4"/>
      <c r="DNV17" s="12"/>
      <c r="DNW17" s="13"/>
      <c r="DOC17" s="4"/>
      <c r="DOD17" s="12"/>
      <c r="DOE17" s="13"/>
      <c r="DOK17" s="4"/>
      <c r="DOL17" s="12"/>
      <c r="DOM17" s="13"/>
      <c r="DOS17" s="4"/>
      <c r="DOT17" s="12"/>
      <c r="DOU17" s="13"/>
      <c r="DPA17" s="4"/>
      <c r="DPB17" s="12"/>
      <c r="DPC17" s="13"/>
      <c r="DPI17" s="4"/>
      <c r="DPJ17" s="12"/>
      <c r="DPK17" s="13"/>
      <c r="DPQ17" s="4"/>
      <c r="DPR17" s="12"/>
      <c r="DPS17" s="13"/>
      <c r="DPY17" s="4"/>
      <c r="DPZ17" s="12"/>
      <c r="DQA17" s="13"/>
      <c r="DQG17" s="4"/>
      <c r="DQH17" s="12"/>
      <c r="DQI17" s="13"/>
      <c r="DQO17" s="4"/>
      <c r="DQP17" s="12"/>
      <c r="DQQ17" s="13"/>
      <c r="DQW17" s="4"/>
      <c r="DQX17" s="12"/>
      <c r="DQY17" s="13"/>
      <c r="DRE17" s="4"/>
      <c r="DRF17" s="12"/>
      <c r="DRG17" s="13"/>
      <c r="DRM17" s="4"/>
      <c r="DRN17" s="12"/>
      <c r="DRO17" s="13"/>
      <c r="DRU17" s="4"/>
      <c r="DRV17" s="12"/>
      <c r="DRW17" s="13"/>
      <c r="DSC17" s="4"/>
      <c r="DSD17" s="12"/>
      <c r="DSE17" s="13"/>
      <c r="DSK17" s="4"/>
      <c r="DSL17" s="12"/>
      <c r="DSM17" s="13"/>
      <c r="DSS17" s="4"/>
      <c r="DST17" s="12"/>
      <c r="DSU17" s="13"/>
      <c r="DTA17" s="4"/>
      <c r="DTB17" s="12"/>
      <c r="DTC17" s="13"/>
      <c r="DTI17" s="4"/>
      <c r="DTJ17" s="12"/>
      <c r="DTK17" s="13"/>
      <c r="DTQ17" s="4"/>
      <c r="DTR17" s="12"/>
      <c r="DTS17" s="13"/>
      <c r="DTY17" s="4"/>
      <c r="DTZ17" s="12"/>
      <c r="DUA17" s="13"/>
      <c r="DUG17" s="4"/>
      <c r="DUH17" s="12"/>
      <c r="DUI17" s="13"/>
      <c r="DUO17" s="4"/>
      <c r="DUP17" s="12"/>
      <c r="DUQ17" s="13"/>
      <c r="DUW17" s="4"/>
      <c r="DUX17" s="12"/>
      <c r="DUY17" s="13"/>
      <c r="DVE17" s="4"/>
      <c r="DVF17" s="12"/>
      <c r="DVG17" s="13"/>
      <c r="DVM17" s="4"/>
      <c r="DVN17" s="12"/>
      <c r="DVO17" s="13"/>
      <c r="DVU17" s="4"/>
      <c r="DVV17" s="12"/>
      <c r="DVW17" s="13"/>
      <c r="DWC17" s="4"/>
      <c r="DWD17" s="12"/>
      <c r="DWE17" s="13"/>
      <c r="DWK17" s="4"/>
      <c r="DWL17" s="12"/>
      <c r="DWM17" s="13"/>
      <c r="DWS17" s="4"/>
      <c r="DWT17" s="12"/>
      <c r="DWU17" s="13"/>
      <c r="DXA17" s="4"/>
      <c r="DXB17" s="12"/>
      <c r="DXC17" s="13"/>
      <c r="DXI17" s="4"/>
      <c r="DXJ17" s="12"/>
      <c r="DXK17" s="13"/>
      <c r="DXQ17" s="4"/>
      <c r="DXR17" s="12"/>
      <c r="DXS17" s="13"/>
      <c r="DXY17" s="4"/>
      <c r="DXZ17" s="12"/>
      <c r="DYA17" s="13"/>
      <c r="DYG17" s="4"/>
      <c r="DYH17" s="12"/>
      <c r="DYI17" s="13"/>
      <c r="DYO17" s="4"/>
      <c r="DYP17" s="12"/>
      <c r="DYQ17" s="13"/>
      <c r="DYW17" s="4"/>
      <c r="DYX17" s="12"/>
      <c r="DYY17" s="13"/>
      <c r="DZE17" s="4"/>
      <c r="DZF17" s="12"/>
      <c r="DZG17" s="13"/>
      <c r="DZM17" s="4"/>
      <c r="DZN17" s="12"/>
      <c r="DZO17" s="13"/>
      <c r="DZU17" s="4"/>
      <c r="DZV17" s="12"/>
      <c r="DZW17" s="13"/>
      <c r="EAC17" s="4"/>
      <c r="EAD17" s="12"/>
      <c r="EAE17" s="13"/>
      <c r="EAK17" s="4"/>
      <c r="EAL17" s="12"/>
      <c r="EAM17" s="13"/>
      <c r="EAS17" s="4"/>
      <c r="EAT17" s="12"/>
      <c r="EAU17" s="13"/>
      <c r="EBA17" s="4"/>
      <c r="EBB17" s="12"/>
      <c r="EBC17" s="13"/>
      <c r="EBI17" s="4"/>
      <c r="EBJ17" s="12"/>
      <c r="EBK17" s="13"/>
      <c r="EBQ17" s="4"/>
      <c r="EBR17" s="12"/>
      <c r="EBS17" s="13"/>
      <c r="EBY17" s="4"/>
      <c r="EBZ17" s="12"/>
      <c r="ECA17" s="13"/>
      <c r="ECG17" s="4"/>
      <c r="ECH17" s="12"/>
      <c r="ECI17" s="13"/>
      <c r="ECO17" s="4"/>
      <c r="ECP17" s="12"/>
      <c r="ECQ17" s="13"/>
      <c r="ECW17" s="4"/>
      <c r="ECX17" s="12"/>
      <c r="ECY17" s="13"/>
      <c r="EDE17" s="4"/>
      <c r="EDF17" s="12"/>
      <c r="EDG17" s="13"/>
      <c r="EDM17" s="4"/>
      <c r="EDN17" s="12"/>
      <c r="EDO17" s="13"/>
      <c r="EDU17" s="4"/>
      <c r="EDV17" s="12"/>
      <c r="EDW17" s="13"/>
      <c r="EEC17" s="4"/>
      <c r="EED17" s="12"/>
      <c r="EEE17" s="13"/>
      <c r="EEK17" s="4"/>
      <c r="EEL17" s="12"/>
      <c r="EEM17" s="13"/>
      <c r="EES17" s="4"/>
      <c r="EET17" s="12"/>
      <c r="EEU17" s="13"/>
      <c r="EFA17" s="4"/>
      <c r="EFB17" s="12"/>
      <c r="EFC17" s="13"/>
      <c r="EFI17" s="4"/>
      <c r="EFJ17" s="12"/>
      <c r="EFK17" s="13"/>
      <c r="EFQ17" s="4"/>
      <c r="EFR17" s="12"/>
      <c r="EFS17" s="13"/>
      <c r="EFY17" s="4"/>
      <c r="EFZ17" s="12"/>
      <c r="EGA17" s="13"/>
      <c r="EGG17" s="4"/>
      <c r="EGH17" s="12"/>
      <c r="EGI17" s="13"/>
      <c r="EGO17" s="4"/>
      <c r="EGP17" s="12"/>
      <c r="EGQ17" s="13"/>
      <c r="EGW17" s="4"/>
      <c r="EGX17" s="12"/>
      <c r="EGY17" s="13"/>
      <c r="EHE17" s="4"/>
      <c r="EHF17" s="12"/>
      <c r="EHG17" s="13"/>
      <c r="EHM17" s="4"/>
      <c r="EHN17" s="12"/>
      <c r="EHO17" s="13"/>
      <c r="EHU17" s="4"/>
      <c r="EHV17" s="12"/>
      <c r="EHW17" s="13"/>
      <c r="EIC17" s="4"/>
      <c r="EID17" s="12"/>
      <c r="EIE17" s="13"/>
      <c r="EIK17" s="4"/>
      <c r="EIL17" s="12"/>
      <c r="EIM17" s="13"/>
      <c r="EIS17" s="4"/>
      <c r="EIT17" s="12"/>
      <c r="EIU17" s="13"/>
      <c r="EJA17" s="4"/>
      <c r="EJB17" s="12"/>
      <c r="EJC17" s="13"/>
      <c r="EJI17" s="4"/>
      <c r="EJJ17" s="12"/>
      <c r="EJK17" s="13"/>
      <c r="EJQ17" s="4"/>
      <c r="EJR17" s="12"/>
      <c r="EJS17" s="13"/>
      <c r="EJY17" s="4"/>
      <c r="EJZ17" s="12"/>
      <c r="EKA17" s="13"/>
      <c r="EKG17" s="4"/>
      <c r="EKH17" s="12"/>
      <c r="EKI17" s="13"/>
      <c r="EKO17" s="4"/>
      <c r="EKP17" s="12"/>
      <c r="EKQ17" s="13"/>
      <c r="EKW17" s="4"/>
      <c r="EKX17" s="12"/>
      <c r="EKY17" s="13"/>
      <c r="ELE17" s="4"/>
      <c r="ELF17" s="12"/>
      <c r="ELG17" s="13"/>
      <c r="ELM17" s="4"/>
      <c r="ELN17" s="12"/>
      <c r="ELO17" s="13"/>
      <c r="ELU17" s="4"/>
      <c r="ELV17" s="12"/>
      <c r="ELW17" s="13"/>
      <c r="EMC17" s="4"/>
      <c r="EMD17" s="12"/>
      <c r="EME17" s="13"/>
      <c r="EMK17" s="4"/>
      <c r="EML17" s="12"/>
      <c r="EMM17" s="13"/>
      <c r="EMS17" s="4"/>
      <c r="EMT17" s="12"/>
      <c r="EMU17" s="13"/>
      <c r="ENA17" s="4"/>
      <c r="ENB17" s="12"/>
      <c r="ENC17" s="13"/>
      <c r="ENI17" s="4"/>
      <c r="ENJ17" s="12"/>
      <c r="ENK17" s="13"/>
      <c r="ENQ17" s="4"/>
      <c r="ENR17" s="12"/>
      <c r="ENS17" s="13"/>
      <c r="ENY17" s="4"/>
      <c r="ENZ17" s="12"/>
      <c r="EOA17" s="13"/>
      <c r="EOG17" s="4"/>
      <c r="EOH17" s="12"/>
      <c r="EOI17" s="13"/>
      <c r="EOO17" s="4"/>
      <c r="EOP17" s="12"/>
      <c r="EOQ17" s="13"/>
      <c r="EOW17" s="4"/>
      <c r="EOX17" s="12"/>
      <c r="EOY17" s="13"/>
      <c r="EPE17" s="4"/>
      <c r="EPF17" s="12"/>
      <c r="EPG17" s="13"/>
      <c r="EPM17" s="4"/>
      <c r="EPN17" s="12"/>
      <c r="EPO17" s="13"/>
      <c r="EPU17" s="4"/>
      <c r="EPV17" s="12"/>
      <c r="EPW17" s="13"/>
      <c r="EQC17" s="4"/>
      <c r="EQD17" s="12"/>
      <c r="EQE17" s="13"/>
      <c r="EQK17" s="4"/>
      <c r="EQL17" s="12"/>
      <c r="EQM17" s="13"/>
      <c r="EQS17" s="4"/>
      <c r="EQT17" s="12"/>
      <c r="EQU17" s="13"/>
      <c r="ERA17" s="4"/>
      <c r="ERB17" s="12"/>
      <c r="ERC17" s="13"/>
      <c r="ERI17" s="4"/>
      <c r="ERJ17" s="12"/>
      <c r="ERK17" s="13"/>
      <c r="ERQ17" s="4"/>
      <c r="ERR17" s="12"/>
      <c r="ERS17" s="13"/>
      <c r="ERY17" s="4"/>
      <c r="ERZ17" s="12"/>
      <c r="ESA17" s="13"/>
      <c r="ESG17" s="4"/>
      <c r="ESH17" s="12"/>
      <c r="ESI17" s="13"/>
      <c r="ESO17" s="4"/>
      <c r="ESP17" s="12"/>
      <c r="ESQ17" s="13"/>
      <c r="ESW17" s="4"/>
      <c r="ESX17" s="12"/>
      <c r="ESY17" s="13"/>
      <c r="ETE17" s="4"/>
      <c r="ETF17" s="12"/>
      <c r="ETG17" s="13"/>
      <c r="ETM17" s="4"/>
      <c r="ETN17" s="12"/>
      <c r="ETO17" s="13"/>
      <c r="ETU17" s="4"/>
      <c r="ETV17" s="12"/>
      <c r="ETW17" s="13"/>
      <c r="EUC17" s="4"/>
      <c r="EUD17" s="12"/>
      <c r="EUE17" s="13"/>
      <c r="EUK17" s="4"/>
      <c r="EUL17" s="12"/>
      <c r="EUM17" s="13"/>
      <c r="EUS17" s="4"/>
      <c r="EUT17" s="12"/>
      <c r="EUU17" s="13"/>
      <c r="EVA17" s="4"/>
      <c r="EVB17" s="12"/>
      <c r="EVC17" s="13"/>
      <c r="EVI17" s="4"/>
      <c r="EVJ17" s="12"/>
      <c r="EVK17" s="13"/>
      <c r="EVQ17" s="4"/>
      <c r="EVR17" s="12"/>
      <c r="EVS17" s="13"/>
      <c r="EVY17" s="4"/>
      <c r="EVZ17" s="12"/>
      <c r="EWA17" s="13"/>
      <c r="EWG17" s="4"/>
      <c r="EWH17" s="12"/>
      <c r="EWI17" s="13"/>
      <c r="EWO17" s="4"/>
      <c r="EWP17" s="12"/>
      <c r="EWQ17" s="13"/>
      <c r="EWW17" s="4"/>
      <c r="EWX17" s="12"/>
      <c r="EWY17" s="13"/>
      <c r="EXE17" s="4"/>
      <c r="EXF17" s="12"/>
      <c r="EXG17" s="13"/>
      <c r="EXM17" s="4"/>
      <c r="EXN17" s="12"/>
      <c r="EXO17" s="13"/>
      <c r="EXU17" s="4"/>
      <c r="EXV17" s="12"/>
      <c r="EXW17" s="13"/>
      <c r="EYC17" s="4"/>
      <c r="EYD17" s="12"/>
      <c r="EYE17" s="13"/>
      <c r="EYK17" s="4"/>
      <c r="EYL17" s="12"/>
      <c r="EYM17" s="13"/>
      <c r="EYS17" s="4"/>
      <c r="EYT17" s="12"/>
      <c r="EYU17" s="13"/>
      <c r="EZA17" s="4"/>
      <c r="EZB17" s="12"/>
      <c r="EZC17" s="13"/>
      <c r="EZI17" s="4"/>
      <c r="EZJ17" s="12"/>
      <c r="EZK17" s="13"/>
      <c r="EZQ17" s="4"/>
      <c r="EZR17" s="12"/>
      <c r="EZS17" s="13"/>
      <c r="EZY17" s="4"/>
      <c r="EZZ17" s="12"/>
      <c r="FAA17" s="13"/>
      <c r="FAG17" s="4"/>
      <c r="FAH17" s="12"/>
      <c r="FAI17" s="13"/>
      <c r="FAO17" s="4"/>
      <c r="FAP17" s="12"/>
      <c r="FAQ17" s="13"/>
      <c r="FAW17" s="4"/>
      <c r="FAX17" s="12"/>
      <c r="FAY17" s="13"/>
      <c r="FBE17" s="4"/>
      <c r="FBF17" s="12"/>
      <c r="FBG17" s="13"/>
      <c r="FBM17" s="4"/>
      <c r="FBN17" s="12"/>
      <c r="FBO17" s="13"/>
      <c r="FBU17" s="4"/>
      <c r="FBV17" s="12"/>
      <c r="FBW17" s="13"/>
      <c r="FCC17" s="4"/>
      <c r="FCD17" s="12"/>
      <c r="FCE17" s="13"/>
      <c r="FCK17" s="4"/>
      <c r="FCL17" s="12"/>
      <c r="FCM17" s="13"/>
      <c r="FCS17" s="4"/>
      <c r="FCT17" s="12"/>
      <c r="FCU17" s="13"/>
      <c r="FDA17" s="4"/>
      <c r="FDB17" s="12"/>
      <c r="FDC17" s="13"/>
      <c r="FDI17" s="4"/>
      <c r="FDJ17" s="12"/>
      <c r="FDK17" s="13"/>
      <c r="FDQ17" s="4"/>
      <c r="FDR17" s="12"/>
      <c r="FDS17" s="13"/>
      <c r="FDY17" s="4"/>
      <c r="FDZ17" s="12"/>
      <c r="FEA17" s="13"/>
      <c r="FEG17" s="4"/>
      <c r="FEH17" s="12"/>
      <c r="FEI17" s="13"/>
      <c r="FEO17" s="4"/>
      <c r="FEP17" s="12"/>
      <c r="FEQ17" s="13"/>
      <c r="FEW17" s="4"/>
      <c r="FEX17" s="12"/>
      <c r="FEY17" s="13"/>
      <c r="FFE17" s="4"/>
      <c r="FFF17" s="12"/>
      <c r="FFG17" s="13"/>
      <c r="FFM17" s="4"/>
      <c r="FFN17" s="12"/>
      <c r="FFO17" s="13"/>
      <c r="FFU17" s="4"/>
      <c r="FFV17" s="12"/>
      <c r="FFW17" s="13"/>
      <c r="FGC17" s="4"/>
      <c r="FGD17" s="12"/>
      <c r="FGE17" s="13"/>
      <c r="FGK17" s="4"/>
      <c r="FGL17" s="12"/>
      <c r="FGM17" s="13"/>
      <c r="FGS17" s="4"/>
      <c r="FGT17" s="12"/>
      <c r="FGU17" s="13"/>
      <c r="FHA17" s="4"/>
      <c r="FHB17" s="12"/>
      <c r="FHC17" s="13"/>
      <c r="FHI17" s="4"/>
      <c r="FHJ17" s="12"/>
      <c r="FHK17" s="13"/>
      <c r="FHQ17" s="4"/>
      <c r="FHR17" s="12"/>
      <c r="FHS17" s="13"/>
      <c r="FHY17" s="4"/>
      <c r="FHZ17" s="12"/>
      <c r="FIA17" s="13"/>
      <c r="FIG17" s="4"/>
      <c r="FIH17" s="12"/>
      <c r="FII17" s="13"/>
      <c r="FIO17" s="4"/>
      <c r="FIP17" s="12"/>
      <c r="FIQ17" s="13"/>
      <c r="FIW17" s="4"/>
      <c r="FIX17" s="12"/>
      <c r="FIY17" s="13"/>
      <c r="FJE17" s="4"/>
      <c r="FJF17" s="12"/>
      <c r="FJG17" s="13"/>
      <c r="FJM17" s="4"/>
      <c r="FJN17" s="12"/>
      <c r="FJO17" s="13"/>
      <c r="FJU17" s="4"/>
      <c r="FJV17" s="12"/>
      <c r="FJW17" s="13"/>
      <c r="FKC17" s="4"/>
      <c r="FKD17" s="12"/>
      <c r="FKE17" s="13"/>
      <c r="FKK17" s="4"/>
      <c r="FKL17" s="12"/>
      <c r="FKM17" s="13"/>
      <c r="FKS17" s="4"/>
      <c r="FKT17" s="12"/>
      <c r="FKU17" s="13"/>
      <c r="FLA17" s="4"/>
      <c r="FLB17" s="12"/>
      <c r="FLC17" s="13"/>
      <c r="FLI17" s="4"/>
      <c r="FLJ17" s="12"/>
      <c r="FLK17" s="13"/>
      <c r="FLQ17" s="4"/>
      <c r="FLR17" s="12"/>
      <c r="FLS17" s="13"/>
      <c r="FLY17" s="4"/>
      <c r="FLZ17" s="12"/>
      <c r="FMA17" s="13"/>
      <c r="FMG17" s="4"/>
      <c r="FMH17" s="12"/>
      <c r="FMI17" s="13"/>
      <c r="FMO17" s="4"/>
      <c r="FMP17" s="12"/>
      <c r="FMQ17" s="13"/>
      <c r="FMW17" s="4"/>
      <c r="FMX17" s="12"/>
      <c r="FMY17" s="13"/>
      <c r="FNE17" s="4"/>
      <c r="FNF17" s="12"/>
      <c r="FNG17" s="13"/>
      <c r="FNM17" s="4"/>
      <c r="FNN17" s="12"/>
      <c r="FNO17" s="13"/>
      <c r="FNU17" s="4"/>
      <c r="FNV17" s="12"/>
      <c r="FNW17" s="13"/>
      <c r="FOC17" s="4"/>
      <c r="FOD17" s="12"/>
      <c r="FOE17" s="13"/>
      <c r="FOK17" s="4"/>
      <c r="FOL17" s="12"/>
      <c r="FOM17" s="13"/>
      <c r="FOS17" s="4"/>
      <c r="FOT17" s="12"/>
      <c r="FOU17" s="13"/>
      <c r="FPA17" s="4"/>
      <c r="FPB17" s="12"/>
      <c r="FPC17" s="13"/>
      <c r="FPI17" s="4"/>
      <c r="FPJ17" s="12"/>
      <c r="FPK17" s="13"/>
      <c r="FPQ17" s="4"/>
      <c r="FPR17" s="12"/>
      <c r="FPS17" s="13"/>
      <c r="FPY17" s="4"/>
      <c r="FPZ17" s="12"/>
      <c r="FQA17" s="13"/>
      <c r="FQG17" s="4"/>
      <c r="FQH17" s="12"/>
      <c r="FQI17" s="13"/>
      <c r="FQO17" s="4"/>
      <c r="FQP17" s="12"/>
      <c r="FQQ17" s="13"/>
      <c r="FQW17" s="4"/>
      <c r="FQX17" s="12"/>
      <c r="FQY17" s="13"/>
      <c r="FRE17" s="4"/>
      <c r="FRF17" s="12"/>
      <c r="FRG17" s="13"/>
      <c r="FRM17" s="4"/>
      <c r="FRN17" s="12"/>
      <c r="FRO17" s="13"/>
      <c r="FRU17" s="4"/>
      <c r="FRV17" s="12"/>
      <c r="FRW17" s="13"/>
      <c r="FSC17" s="4"/>
      <c r="FSD17" s="12"/>
      <c r="FSE17" s="13"/>
      <c r="FSK17" s="4"/>
      <c r="FSL17" s="12"/>
      <c r="FSM17" s="13"/>
      <c r="FSS17" s="4"/>
      <c r="FST17" s="12"/>
      <c r="FSU17" s="13"/>
      <c r="FTA17" s="4"/>
      <c r="FTB17" s="12"/>
      <c r="FTC17" s="13"/>
      <c r="FTI17" s="4"/>
      <c r="FTJ17" s="12"/>
      <c r="FTK17" s="13"/>
      <c r="FTQ17" s="4"/>
      <c r="FTR17" s="12"/>
      <c r="FTS17" s="13"/>
      <c r="FTY17" s="4"/>
      <c r="FTZ17" s="12"/>
      <c r="FUA17" s="13"/>
      <c r="FUG17" s="4"/>
      <c r="FUH17" s="12"/>
      <c r="FUI17" s="13"/>
      <c r="FUO17" s="4"/>
      <c r="FUP17" s="12"/>
      <c r="FUQ17" s="13"/>
      <c r="FUW17" s="4"/>
      <c r="FUX17" s="12"/>
      <c r="FUY17" s="13"/>
      <c r="FVE17" s="4"/>
      <c r="FVF17" s="12"/>
      <c r="FVG17" s="13"/>
      <c r="FVM17" s="4"/>
      <c r="FVN17" s="12"/>
      <c r="FVO17" s="13"/>
      <c r="FVU17" s="4"/>
      <c r="FVV17" s="12"/>
      <c r="FVW17" s="13"/>
      <c r="FWC17" s="4"/>
      <c r="FWD17" s="12"/>
      <c r="FWE17" s="13"/>
      <c r="FWK17" s="4"/>
      <c r="FWL17" s="12"/>
      <c r="FWM17" s="13"/>
      <c r="FWS17" s="4"/>
      <c r="FWT17" s="12"/>
      <c r="FWU17" s="13"/>
      <c r="FXA17" s="4"/>
      <c r="FXB17" s="12"/>
      <c r="FXC17" s="13"/>
      <c r="FXI17" s="4"/>
      <c r="FXJ17" s="12"/>
      <c r="FXK17" s="13"/>
      <c r="FXQ17" s="4"/>
      <c r="FXR17" s="12"/>
      <c r="FXS17" s="13"/>
      <c r="FXY17" s="4"/>
      <c r="FXZ17" s="12"/>
      <c r="FYA17" s="13"/>
      <c r="FYG17" s="4"/>
      <c r="FYH17" s="12"/>
      <c r="FYI17" s="13"/>
      <c r="FYO17" s="4"/>
      <c r="FYP17" s="12"/>
      <c r="FYQ17" s="13"/>
      <c r="FYW17" s="4"/>
      <c r="FYX17" s="12"/>
      <c r="FYY17" s="13"/>
      <c r="FZE17" s="4"/>
      <c r="FZF17" s="12"/>
      <c r="FZG17" s="13"/>
      <c r="FZM17" s="4"/>
      <c r="FZN17" s="12"/>
      <c r="FZO17" s="13"/>
      <c r="FZU17" s="4"/>
      <c r="FZV17" s="12"/>
      <c r="FZW17" s="13"/>
      <c r="GAC17" s="4"/>
      <c r="GAD17" s="12"/>
      <c r="GAE17" s="13"/>
      <c r="GAK17" s="4"/>
      <c r="GAL17" s="12"/>
      <c r="GAM17" s="13"/>
      <c r="GAS17" s="4"/>
      <c r="GAT17" s="12"/>
      <c r="GAU17" s="13"/>
      <c r="GBA17" s="4"/>
      <c r="GBB17" s="12"/>
      <c r="GBC17" s="13"/>
      <c r="GBI17" s="4"/>
      <c r="GBJ17" s="12"/>
      <c r="GBK17" s="13"/>
      <c r="GBQ17" s="4"/>
      <c r="GBR17" s="12"/>
      <c r="GBS17" s="13"/>
      <c r="GBY17" s="4"/>
      <c r="GBZ17" s="12"/>
      <c r="GCA17" s="13"/>
      <c r="GCG17" s="4"/>
      <c r="GCH17" s="12"/>
      <c r="GCI17" s="13"/>
      <c r="GCO17" s="4"/>
      <c r="GCP17" s="12"/>
      <c r="GCQ17" s="13"/>
      <c r="GCW17" s="4"/>
      <c r="GCX17" s="12"/>
      <c r="GCY17" s="13"/>
      <c r="GDE17" s="4"/>
      <c r="GDF17" s="12"/>
      <c r="GDG17" s="13"/>
      <c r="GDM17" s="4"/>
      <c r="GDN17" s="12"/>
      <c r="GDO17" s="13"/>
      <c r="GDU17" s="4"/>
      <c r="GDV17" s="12"/>
      <c r="GDW17" s="13"/>
      <c r="GEC17" s="4"/>
      <c r="GED17" s="12"/>
      <c r="GEE17" s="13"/>
      <c r="GEK17" s="4"/>
      <c r="GEL17" s="12"/>
      <c r="GEM17" s="13"/>
      <c r="GES17" s="4"/>
      <c r="GET17" s="12"/>
      <c r="GEU17" s="13"/>
      <c r="GFA17" s="4"/>
      <c r="GFB17" s="12"/>
      <c r="GFC17" s="13"/>
      <c r="GFI17" s="4"/>
      <c r="GFJ17" s="12"/>
      <c r="GFK17" s="13"/>
      <c r="GFQ17" s="4"/>
      <c r="GFR17" s="12"/>
      <c r="GFS17" s="13"/>
      <c r="GFY17" s="4"/>
      <c r="GFZ17" s="12"/>
      <c r="GGA17" s="13"/>
      <c r="GGG17" s="4"/>
      <c r="GGH17" s="12"/>
      <c r="GGI17" s="13"/>
      <c r="GGO17" s="4"/>
      <c r="GGP17" s="12"/>
      <c r="GGQ17" s="13"/>
      <c r="GGW17" s="4"/>
      <c r="GGX17" s="12"/>
      <c r="GGY17" s="13"/>
      <c r="GHE17" s="4"/>
      <c r="GHF17" s="12"/>
      <c r="GHG17" s="13"/>
      <c r="GHM17" s="4"/>
      <c r="GHN17" s="12"/>
      <c r="GHO17" s="13"/>
      <c r="GHU17" s="4"/>
      <c r="GHV17" s="12"/>
      <c r="GHW17" s="13"/>
      <c r="GIC17" s="4"/>
      <c r="GID17" s="12"/>
      <c r="GIE17" s="13"/>
      <c r="GIK17" s="4"/>
      <c r="GIL17" s="12"/>
      <c r="GIM17" s="13"/>
      <c r="GIS17" s="4"/>
      <c r="GIT17" s="12"/>
      <c r="GIU17" s="13"/>
      <c r="GJA17" s="4"/>
      <c r="GJB17" s="12"/>
      <c r="GJC17" s="13"/>
      <c r="GJI17" s="4"/>
      <c r="GJJ17" s="12"/>
      <c r="GJK17" s="13"/>
      <c r="GJQ17" s="4"/>
      <c r="GJR17" s="12"/>
      <c r="GJS17" s="13"/>
      <c r="GJY17" s="4"/>
      <c r="GJZ17" s="12"/>
      <c r="GKA17" s="13"/>
      <c r="GKG17" s="4"/>
      <c r="GKH17" s="12"/>
      <c r="GKI17" s="13"/>
      <c r="GKO17" s="4"/>
      <c r="GKP17" s="12"/>
      <c r="GKQ17" s="13"/>
      <c r="GKW17" s="4"/>
      <c r="GKX17" s="12"/>
      <c r="GKY17" s="13"/>
      <c r="GLE17" s="4"/>
      <c r="GLF17" s="12"/>
      <c r="GLG17" s="13"/>
      <c r="GLM17" s="4"/>
      <c r="GLN17" s="12"/>
      <c r="GLO17" s="13"/>
      <c r="GLU17" s="4"/>
      <c r="GLV17" s="12"/>
      <c r="GLW17" s="13"/>
      <c r="GMC17" s="4"/>
      <c r="GMD17" s="12"/>
      <c r="GME17" s="13"/>
      <c r="GMK17" s="4"/>
      <c r="GML17" s="12"/>
      <c r="GMM17" s="13"/>
      <c r="GMS17" s="4"/>
      <c r="GMT17" s="12"/>
      <c r="GMU17" s="13"/>
      <c r="GNA17" s="4"/>
      <c r="GNB17" s="12"/>
      <c r="GNC17" s="13"/>
      <c r="GNI17" s="4"/>
      <c r="GNJ17" s="12"/>
      <c r="GNK17" s="13"/>
      <c r="GNQ17" s="4"/>
      <c r="GNR17" s="12"/>
      <c r="GNS17" s="13"/>
      <c r="GNY17" s="4"/>
      <c r="GNZ17" s="12"/>
      <c r="GOA17" s="13"/>
      <c r="GOG17" s="4"/>
      <c r="GOH17" s="12"/>
      <c r="GOI17" s="13"/>
      <c r="GOO17" s="4"/>
      <c r="GOP17" s="12"/>
      <c r="GOQ17" s="13"/>
      <c r="GOW17" s="4"/>
      <c r="GOX17" s="12"/>
      <c r="GOY17" s="13"/>
      <c r="GPE17" s="4"/>
      <c r="GPF17" s="12"/>
      <c r="GPG17" s="13"/>
      <c r="GPM17" s="4"/>
      <c r="GPN17" s="12"/>
      <c r="GPO17" s="13"/>
      <c r="GPU17" s="4"/>
      <c r="GPV17" s="12"/>
      <c r="GPW17" s="13"/>
      <c r="GQC17" s="4"/>
      <c r="GQD17" s="12"/>
      <c r="GQE17" s="13"/>
      <c r="GQK17" s="4"/>
      <c r="GQL17" s="12"/>
      <c r="GQM17" s="13"/>
      <c r="GQS17" s="4"/>
      <c r="GQT17" s="12"/>
      <c r="GQU17" s="13"/>
      <c r="GRA17" s="4"/>
      <c r="GRB17" s="12"/>
      <c r="GRC17" s="13"/>
      <c r="GRI17" s="4"/>
      <c r="GRJ17" s="12"/>
      <c r="GRK17" s="13"/>
      <c r="GRQ17" s="4"/>
      <c r="GRR17" s="12"/>
      <c r="GRS17" s="13"/>
      <c r="GRY17" s="4"/>
      <c r="GRZ17" s="12"/>
      <c r="GSA17" s="13"/>
      <c r="GSG17" s="4"/>
      <c r="GSH17" s="12"/>
      <c r="GSI17" s="13"/>
      <c r="GSO17" s="4"/>
      <c r="GSP17" s="12"/>
      <c r="GSQ17" s="13"/>
      <c r="GSW17" s="4"/>
      <c r="GSX17" s="12"/>
      <c r="GSY17" s="13"/>
      <c r="GTE17" s="4"/>
      <c r="GTF17" s="12"/>
      <c r="GTG17" s="13"/>
      <c r="GTM17" s="4"/>
      <c r="GTN17" s="12"/>
      <c r="GTO17" s="13"/>
      <c r="GTU17" s="4"/>
      <c r="GTV17" s="12"/>
      <c r="GTW17" s="13"/>
      <c r="GUC17" s="4"/>
      <c r="GUD17" s="12"/>
      <c r="GUE17" s="13"/>
      <c r="GUK17" s="4"/>
      <c r="GUL17" s="12"/>
      <c r="GUM17" s="13"/>
      <c r="GUS17" s="4"/>
      <c r="GUT17" s="12"/>
      <c r="GUU17" s="13"/>
      <c r="GVA17" s="4"/>
      <c r="GVB17" s="12"/>
      <c r="GVC17" s="13"/>
      <c r="GVI17" s="4"/>
      <c r="GVJ17" s="12"/>
      <c r="GVK17" s="13"/>
      <c r="GVQ17" s="4"/>
      <c r="GVR17" s="12"/>
      <c r="GVS17" s="13"/>
      <c r="GVY17" s="4"/>
      <c r="GVZ17" s="12"/>
      <c r="GWA17" s="13"/>
      <c r="GWG17" s="4"/>
      <c r="GWH17" s="12"/>
      <c r="GWI17" s="13"/>
      <c r="GWO17" s="4"/>
      <c r="GWP17" s="12"/>
      <c r="GWQ17" s="13"/>
      <c r="GWW17" s="4"/>
      <c r="GWX17" s="12"/>
      <c r="GWY17" s="13"/>
      <c r="GXE17" s="4"/>
      <c r="GXF17" s="12"/>
      <c r="GXG17" s="13"/>
      <c r="GXM17" s="4"/>
      <c r="GXN17" s="12"/>
      <c r="GXO17" s="13"/>
      <c r="GXU17" s="4"/>
      <c r="GXV17" s="12"/>
      <c r="GXW17" s="13"/>
      <c r="GYC17" s="4"/>
      <c r="GYD17" s="12"/>
      <c r="GYE17" s="13"/>
      <c r="GYK17" s="4"/>
      <c r="GYL17" s="12"/>
      <c r="GYM17" s="13"/>
      <c r="GYS17" s="4"/>
      <c r="GYT17" s="12"/>
      <c r="GYU17" s="13"/>
      <c r="GZA17" s="4"/>
      <c r="GZB17" s="12"/>
      <c r="GZC17" s="13"/>
      <c r="GZI17" s="4"/>
      <c r="GZJ17" s="12"/>
      <c r="GZK17" s="13"/>
      <c r="GZQ17" s="4"/>
      <c r="GZR17" s="12"/>
      <c r="GZS17" s="13"/>
      <c r="GZY17" s="4"/>
      <c r="GZZ17" s="12"/>
      <c r="HAA17" s="13"/>
      <c r="HAG17" s="4"/>
      <c r="HAH17" s="12"/>
      <c r="HAI17" s="13"/>
      <c r="HAO17" s="4"/>
      <c r="HAP17" s="12"/>
      <c r="HAQ17" s="13"/>
      <c r="HAW17" s="4"/>
      <c r="HAX17" s="12"/>
      <c r="HAY17" s="13"/>
      <c r="HBE17" s="4"/>
      <c r="HBF17" s="12"/>
      <c r="HBG17" s="13"/>
      <c r="HBM17" s="4"/>
      <c r="HBN17" s="12"/>
      <c r="HBO17" s="13"/>
      <c r="HBU17" s="4"/>
      <c r="HBV17" s="12"/>
      <c r="HBW17" s="13"/>
      <c r="HCC17" s="4"/>
      <c r="HCD17" s="12"/>
      <c r="HCE17" s="13"/>
      <c r="HCK17" s="4"/>
      <c r="HCL17" s="12"/>
      <c r="HCM17" s="13"/>
      <c r="HCS17" s="4"/>
      <c r="HCT17" s="12"/>
      <c r="HCU17" s="13"/>
      <c r="HDA17" s="4"/>
      <c r="HDB17" s="12"/>
      <c r="HDC17" s="13"/>
      <c r="HDI17" s="4"/>
      <c r="HDJ17" s="12"/>
      <c r="HDK17" s="13"/>
      <c r="HDQ17" s="4"/>
      <c r="HDR17" s="12"/>
      <c r="HDS17" s="13"/>
      <c r="HDY17" s="4"/>
      <c r="HDZ17" s="12"/>
      <c r="HEA17" s="13"/>
      <c r="HEG17" s="4"/>
      <c r="HEH17" s="12"/>
      <c r="HEI17" s="13"/>
      <c r="HEO17" s="4"/>
      <c r="HEP17" s="12"/>
      <c r="HEQ17" s="13"/>
      <c r="HEW17" s="4"/>
      <c r="HEX17" s="12"/>
      <c r="HEY17" s="13"/>
      <c r="HFE17" s="4"/>
      <c r="HFF17" s="12"/>
      <c r="HFG17" s="13"/>
      <c r="HFM17" s="4"/>
      <c r="HFN17" s="12"/>
      <c r="HFO17" s="13"/>
      <c r="HFU17" s="4"/>
      <c r="HFV17" s="12"/>
      <c r="HFW17" s="13"/>
      <c r="HGC17" s="4"/>
      <c r="HGD17" s="12"/>
      <c r="HGE17" s="13"/>
      <c r="HGK17" s="4"/>
      <c r="HGL17" s="12"/>
      <c r="HGM17" s="13"/>
      <c r="HGS17" s="4"/>
      <c r="HGT17" s="12"/>
      <c r="HGU17" s="13"/>
      <c r="HHA17" s="4"/>
      <c r="HHB17" s="12"/>
      <c r="HHC17" s="13"/>
      <c r="HHI17" s="4"/>
      <c r="HHJ17" s="12"/>
      <c r="HHK17" s="13"/>
      <c r="HHQ17" s="4"/>
      <c r="HHR17" s="12"/>
      <c r="HHS17" s="13"/>
      <c r="HHY17" s="4"/>
      <c r="HHZ17" s="12"/>
      <c r="HIA17" s="13"/>
      <c r="HIG17" s="4"/>
      <c r="HIH17" s="12"/>
      <c r="HII17" s="13"/>
      <c r="HIO17" s="4"/>
      <c r="HIP17" s="12"/>
      <c r="HIQ17" s="13"/>
      <c r="HIW17" s="4"/>
      <c r="HIX17" s="12"/>
      <c r="HIY17" s="13"/>
      <c r="HJE17" s="4"/>
      <c r="HJF17" s="12"/>
      <c r="HJG17" s="13"/>
      <c r="HJM17" s="4"/>
      <c r="HJN17" s="12"/>
      <c r="HJO17" s="13"/>
      <c r="HJU17" s="4"/>
      <c r="HJV17" s="12"/>
      <c r="HJW17" s="13"/>
      <c r="HKC17" s="4"/>
      <c r="HKD17" s="12"/>
      <c r="HKE17" s="13"/>
      <c r="HKK17" s="4"/>
      <c r="HKL17" s="12"/>
      <c r="HKM17" s="13"/>
      <c r="HKS17" s="4"/>
      <c r="HKT17" s="12"/>
      <c r="HKU17" s="13"/>
      <c r="HLA17" s="4"/>
      <c r="HLB17" s="12"/>
      <c r="HLC17" s="13"/>
      <c r="HLI17" s="4"/>
      <c r="HLJ17" s="12"/>
      <c r="HLK17" s="13"/>
      <c r="HLQ17" s="4"/>
      <c r="HLR17" s="12"/>
      <c r="HLS17" s="13"/>
      <c r="HLY17" s="4"/>
      <c r="HLZ17" s="12"/>
      <c r="HMA17" s="13"/>
      <c r="HMG17" s="4"/>
      <c r="HMH17" s="12"/>
      <c r="HMI17" s="13"/>
      <c r="HMO17" s="4"/>
      <c r="HMP17" s="12"/>
      <c r="HMQ17" s="13"/>
      <c r="HMW17" s="4"/>
      <c r="HMX17" s="12"/>
      <c r="HMY17" s="13"/>
      <c r="HNE17" s="4"/>
      <c r="HNF17" s="12"/>
      <c r="HNG17" s="13"/>
      <c r="HNM17" s="4"/>
      <c r="HNN17" s="12"/>
      <c r="HNO17" s="13"/>
      <c r="HNU17" s="4"/>
      <c r="HNV17" s="12"/>
      <c r="HNW17" s="13"/>
      <c r="HOC17" s="4"/>
      <c r="HOD17" s="12"/>
      <c r="HOE17" s="13"/>
      <c r="HOK17" s="4"/>
      <c r="HOL17" s="12"/>
      <c r="HOM17" s="13"/>
      <c r="HOS17" s="4"/>
      <c r="HOT17" s="12"/>
      <c r="HOU17" s="13"/>
      <c r="HPA17" s="4"/>
      <c r="HPB17" s="12"/>
      <c r="HPC17" s="13"/>
      <c r="HPI17" s="4"/>
      <c r="HPJ17" s="12"/>
      <c r="HPK17" s="13"/>
      <c r="HPQ17" s="4"/>
      <c r="HPR17" s="12"/>
      <c r="HPS17" s="13"/>
      <c r="HPY17" s="4"/>
      <c r="HPZ17" s="12"/>
      <c r="HQA17" s="13"/>
      <c r="HQG17" s="4"/>
      <c r="HQH17" s="12"/>
      <c r="HQI17" s="13"/>
      <c r="HQO17" s="4"/>
      <c r="HQP17" s="12"/>
      <c r="HQQ17" s="13"/>
      <c r="HQW17" s="4"/>
      <c r="HQX17" s="12"/>
      <c r="HQY17" s="13"/>
      <c r="HRE17" s="4"/>
      <c r="HRF17" s="12"/>
      <c r="HRG17" s="13"/>
      <c r="HRM17" s="4"/>
      <c r="HRN17" s="12"/>
      <c r="HRO17" s="13"/>
      <c r="HRU17" s="4"/>
      <c r="HRV17" s="12"/>
      <c r="HRW17" s="13"/>
      <c r="HSC17" s="4"/>
      <c r="HSD17" s="12"/>
      <c r="HSE17" s="13"/>
      <c r="HSK17" s="4"/>
      <c r="HSL17" s="12"/>
      <c r="HSM17" s="13"/>
      <c r="HSS17" s="4"/>
      <c r="HST17" s="12"/>
      <c r="HSU17" s="13"/>
      <c r="HTA17" s="4"/>
      <c r="HTB17" s="12"/>
      <c r="HTC17" s="13"/>
      <c r="HTI17" s="4"/>
      <c r="HTJ17" s="12"/>
      <c r="HTK17" s="13"/>
      <c r="HTQ17" s="4"/>
      <c r="HTR17" s="12"/>
      <c r="HTS17" s="13"/>
      <c r="HTY17" s="4"/>
      <c r="HTZ17" s="12"/>
      <c r="HUA17" s="13"/>
      <c r="HUG17" s="4"/>
      <c r="HUH17" s="12"/>
      <c r="HUI17" s="13"/>
      <c r="HUO17" s="4"/>
      <c r="HUP17" s="12"/>
      <c r="HUQ17" s="13"/>
      <c r="HUW17" s="4"/>
      <c r="HUX17" s="12"/>
      <c r="HUY17" s="13"/>
      <c r="HVE17" s="4"/>
      <c r="HVF17" s="12"/>
      <c r="HVG17" s="13"/>
      <c r="HVM17" s="4"/>
      <c r="HVN17" s="12"/>
      <c r="HVO17" s="13"/>
      <c r="HVU17" s="4"/>
      <c r="HVV17" s="12"/>
      <c r="HVW17" s="13"/>
      <c r="HWC17" s="4"/>
      <c r="HWD17" s="12"/>
      <c r="HWE17" s="13"/>
      <c r="HWK17" s="4"/>
      <c r="HWL17" s="12"/>
      <c r="HWM17" s="13"/>
      <c r="HWS17" s="4"/>
      <c r="HWT17" s="12"/>
      <c r="HWU17" s="13"/>
      <c r="HXA17" s="4"/>
      <c r="HXB17" s="12"/>
      <c r="HXC17" s="13"/>
      <c r="HXI17" s="4"/>
      <c r="HXJ17" s="12"/>
      <c r="HXK17" s="13"/>
      <c r="HXQ17" s="4"/>
      <c r="HXR17" s="12"/>
      <c r="HXS17" s="13"/>
      <c r="HXY17" s="4"/>
      <c r="HXZ17" s="12"/>
      <c r="HYA17" s="13"/>
      <c r="HYG17" s="4"/>
      <c r="HYH17" s="12"/>
      <c r="HYI17" s="13"/>
      <c r="HYO17" s="4"/>
      <c r="HYP17" s="12"/>
      <c r="HYQ17" s="13"/>
      <c r="HYW17" s="4"/>
      <c r="HYX17" s="12"/>
      <c r="HYY17" s="13"/>
      <c r="HZE17" s="4"/>
      <c r="HZF17" s="12"/>
      <c r="HZG17" s="13"/>
      <c r="HZM17" s="4"/>
      <c r="HZN17" s="12"/>
      <c r="HZO17" s="13"/>
      <c r="HZU17" s="4"/>
      <c r="HZV17" s="12"/>
      <c r="HZW17" s="13"/>
      <c r="IAC17" s="4"/>
      <c r="IAD17" s="12"/>
      <c r="IAE17" s="13"/>
      <c r="IAK17" s="4"/>
      <c r="IAL17" s="12"/>
      <c r="IAM17" s="13"/>
      <c r="IAS17" s="4"/>
      <c r="IAT17" s="12"/>
      <c r="IAU17" s="13"/>
      <c r="IBA17" s="4"/>
      <c r="IBB17" s="12"/>
      <c r="IBC17" s="13"/>
      <c r="IBI17" s="4"/>
      <c r="IBJ17" s="12"/>
      <c r="IBK17" s="13"/>
      <c r="IBQ17" s="4"/>
      <c r="IBR17" s="12"/>
      <c r="IBS17" s="13"/>
      <c r="IBY17" s="4"/>
      <c r="IBZ17" s="12"/>
      <c r="ICA17" s="13"/>
      <c r="ICG17" s="4"/>
      <c r="ICH17" s="12"/>
      <c r="ICI17" s="13"/>
      <c r="ICO17" s="4"/>
      <c r="ICP17" s="12"/>
      <c r="ICQ17" s="13"/>
      <c r="ICW17" s="4"/>
      <c r="ICX17" s="12"/>
      <c r="ICY17" s="13"/>
      <c r="IDE17" s="4"/>
      <c r="IDF17" s="12"/>
      <c r="IDG17" s="13"/>
      <c r="IDM17" s="4"/>
      <c r="IDN17" s="12"/>
      <c r="IDO17" s="13"/>
      <c r="IDU17" s="4"/>
      <c r="IDV17" s="12"/>
      <c r="IDW17" s="13"/>
      <c r="IEC17" s="4"/>
      <c r="IED17" s="12"/>
      <c r="IEE17" s="13"/>
      <c r="IEK17" s="4"/>
      <c r="IEL17" s="12"/>
      <c r="IEM17" s="13"/>
      <c r="IES17" s="4"/>
      <c r="IET17" s="12"/>
      <c r="IEU17" s="13"/>
      <c r="IFA17" s="4"/>
      <c r="IFB17" s="12"/>
      <c r="IFC17" s="13"/>
      <c r="IFI17" s="4"/>
      <c r="IFJ17" s="12"/>
      <c r="IFK17" s="13"/>
      <c r="IFQ17" s="4"/>
      <c r="IFR17" s="12"/>
      <c r="IFS17" s="13"/>
      <c r="IFY17" s="4"/>
      <c r="IFZ17" s="12"/>
      <c r="IGA17" s="13"/>
      <c r="IGG17" s="4"/>
      <c r="IGH17" s="12"/>
      <c r="IGI17" s="13"/>
      <c r="IGO17" s="4"/>
      <c r="IGP17" s="12"/>
      <c r="IGQ17" s="13"/>
      <c r="IGW17" s="4"/>
      <c r="IGX17" s="12"/>
      <c r="IGY17" s="13"/>
      <c r="IHE17" s="4"/>
      <c r="IHF17" s="12"/>
      <c r="IHG17" s="13"/>
      <c r="IHM17" s="4"/>
      <c r="IHN17" s="12"/>
      <c r="IHO17" s="13"/>
      <c r="IHU17" s="4"/>
      <c r="IHV17" s="12"/>
      <c r="IHW17" s="13"/>
      <c r="IIC17" s="4"/>
      <c r="IID17" s="12"/>
      <c r="IIE17" s="13"/>
      <c r="IIK17" s="4"/>
      <c r="IIL17" s="12"/>
      <c r="IIM17" s="13"/>
      <c r="IIS17" s="4"/>
      <c r="IIT17" s="12"/>
      <c r="IIU17" s="13"/>
      <c r="IJA17" s="4"/>
      <c r="IJB17" s="12"/>
      <c r="IJC17" s="13"/>
      <c r="IJI17" s="4"/>
      <c r="IJJ17" s="12"/>
      <c r="IJK17" s="13"/>
      <c r="IJQ17" s="4"/>
      <c r="IJR17" s="12"/>
      <c r="IJS17" s="13"/>
      <c r="IJY17" s="4"/>
      <c r="IJZ17" s="12"/>
      <c r="IKA17" s="13"/>
      <c r="IKG17" s="4"/>
      <c r="IKH17" s="12"/>
      <c r="IKI17" s="13"/>
      <c r="IKO17" s="4"/>
      <c r="IKP17" s="12"/>
      <c r="IKQ17" s="13"/>
      <c r="IKW17" s="4"/>
      <c r="IKX17" s="12"/>
      <c r="IKY17" s="13"/>
      <c r="ILE17" s="4"/>
      <c r="ILF17" s="12"/>
      <c r="ILG17" s="13"/>
      <c r="ILM17" s="4"/>
      <c r="ILN17" s="12"/>
      <c r="ILO17" s="13"/>
      <c r="ILU17" s="4"/>
      <c r="ILV17" s="12"/>
      <c r="ILW17" s="13"/>
      <c r="IMC17" s="4"/>
      <c r="IMD17" s="12"/>
      <c r="IME17" s="13"/>
      <c r="IMK17" s="4"/>
      <c r="IML17" s="12"/>
      <c r="IMM17" s="13"/>
      <c r="IMS17" s="4"/>
      <c r="IMT17" s="12"/>
      <c r="IMU17" s="13"/>
      <c r="INA17" s="4"/>
      <c r="INB17" s="12"/>
      <c r="INC17" s="13"/>
      <c r="INI17" s="4"/>
      <c r="INJ17" s="12"/>
      <c r="INK17" s="13"/>
      <c r="INQ17" s="4"/>
      <c r="INR17" s="12"/>
      <c r="INS17" s="13"/>
      <c r="INY17" s="4"/>
      <c r="INZ17" s="12"/>
      <c r="IOA17" s="13"/>
      <c r="IOG17" s="4"/>
      <c r="IOH17" s="12"/>
      <c r="IOI17" s="13"/>
      <c r="IOO17" s="4"/>
      <c r="IOP17" s="12"/>
      <c r="IOQ17" s="13"/>
      <c r="IOW17" s="4"/>
      <c r="IOX17" s="12"/>
      <c r="IOY17" s="13"/>
      <c r="IPE17" s="4"/>
      <c r="IPF17" s="12"/>
      <c r="IPG17" s="13"/>
      <c r="IPM17" s="4"/>
      <c r="IPN17" s="12"/>
      <c r="IPO17" s="13"/>
      <c r="IPU17" s="4"/>
      <c r="IPV17" s="12"/>
      <c r="IPW17" s="13"/>
      <c r="IQC17" s="4"/>
      <c r="IQD17" s="12"/>
      <c r="IQE17" s="13"/>
      <c r="IQK17" s="4"/>
      <c r="IQL17" s="12"/>
      <c r="IQM17" s="13"/>
      <c r="IQS17" s="4"/>
      <c r="IQT17" s="12"/>
      <c r="IQU17" s="13"/>
      <c r="IRA17" s="4"/>
      <c r="IRB17" s="12"/>
      <c r="IRC17" s="13"/>
      <c r="IRI17" s="4"/>
      <c r="IRJ17" s="12"/>
      <c r="IRK17" s="13"/>
      <c r="IRQ17" s="4"/>
      <c r="IRR17" s="12"/>
      <c r="IRS17" s="13"/>
      <c r="IRY17" s="4"/>
      <c r="IRZ17" s="12"/>
      <c r="ISA17" s="13"/>
      <c r="ISG17" s="4"/>
      <c r="ISH17" s="12"/>
      <c r="ISI17" s="13"/>
      <c r="ISO17" s="4"/>
      <c r="ISP17" s="12"/>
      <c r="ISQ17" s="13"/>
      <c r="ISW17" s="4"/>
      <c r="ISX17" s="12"/>
      <c r="ISY17" s="13"/>
      <c r="ITE17" s="4"/>
      <c r="ITF17" s="12"/>
      <c r="ITG17" s="13"/>
      <c r="ITM17" s="4"/>
      <c r="ITN17" s="12"/>
      <c r="ITO17" s="13"/>
      <c r="ITU17" s="4"/>
      <c r="ITV17" s="12"/>
      <c r="ITW17" s="13"/>
      <c r="IUC17" s="4"/>
      <c r="IUD17" s="12"/>
      <c r="IUE17" s="13"/>
      <c r="IUK17" s="4"/>
      <c r="IUL17" s="12"/>
      <c r="IUM17" s="13"/>
      <c r="IUS17" s="4"/>
      <c r="IUT17" s="12"/>
      <c r="IUU17" s="13"/>
      <c r="IVA17" s="4"/>
      <c r="IVB17" s="12"/>
      <c r="IVC17" s="13"/>
      <c r="IVI17" s="4"/>
      <c r="IVJ17" s="12"/>
      <c r="IVK17" s="13"/>
      <c r="IVQ17" s="4"/>
      <c r="IVR17" s="12"/>
      <c r="IVS17" s="13"/>
      <c r="IVY17" s="4"/>
      <c r="IVZ17" s="12"/>
      <c r="IWA17" s="13"/>
      <c r="IWG17" s="4"/>
      <c r="IWH17" s="12"/>
      <c r="IWI17" s="13"/>
      <c r="IWO17" s="4"/>
      <c r="IWP17" s="12"/>
      <c r="IWQ17" s="13"/>
      <c r="IWW17" s="4"/>
      <c r="IWX17" s="12"/>
      <c r="IWY17" s="13"/>
      <c r="IXE17" s="4"/>
      <c r="IXF17" s="12"/>
      <c r="IXG17" s="13"/>
      <c r="IXM17" s="4"/>
      <c r="IXN17" s="12"/>
      <c r="IXO17" s="13"/>
      <c r="IXU17" s="4"/>
      <c r="IXV17" s="12"/>
      <c r="IXW17" s="13"/>
      <c r="IYC17" s="4"/>
      <c r="IYD17" s="12"/>
      <c r="IYE17" s="13"/>
      <c r="IYK17" s="4"/>
      <c r="IYL17" s="12"/>
      <c r="IYM17" s="13"/>
      <c r="IYS17" s="4"/>
      <c r="IYT17" s="12"/>
      <c r="IYU17" s="13"/>
      <c r="IZA17" s="4"/>
      <c r="IZB17" s="12"/>
      <c r="IZC17" s="13"/>
      <c r="IZI17" s="4"/>
      <c r="IZJ17" s="12"/>
      <c r="IZK17" s="13"/>
      <c r="IZQ17" s="4"/>
      <c r="IZR17" s="12"/>
      <c r="IZS17" s="13"/>
      <c r="IZY17" s="4"/>
      <c r="IZZ17" s="12"/>
      <c r="JAA17" s="13"/>
      <c r="JAG17" s="4"/>
      <c r="JAH17" s="12"/>
      <c r="JAI17" s="13"/>
      <c r="JAO17" s="4"/>
      <c r="JAP17" s="12"/>
      <c r="JAQ17" s="13"/>
      <c r="JAW17" s="4"/>
      <c r="JAX17" s="12"/>
      <c r="JAY17" s="13"/>
      <c r="JBE17" s="4"/>
      <c r="JBF17" s="12"/>
      <c r="JBG17" s="13"/>
      <c r="JBM17" s="4"/>
      <c r="JBN17" s="12"/>
      <c r="JBO17" s="13"/>
      <c r="JBU17" s="4"/>
      <c r="JBV17" s="12"/>
      <c r="JBW17" s="13"/>
      <c r="JCC17" s="4"/>
      <c r="JCD17" s="12"/>
      <c r="JCE17" s="13"/>
      <c r="JCK17" s="4"/>
      <c r="JCL17" s="12"/>
      <c r="JCM17" s="13"/>
      <c r="JCS17" s="4"/>
      <c r="JCT17" s="12"/>
      <c r="JCU17" s="13"/>
      <c r="JDA17" s="4"/>
      <c r="JDB17" s="12"/>
      <c r="JDC17" s="13"/>
      <c r="JDI17" s="4"/>
      <c r="JDJ17" s="12"/>
      <c r="JDK17" s="13"/>
      <c r="JDQ17" s="4"/>
      <c r="JDR17" s="12"/>
      <c r="JDS17" s="13"/>
      <c r="JDY17" s="4"/>
      <c r="JDZ17" s="12"/>
      <c r="JEA17" s="13"/>
      <c r="JEG17" s="4"/>
      <c r="JEH17" s="12"/>
      <c r="JEI17" s="13"/>
      <c r="JEO17" s="4"/>
      <c r="JEP17" s="12"/>
      <c r="JEQ17" s="13"/>
      <c r="JEW17" s="4"/>
      <c r="JEX17" s="12"/>
      <c r="JEY17" s="13"/>
      <c r="JFE17" s="4"/>
      <c r="JFF17" s="12"/>
      <c r="JFG17" s="13"/>
      <c r="JFM17" s="4"/>
      <c r="JFN17" s="12"/>
      <c r="JFO17" s="13"/>
      <c r="JFU17" s="4"/>
      <c r="JFV17" s="12"/>
      <c r="JFW17" s="13"/>
      <c r="JGC17" s="4"/>
      <c r="JGD17" s="12"/>
      <c r="JGE17" s="13"/>
      <c r="JGK17" s="4"/>
      <c r="JGL17" s="12"/>
      <c r="JGM17" s="13"/>
      <c r="JGS17" s="4"/>
      <c r="JGT17" s="12"/>
      <c r="JGU17" s="13"/>
      <c r="JHA17" s="4"/>
      <c r="JHB17" s="12"/>
      <c r="JHC17" s="13"/>
      <c r="JHI17" s="4"/>
      <c r="JHJ17" s="12"/>
      <c r="JHK17" s="13"/>
      <c r="JHQ17" s="4"/>
      <c r="JHR17" s="12"/>
      <c r="JHS17" s="13"/>
      <c r="JHY17" s="4"/>
      <c r="JHZ17" s="12"/>
      <c r="JIA17" s="13"/>
      <c r="JIG17" s="4"/>
      <c r="JIH17" s="12"/>
      <c r="JII17" s="13"/>
      <c r="JIO17" s="4"/>
      <c r="JIP17" s="12"/>
      <c r="JIQ17" s="13"/>
      <c r="JIW17" s="4"/>
      <c r="JIX17" s="12"/>
      <c r="JIY17" s="13"/>
      <c r="JJE17" s="4"/>
      <c r="JJF17" s="12"/>
      <c r="JJG17" s="13"/>
      <c r="JJM17" s="4"/>
      <c r="JJN17" s="12"/>
      <c r="JJO17" s="13"/>
      <c r="JJU17" s="4"/>
      <c r="JJV17" s="12"/>
      <c r="JJW17" s="13"/>
      <c r="JKC17" s="4"/>
      <c r="JKD17" s="12"/>
      <c r="JKE17" s="13"/>
      <c r="JKK17" s="4"/>
      <c r="JKL17" s="12"/>
      <c r="JKM17" s="13"/>
      <c r="JKS17" s="4"/>
      <c r="JKT17" s="12"/>
      <c r="JKU17" s="13"/>
      <c r="JLA17" s="4"/>
      <c r="JLB17" s="12"/>
      <c r="JLC17" s="13"/>
      <c r="JLI17" s="4"/>
      <c r="JLJ17" s="12"/>
      <c r="JLK17" s="13"/>
      <c r="JLQ17" s="4"/>
      <c r="JLR17" s="12"/>
      <c r="JLS17" s="13"/>
      <c r="JLY17" s="4"/>
      <c r="JLZ17" s="12"/>
      <c r="JMA17" s="13"/>
      <c r="JMG17" s="4"/>
      <c r="JMH17" s="12"/>
      <c r="JMI17" s="13"/>
      <c r="JMO17" s="4"/>
      <c r="JMP17" s="12"/>
      <c r="JMQ17" s="13"/>
      <c r="JMW17" s="4"/>
      <c r="JMX17" s="12"/>
      <c r="JMY17" s="13"/>
      <c r="JNE17" s="4"/>
      <c r="JNF17" s="12"/>
      <c r="JNG17" s="13"/>
      <c r="JNM17" s="4"/>
      <c r="JNN17" s="12"/>
      <c r="JNO17" s="13"/>
      <c r="JNU17" s="4"/>
      <c r="JNV17" s="12"/>
      <c r="JNW17" s="13"/>
      <c r="JOC17" s="4"/>
      <c r="JOD17" s="12"/>
      <c r="JOE17" s="13"/>
      <c r="JOK17" s="4"/>
      <c r="JOL17" s="12"/>
      <c r="JOM17" s="13"/>
      <c r="JOS17" s="4"/>
      <c r="JOT17" s="12"/>
      <c r="JOU17" s="13"/>
      <c r="JPA17" s="4"/>
      <c r="JPB17" s="12"/>
      <c r="JPC17" s="13"/>
      <c r="JPI17" s="4"/>
      <c r="JPJ17" s="12"/>
      <c r="JPK17" s="13"/>
      <c r="JPQ17" s="4"/>
      <c r="JPR17" s="12"/>
      <c r="JPS17" s="13"/>
      <c r="JPY17" s="4"/>
      <c r="JPZ17" s="12"/>
      <c r="JQA17" s="13"/>
      <c r="JQG17" s="4"/>
      <c r="JQH17" s="12"/>
      <c r="JQI17" s="13"/>
      <c r="JQO17" s="4"/>
      <c r="JQP17" s="12"/>
      <c r="JQQ17" s="13"/>
      <c r="JQW17" s="4"/>
      <c r="JQX17" s="12"/>
      <c r="JQY17" s="13"/>
      <c r="JRE17" s="4"/>
      <c r="JRF17" s="12"/>
      <c r="JRG17" s="13"/>
      <c r="JRM17" s="4"/>
      <c r="JRN17" s="12"/>
      <c r="JRO17" s="13"/>
      <c r="JRU17" s="4"/>
      <c r="JRV17" s="12"/>
      <c r="JRW17" s="13"/>
      <c r="JSC17" s="4"/>
      <c r="JSD17" s="12"/>
      <c r="JSE17" s="13"/>
      <c r="JSK17" s="4"/>
      <c r="JSL17" s="12"/>
      <c r="JSM17" s="13"/>
      <c r="JSS17" s="4"/>
      <c r="JST17" s="12"/>
      <c r="JSU17" s="13"/>
      <c r="JTA17" s="4"/>
      <c r="JTB17" s="12"/>
      <c r="JTC17" s="13"/>
      <c r="JTI17" s="4"/>
      <c r="JTJ17" s="12"/>
      <c r="JTK17" s="13"/>
      <c r="JTQ17" s="4"/>
      <c r="JTR17" s="12"/>
      <c r="JTS17" s="13"/>
      <c r="JTY17" s="4"/>
      <c r="JTZ17" s="12"/>
      <c r="JUA17" s="13"/>
      <c r="JUG17" s="4"/>
      <c r="JUH17" s="12"/>
      <c r="JUI17" s="13"/>
      <c r="JUO17" s="4"/>
      <c r="JUP17" s="12"/>
      <c r="JUQ17" s="13"/>
      <c r="JUW17" s="4"/>
      <c r="JUX17" s="12"/>
      <c r="JUY17" s="13"/>
      <c r="JVE17" s="4"/>
      <c r="JVF17" s="12"/>
      <c r="JVG17" s="13"/>
      <c r="JVM17" s="4"/>
      <c r="JVN17" s="12"/>
      <c r="JVO17" s="13"/>
      <c r="JVU17" s="4"/>
      <c r="JVV17" s="12"/>
      <c r="JVW17" s="13"/>
      <c r="JWC17" s="4"/>
      <c r="JWD17" s="12"/>
      <c r="JWE17" s="13"/>
      <c r="JWK17" s="4"/>
      <c r="JWL17" s="12"/>
      <c r="JWM17" s="13"/>
      <c r="JWS17" s="4"/>
      <c r="JWT17" s="12"/>
      <c r="JWU17" s="13"/>
      <c r="JXA17" s="4"/>
      <c r="JXB17" s="12"/>
      <c r="JXC17" s="13"/>
      <c r="JXI17" s="4"/>
      <c r="JXJ17" s="12"/>
      <c r="JXK17" s="13"/>
      <c r="JXQ17" s="4"/>
      <c r="JXR17" s="12"/>
      <c r="JXS17" s="13"/>
      <c r="JXY17" s="4"/>
      <c r="JXZ17" s="12"/>
      <c r="JYA17" s="13"/>
      <c r="JYG17" s="4"/>
      <c r="JYH17" s="12"/>
      <c r="JYI17" s="13"/>
      <c r="JYO17" s="4"/>
      <c r="JYP17" s="12"/>
      <c r="JYQ17" s="13"/>
      <c r="JYW17" s="4"/>
      <c r="JYX17" s="12"/>
      <c r="JYY17" s="13"/>
      <c r="JZE17" s="4"/>
      <c r="JZF17" s="12"/>
      <c r="JZG17" s="13"/>
      <c r="JZM17" s="4"/>
      <c r="JZN17" s="12"/>
      <c r="JZO17" s="13"/>
      <c r="JZU17" s="4"/>
      <c r="JZV17" s="12"/>
      <c r="JZW17" s="13"/>
      <c r="KAC17" s="4"/>
      <c r="KAD17" s="12"/>
      <c r="KAE17" s="13"/>
      <c r="KAK17" s="4"/>
      <c r="KAL17" s="12"/>
      <c r="KAM17" s="13"/>
      <c r="KAS17" s="4"/>
      <c r="KAT17" s="12"/>
      <c r="KAU17" s="13"/>
      <c r="KBA17" s="4"/>
      <c r="KBB17" s="12"/>
      <c r="KBC17" s="13"/>
      <c r="KBI17" s="4"/>
      <c r="KBJ17" s="12"/>
      <c r="KBK17" s="13"/>
      <c r="KBQ17" s="4"/>
      <c r="KBR17" s="12"/>
      <c r="KBS17" s="13"/>
      <c r="KBY17" s="4"/>
      <c r="KBZ17" s="12"/>
      <c r="KCA17" s="13"/>
      <c r="KCG17" s="4"/>
      <c r="KCH17" s="12"/>
      <c r="KCI17" s="13"/>
      <c r="KCO17" s="4"/>
      <c r="KCP17" s="12"/>
      <c r="KCQ17" s="13"/>
      <c r="KCW17" s="4"/>
      <c r="KCX17" s="12"/>
      <c r="KCY17" s="13"/>
      <c r="KDE17" s="4"/>
      <c r="KDF17" s="12"/>
      <c r="KDG17" s="13"/>
      <c r="KDM17" s="4"/>
      <c r="KDN17" s="12"/>
      <c r="KDO17" s="13"/>
      <c r="KDU17" s="4"/>
      <c r="KDV17" s="12"/>
      <c r="KDW17" s="13"/>
      <c r="KEC17" s="4"/>
      <c r="KED17" s="12"/>
      <c r="KEE17" s="13"/>
      <c r="KEK17" s="4"/>
      <c r="KEL17" s="12"/>
      <c r="KEM17" s="13"/>
      <c r="KES17" s="4"/>
      <c r="KET17" s="12"/>
      <c r="KEU17" s="13"/>
      <c r="KFA17" s="4"/>
      <c r="KFB17" s="12"/>
      <c r="KFC17" s="13"/>
      <c r="KFI17" s="4"/>
      <c r="KFJ17" s="12"/>
      <c r="KFK17" s="13"/>
      <c r="KFQ17" s="4"/>
      <c r="KFR17" s="12"/>
      <c r="KFS17" s="13"/>
      <c r="KFY17" s="4"/>
      <c r="KFZ17" s="12"/>
      <c r="KGA17" s="13"/>
      <c r="KGG17" s="4"/>
      <c r="KGH17" s="12"/>
      <c r="KGI17" s="13"/>
      <c r="KGO17" s="4"/>
      <c r="KGP17" s="12"/>
      <c r="KGQ17" s="13"/>
      <c r="KGW17" s="4"/>
      <c r="KGX17" s="12"/>
      <c r="KGY17" s="13"/>
      <c r="KHE17" s="4"/>
      <c r="KHF17" s="12"/>
      <c r="KHG17" s="13"/>
      <c r="KHM17" s="4"/>
      <c r="KHN17" s="12"/>
      <c r="KHO17" s="13"/>
      <c r="KHU17" s="4"/>
      <c r="KHV17" s="12"/>
      <c r="KHW17" s="13"/>
      <c r="KIC17" s="4"/>
      <c r="KID17" s="12"/>
      <c r="KIE17" s="13"/>
      <c r="KIK17" s="4"/>
      <c r="KIL17" s="12"/>
      <c r="KIM17" s="13"/>
      <c r="KIS17" s="4"/>
      <c r="KIT17" s="12"/>
      <c r="KIU17" s="13"/>
      <c r="KJA17" s="4"/>
      <c r="KJB17" s="12"/>
      <c r="KJC17" s="13"/>
      <c r="KJI17" s="4"/>
      <c r="KJJ17" s="12"/>
      <c r="KJK17" s="13"/>
      <c r="KJQ17" s="4"/>
      <c r="KJR17" s="12"/>
      <c r="KJS17" s="13"/>
      <c r="KJY17" s="4"/>
      <c r="KJZ17" s="12"/>
      <c r="KKA17" s="13"/>
      <c r="KKG17" s="4"/>
      <c r="KKH17" s="12"/>
      <c r="KKI17" s="13"/>
      <c r="KKO17" s="4"/>
      <c r="KKP17" s="12"/>
      <c r="KKQ17" s="13"/>
      <c r="KKW17" s="4"/>
      <c r="KKX17" s="12"/>
      <c r="KKY17" s="13"/>
      <c r="KLE17" s="4"/>
      <c r="KLF17" s="12"/>
      <c r="KLG17" s="13"/>
      <c r="KLM17" s="4"/>
      <c r="KLN17" s="12"/>
      <c r="KLO17" s="13"/>
      <c r="KLU17" s="4"/>
      <c r="KLV17" s="12"/>
      <c r="KLW17" s="13"/>
      <c r="KMC17" s="4"/>
      <c r="KMD17" s="12"/>
      <c r="KME17" s="13"/>
      <c r="KMK17" s="4"/>
      <c r="KML17" s="12"/>
      <c r="KMM17" s="13"/>
      <c r="KMS17" s="4"/>
      <c r="KMT17" s="12"/>
      <c r="KMU17" s="13"/>
      <c r="KNA17" s="4"/>
      <c r="KNB17" s="12"/>
      <c r="KNC17" s="13"/>
      <c r="KNI17" s="4"/>
      <c r="KNJ17" s="12"/>
      <c r="KNK17" s="13"/>
      <c r="KNQ17" s="4"/>
      <c r="KNR17" s="12"/>
      <c r="KNS17" s="13"/>
      <c r="KNY17" s="4"/>
      <c r="KNZ17" s="12"/>
      <c r="KOA17" s="13"/>
      <c r="KOG17" s="4"/>
      <c r="KOH17" s="12"/>
      <c r="KOI17" s="13"/>
      <c r="KOO17" s="4"/>
      <c r="KOP17" s="12"/>
      <c r="KOQ17" s="13"/>
      <c r="KOW17" s="4"/>
      <c r="KOX17" s="12"/>
      <c r="KOY17" s="13"/>
      <c r="KPE17" s="4"/>
      <c r="KPF17" s="12"/>
      <c r="KPG17" s="13"/>
      <c r="KPM17" s="4"/>
      <c r="KPN17" s="12"/>
      <c r="KPO17" s="13"/>
      <c r="KPU17" s="4"/>
      <c r="KPV17" s="12"/>
      <c r="KPW17" s="13"/>
      <c r="KQC17" s="4"/>
      <c r="KQD17" s="12"/>
      <c r="KQE17" s="13"/>
      <c r="KQK17" s="4"/>
      <c r="KQL17" s="12"/>
      <c r="KQM17" s="13"/>
      <c r="KQS17" s="4"/>
      <c r="KQT17" s="12"/>
      <c r="KQU17" s="13"/>
      <c r="KRA17" s="4"/>
      <c r="KRB17" s="12"/>
      <c r="KRC17" s="13"/>
      <c r="KRI17" s="4"/>
      <c r="KRJ17" s="12"/>
      <c r="KRK17" s="13"/>
      <c r="KRQ17" s="4"/>
      <c r="KRR17" s="12"/>
      <c r="KRS17" s="13"/>
      <c r="KRY17" s="4"/>
      <c r="KRZ17" s="12"/>
      <c r="KSA17" s="13"/>
      <c r="KSG17" s="4"/>
      <c r="KSH17" s="12"/>
      <c r="KSI17" s="13"/>
      <c r="KSO17" s="4"/>
      <c r="KSP17" s="12"/>
      <c r="KSQ17" s="13"/>
      <c r="KSW17" s="4"/>
      <c r="KSX17" s="12"/>
      <c r="KSY17" s="13"/>
      <c r="KTE17" s="4"/>
      <c r="KTF17" s="12"/>
      <c r="KTG17" s="13"/>
      <c r="KTM17" s="4"/>
      <c r="KTN17" s="12"/>
      <c r="KTO17" s="13"/>
      <c r="KTU17" s="4"/>
      <c r="KTV17" s="12"/>
      <c r="KTW17" s="13"/>
      <c r="KUC17" s="4"/>
      <c r="KUD17" s="12"/>
      <c r="KUE17" s="13"/>
      <c r="KUK17" s="4"/>
      <c r="KUL17" s="12"/>
      <c r="KUM17" s="13"/>
      <c r="KUS17" s="4"/>
      <c r="KUT17" s="12"/>
      <c r="KUU17" s="13"/>
      <c r="KVA17" s="4"/>
      <c r="KVB17" s="12"/>
      <c r="KVC17" s="13"/>
      <c r="KVI17" s="4"/>
      <c r="KVJ17" s="12"/>
      <c r="KVK17" s="13"/>
      <c r="KVQ17" s="4"/>
      <c r="KVR17" s="12"/>
      <c r="KVS17" s="13"/>
      <c r="KVY17" s="4"/>
      <c r="KVZ17" s="12"/>
      <c r="KWA17" s="13"/>
      <c r="KWG17" s="4"/>
      <c r="KWH17" s="12"/>
      <c r="KWI17" s="13"/>
      <c r="KWO17" s="4"/>
      <c r="KWP17" s="12"/>
      <c r="KWQ17" s="13"/>
      <c r="KWW17" s="4"/>
      <c r="KWX17" s="12"/>
      <c r="KWY17" s="13"/>
      <c r="KXE17" s="4"/>
      <c r="KXF17" s="12"/>
      <c r="KXG17" s="13"/>
      <c r="KXM17" s="4"/>
      <c r="KXN17" s="12"/>
      <c r="KXO17" s="13"/>
      <c r="KXU17" s="4"/>
      <c r="KXV17" s="12"/>
      <c r="KXW17" s="13"/>
      <c r="KYC17" s="4"/>
      <c r="KYD17" s="12"/>
      <c r="KYE17" s="13"/>
      <c r="KYK17" s="4"/>
      <c r="KYL17" s="12"/>
      <c r="KYM17" s="13"/>
      <c r="KYS17" s="4"/>
      <c r="KYT17" s="12"/>
      <c r="KYU17" s="13"/>
      <c r="KZA17" s="4"/>
      <c r="KZB17" s="12"/>
      <c r="KZC17" s="13"/>
      <c r="KZI17" s="4"/>
      <c r="KZJ17" s="12"/>
      <c r="KZK17" s="13"/>
      <c r="KZQ17" s="4"/>
      <c r="KZR17" s="12"/>
      <c r="KZS17" s="13"/>
      <c r="KZY17" s="4"/>
      <c r="KZZ17" s="12"/>
      <c r="LAA17" s="13"/>
      <c r="LAG17" s="4"/>
      <c r="LAH17" s="12"/>
      <c r="LAI17" s="13"/>
      <c r="LAO17" s="4"/>
      <c r="LAP17" s="12"/>
      <c r="LAQ17" s="13"/>
      <c r="LAW17" s="4"/>
      <c r="LAX17" s="12"/>
      <c r="LAY17" s="13"/>
      <c r="LBE17" s="4"/>
      <c r="LBF17" s="12"/>
      <c r="LBG17" s="13"/>
      <c r="LBM17" s="4"/>
      <c r="LBN17" s="12"/>
      <c r="LBO17" s="13"/>
      <c r="LBU17" s="4"/>
      <c r="LBV17" s="12"/>
      <c r="LBW17" s="13"/>
      <c r="LCC17" s="4"/>
      <c r="LCD17" s="12"/>
      <c r="LCE17" s="13"/>
      <c r="LCK17" s="4"/>
      <c r="LCL17" s="12"/>
      <c r="LCM17" s="13"/>
      <c r="LCS17" s="4"/>
      <c r="LCT17" s="12"/>
      <c r="LCU17" s="13"/>
      <c r="LDA17" s="4"/>
      <c r="LDB17" s="12"/>
      <c r="LDC17" s="13"/>
      <c r="LDI17" s="4"/>
      <c r="LDJ17" s="12"/>
      <c r="LDK17" s="13"/>
      <c r="LDQ17" s="4"/>
      <c r="LDR17" s="12"/>
      <c r="LDS17" s="13"/>
      <c r="LDY17" s="4"/>
      <c r="LDZ17" s="12"/>
      <c r="LEA17" s="13"/>
      <c r="LEG17" s="4"/>
      <c r="LEH17" s="12"/>
      <c r="LEI17" s="13"/>
      <c r="LEO17" s="4"/>
      <c r="LEP17" s="12"/>
      <c r="LEQ17" s="13"/>
      <c r="LEW17" s="4"/>
      <c r="LEX17" s="12"/>
      <c r="LEY17" s="13"/>
      <c r="LFE17" s="4"/>
      <c r="LFF17" s="12"/>
      <c r="LFG17" s="13"/>
      <c r="LFM17" s="4"/>
      <c r="LFN17" s="12"/>
      <c r="LFO17" s="13"/>
      <c r="LFU17" s="4"/>
      <c r="LFV17" s="12"/>
      <c r="LFW17" s="13"/>
      <c r="LGC17" s="4"/>
      <c r="LGD17" s="12"/>
      <c r="LGE17" s="13"/>
      <c r="LGK17" s="4"/>
      <c r="LGL17" s="12"/>
      <c r="LGM17" s="13"/>
      <c r="LGS17" s="4"/>
      <c r="LGT17" s="12"/>
      <c r="LGU17" s="13"/>
      <c r="LHA17" s="4"/>
      <c r="LHB17" s="12"/>
      <c r="LHC17" s="13"/>
      <c r="LHI17" s="4"/>
      <c r="LHJ17" s="12"/>
      <c r="LHK17" s="13"/>
      <c r="LHQ17" s="4"/>
      <c r="LHR17" s="12"/>
      <c r="LHS17" s="13"/>
      <c r="LHY17" s="4"/>
      <c r="LHZ17" s="12"/>
      <c r="LIA17" s="13"/>
      <c r="LIG17" s="4"/>
      <c r="LIH17" s="12"/>
      <c r="LII17" s="13"/>
      <c r="LIO17" s="4"/>
      <c r="LIP17" s="12"/>
      <c r="LIQ17" s="13"/>
      <c r="LIW17" s="4"/>
      <c r="LIX17" s="12"/>
      <c r="LIY17" s="13"/>
      <c r="LJE17" s="4"/>
      <c r="LJF17" s="12"/>
      <c r="LJG17" s="13"/>
      <c r="LJM17" s="4"/>
      <c r="LJN17" s="12"/>
      <c r="LJO17" s="13"/>
      <c r="LJU17" s="4"/>
      <c r="LJV17" s="12"/>
      <c r="LJW17" s="13"/>
      <c r="LKC17" s="4"/>
      <c r="LKD17" s="12"/>
      <c r="LKE17" s="13"/>
      <c r="LKK17" s="4"/>
      <c r="LKL17" s="12"/>
      <c r="LKM17" s="13"/>
      <c r="LKS17" s="4"/>
      <c r="LKT17" s="12"/>
      <c r="LKU17" s="13"/>
      <c r="LLA17" s="4"/>
      <c r="LLB17" s="12"/>
      <c r="LLC17" s="13"/>
      <c r="LLI17" s="4"/>
      <c r="LLJ17" s="12"/>
      <c r="LLK17" s="13"/>
      <c r="LLQ17" s="4"/>
      <c r="LLR17" s="12"/>
      <c r="LLS17" s="13"/>
      <c r="LLY17" s="4"/>
      <c r="LLZ17" s="12"/>
      <c r="LMA17" s="13"/>
      <c r="LMG17" s="4"/>
      <c r="LMH17" s="12"/>
      <c r="LMI17" s="13"/>
      <c r="LMO17" s="4"/>
      <c r="LMP17" s="12"/>
      <c r="LMQ17" s="13"/>
      <c r="LMW17" s="4"/>
      <c r="LMX17" s="12"/>
      <c r="LMY17" s="13"/>
      <c r="LNE17" s="4"/>
      <c r="LNF17" s="12"/>
      <c r="LNG17" s="13"/>
      <c r="LNM17" s="4"/>
      <c r="LNN17" s="12"/>
      <c r="LNO17" s="13"/>
      <c r="LNU17" s="4"/>
      <c r="LNV17" s="12"/>
      <c r="LNW17" s="13"/>
      <c r="LOC17" s="4"/>
      <c r="LOD17" s="12"/>
      <c r="LOE17" s="13"/>
      <c r="LOK17" s="4"/>
      <c r="LOL17" s="12"/>
      <c r="LOM17" s="13"/>
      <c r="LOS17" s="4"/>
      <c r="LOT17" s="12"/>
      <c r="LOU17" s="13"/>
      <c r="LPA17" s="4"/>
      <c r="LPB17" s="12"/>
      <c r="LPC17" s="13"/>
      <c r="LPI17" s="4"/>
      <c r="LPJ17" s="12"/>
      <c r="LPK17" s="13"/>
      <c r="LPQ17" s="4"/>
      <c r="LPR17" s="12"/>
      <c r="LPS17" s="13"/>
      <c r="LPY17" s="4"/>
      <c r="LPZ17" s="12"/>
      <c r="LQA17" s="13"/>
      <c r="LQG17" s="4"/>
      <c r="LQH17" s="12"/>
      <c r="LQI17" s="13"/>
      <c r="LQO17" s="4"/>
      <c r="LQP17" s="12"/>
      <c r="LQQ17" s="13"/>
      <c r="LQW17" s="4"/>
      <c r="LQX17" s="12"/>
      <c r="LQY17" s="13"/>
      <c r="LRE17" s="4"/>
      <c r="LRF17" s="12"/>
      <c r="LRG17" s="13"/>
      <c r="LRM17" s="4"/>
      <c r="LRN17" s="12"/>
      <c r="LRO17" s="13"/>
      <c r="LRU17" s="4"/>
      <c r="LRV17" s="12"/>
      <c r="LRW17" s="13"/>
      <c r="LSC17" s="4"/>
      <c r="LSD17" s="12"/>
      <c r="LSE17" s="13"/>
      <c r="LSK17" s="4"/>
      <c r="LSL17" s="12"/>
      <c r="LSM17" s="13"/>
      <c r="LSS17" s="4"/>
      <c r="LST17" s="12"/>
      <c r="LSU17" s="13"/>
      <c r="LTA17" s="4"/>
      <c r="LTB17" s="12"/>
      <c r="LTC17" s="13"/>
      <c r="LTI17" s="4"/>
      <c r="LTJ17" s="12"/>
      <c r="LTK17" s="13"/>
      <c r="LTQ17" s="4"/>
      <c r="LTR17" s="12"/>
      <c r="LTS17" s="13"/>
      <c r="LTY17" s="4"/>
      <c r="LTZ17" s="12"/>
      <c r="LUA17" s="13"/>
      <c r="LUG17" s="4"/>
      <c r="LUH17" s="12"/>
      <c r="LUI17" s="13"/>
      <c r="LUO17" s="4"/>
      <c r="LUP17" s="12"/>
      <c r="LUQ17" s="13"/>
      <c r="LUW17" s="4"/>
      <c r="LUX17" s="12"/>
      <c r="LUY17" s="13"/>
      <c r="LVE17" s="4"/>
      <c r="LVF17" s="12"/>
      <c r="LVG17" s="13"/>
      <c r="LVM17" s="4"/>
      <c r="LVN17" s="12"/>
      <c r="LVO17" s="13"/>
      <c r="LVU17" s="4"/>
      <c r="LVV17" s="12"/>
      <c r="LVW17" s="13"/>
      <c r="LWC17" s="4"/>
      <c r="LWD17" s="12"/>
      <c r="LWE17" s="13"/>
      <c r="LWK17" s="4"/>
      <c r="LWL17" s="12"/>
      <c r="LWM17" s="13"/>
      <c r="LWS17" s="4"/>
      <c r="LWT17" s="12"/>
      <c r="LWU17" s="13"/>
      <c r="LXA17" s="4"/>
      <c r="LXB17" s="12"/>
      <c r="LXC17" s="13"/>
      <c r="LXI17" s="4"/>
      <c r="LXJ17" s="12"/>
      <c r="LXK17" s="13"/>
      <c r="LXQ17" s="4"/>
      <c r="LXR17" s="12"/>
      <c r="LXS17" s="13"/>
      <c r="LXY17" s="4"/>
      <c r="LXZ17" s="12"/>
      <c r="LYA17" s="13"/>
      <c r="LYG17" s="4"/>
      <c r="LYH17" s="12"/>
      <c r="LYI17" s="13"/>
      <c r="LYO17" s="4"/>
      <c r="LYP17" s="12"/>
      <c r="LYQ17" s="13"/>
      <c r="LYW17" s="4"/>
      <c r="LYX17" s="12"/>
      <c r="LYY17" s="13"/>
      <c r="LZE17" s="4"/>
      <c r="LZF17" s="12"/>
      <c r="LZG17" s="13"/>
      <c r="LZM17" s="4"/>
      <c r="LZN17" s="12"/>
      <c r="LZO17" s="13"/>
      <c r="LZU17" s="4"/>
      <c r="LZV17" s="12"/>
      <c r="LZW17" s="13"/>
      <c r="MAC17" s="4"/>
      <c r="MAD17" s="12"/>
      <c r="MAE17" s="13"/>
      <c r="MAK17" s="4"/>
      <c r="MAL17" s="12"/>
      <c r="MAM17" s="13"/>
      <c r="MAS17" s="4"/>
      <c r="MAT17" s="12"/>
      <c r="MAU17" s="13"/>
      <c r="MBA17" s="4"/>
      <c r="MBB17" s="12"/>
      <c r="MBC17" s="13"/>
      <c r="MBI17" s="4"/>
      <c r="MBJ17" s="12"/>
      <c r="MBK17" s="13"/>
      <c r="MBQ17" s="4"/>
      <c r="MBR17" s="12"/>
      <c r="MBS17" s="13"/>
      <c r="MBY17" s="4"/>
      <c r="MBZ17" s="12"/>
      <c r="MCA17" s="13"/>
      <c r="MCG17" s="4"/>
      <c r="MCH17" s="12"/>
      <c r="MCI17" s="13"/>
      <c r="MCO17" s="4"/>
      <c r="MCP17" s="12"/>
      <c r="MCQ17" s="13"/>
      <c r="MCW17" s="4"/>
      <c r="MCX17" s="12"/>
      <c r="MCY17" s="13"/>
      <c r="MDE17" s="4"/>
      <c r="MDF17" s="12"/>
      <c r="MDG17" s="13"/>
      <c r="MDM17" s="4"/>
      <c r="MDN17" s="12"/>
      <c r="MDO17" s="13"/>
      <c r="MDU17" s="4"/>
      <c r="MDV17" s="12"/>
      <c r="MDW17" s="13"/>
      <c r="MEC17" s="4"/>
      <c r="MED17" s="12"/>
      <c r="MEE17" s="13"/>
      <c r="MEK17" s="4"/>
      <c r="MEL17" s="12"/>
      <c r="MEM17" s="13"/>
      <c r="MES17" s="4"/>
      <c r="MET17" s="12"/>
      <c r="MEU17" s="13"/>
      <c r="MFA17" s="4"/>
      <c r="MFB17" s="12"/>
      <c r="MFC17" s="13"/>
      <c r="MFI17" s="4"/>
      <c r="MFJ17" s="12"/>
      <c r="MFK17" s="13"/>
      <c r="MFQ17" s="4"/>
      <c r="MFR17" s="12"/>
      <c r="MFS17" s="13"/>
      <c r="MFY17" s="4"/>
      <c r="MFZ17" s="12"/>
      <c r="MGA17" s="13"/>
      <c r="MGG17" s="4"/>
      <c r="MGH17" s="12"/>
      <c r="MGI17" s="13"/>
      <c r="MGO17" s="4"/>
      <c r="MGP17" s="12"/>
      <c r="MGQ17" s="13"/>
      <c r="MGW17" s="4"/>
      <c r="MGX17" s="12"/>
      <c r="MGY17" s="13"/>
      <c r="MHE17" s="4"/>
      <c r="MHF17" s="12"/>
      <c r="MHG17" s="13"/>
      <c r="MHM17" s="4"/>
      <c r="MHN17" s="12"/>
      <c r="MHO17" s="13"/>
      <c r="MHU17" s="4"/>
      <c r="MHV17" s="12"/>
      <c r="MHW17" s="13"/>
      <c r="MIC17" s="4"/>
      <c r="MID17" s="12"/>
      <c r="MIE17" s="13"/>
      <c r="MIK17" s="4"/>
      <c r="MIL17" s="12"/>
      <c r="MIM17" s="13"/>
      <c r="MIS17" s="4"/>
      <c r="MIT17" s="12"/>
      <c r="MIU17" s="13"/>
      <c r="MJA17" s="4"/>
      <c r="MJB17" s="12"/>
      <c r="MJC17" s="13"/>
      <c r="MJI17" s="4"/>
      <c r="MJJ17" s="12"/>
      <c r="MJK17" s="13"/>
      <c r="MJQ17" s="4"/>
      <c r="MJR17" s="12"/>
      <c r="MJS17" s="13"/>
      <c r="MJY17" s="4"/>
      <c r="MJZ17" s="12"/>
      <c r="MKA17" s="13"/>
      <c r="MKG17" s="4"/>
      <c r="MKH17" s="12"/>
      <c r="MKI17" s="13"/>
      <c r="MKO17" s="4"/>
      <c r="MKP17" s="12"/>
      <c r="MKQ17" s="13"/>
      <c r="MKW17" s="4"/>
      <c r="MKX17" s="12"/>
      <c r="MKY17" s="13"/>
      <c r="MLE17" s="4"/>
      <c r="MLF17" s="12"/>
      <c r="MLG17" s="13"/>
      <c r="MLM17" s="4"/>
      <c r="MLN17" s="12"/>
      <c r="MLO17" s="13"/>
      <c r="MLU17" s="4"/>
      <c r="MLV17" s="12"/>
      <c r="MLW17" s="13"/>
      <c r="MMC17" s="4"/>
      <c r="MMD17" s="12"/>
      <c r="MME17" s="13"/>
      <c r="MMK17" s="4"/>
      <c r="MML17" s="12"/>
      <c r="MMM17" s="13"/>
      <c r="MMS17" s="4"/>
      <c r="MMT17" s="12"/>
      <c r="MMU17" s="13"/>
      <c r="MNA17" s="4"/>
      <c r="MNB17" s="12"/>
      <c r="MNC17" s="13"/>
      <c r="MNI17" s="4"/>
      <c r="MNJ17" s="12"/>
      <c r="MNK17" s="13"/>
      <c r="MNQ17" s="4"/>
      <c r="MNR17" s="12"/>
      <c r="MNS17" s="13"/>
      <c r="MNY17" s="4"/>
      <c r="MNZ17" s="12"/>
      <c r="MOA17" s="13"/>
      <c r="MOG17" s="4"/>
      <c r="MOH17" s="12"/>
      <c r="MOI17" s="13"/>
      <c r="MOO17" s="4"/>
      <c r="MOP17" s="12"/>
      <c r="MOQ17" s="13"/>
      <c r="MOW17" s="4"/>
      <c r="MOX17" s="12"/>
      <c r="MOY17" s="13"/>
      <c r="MPE17" s="4"/>
      <c r="MPF17" s="12"/>
      <c r="MPG17" s="13"/>
      <c r="MPM17" s="4"/>
      <c r="MPN17" s="12"/>
      <c r="MPO17" s="13"/>
      <c r="MPU17" s="4"/>
      <c r="MPV17" s="12"/>
      <c r="MPW17" s="13"/>
      <c r="MQC17" s="4"/>
      <c r="MQD17" s="12"/>
      <c r="MQE17" s="13"/>
      <c r="MQK17" s="4"/>
      <c r="MQL17" s="12"/>
      <c r="MQM17" s="13"/>
      <c r="MQS17" s="4"/>
      <c r="MQT17" s="12"/>
      <c r="MQU17" s="13"/>
      <c r="MRA17" s="4"/>
      <c r="MRB17" s="12"/>
      <c r="MRC17" s="13"/>
      <c r="MRI17" s="4"/>
      <c r="MRJ17" s="12"/>
      <c r="MRK17" s="13"/>
      <c r="MRQ17" s="4"/>
      <c r="MRR17" s="12"/>
      <c r="MRS17" s="13"/>
      <c r="MRY17" s="4"/>
      <c r="MRZ17" s="12"/>
      <c r="MSA17" s="13"/>
      <c r="MSG17" s="4"/>
      <c r="MSH17" s="12"/>
      <c r="MSI17" s="13"/>
      <c r="MSO17" s="4"/>
      <c r="MSP17" s="12"/>
      <c r="MSQ17" s="13"/>
      <c r="MSW17" s="4"/>
      <c r="MSX17" s="12"/>
      <c r="MSY17" s="13"/>
      <c r="MTE17" s="4"/>
      <c r="MTF17" s="12"/>
      <c r="MTG17" s="13"/>
      <c r="MTM17" s="4"/>
      <c r="MTN17" s="12"/>
      <c r="MTO17" s="13"/>
      <c r="MTU17" s="4"/>
      <c r="MTV17" s="12"/>
      <c r="MTW17" s="13"/>
      <c r="MUC17" s="4"/>
      <c r="MUD17" s="12"/>
      <c r="MUE17" s="13"/>
      <c r="MUK17" s="4"/>
      <c r="MUL17" s="12"/>
      <c r="MUM17" s="13"/>
      <c r="MUS17" s="4"/>
      <c r="MUT17" s="12"/>
      <c r="MUU17" s="13"/>
      <c r="MVA17" s="4"/>
      <c r="MVB17" s="12"/>
      <c r="MVC17" s="13"/>
      <c r="MVI17" s="4"/>
      <c r="MVJ17" s="12"/>
      <c r="MVK17" s="13"/>
      <c r="MVQ17" s="4"/>
      <c r="MVR17" s="12"/>
      <c r="MVS17" s="13"/>
      <c r="MVY17" s="4"/>
      <c r="MVZ17" s="12"/>
      <c r="MWA17" s="13"/>
      <c r="MWG17" s="4"/>
      <c r="MWH17" s="12"/>
      <c r="MWI17" s="13"/>
      <c r="MWO17" s="4"/>
      <c r="MWP17" s="12"/>
      <c r="MWQ17" s="13"/>
      <c r="MWW17" s="4"/>
      <c r="MWX17" s="12"/>
      <c r="MWY17" s="13"/>
      <c r="MXE17" s="4"/>
      <c r="MXF17" s="12"/>
      <c r="MXG17" s="13"/>
      <c r="MXM17" s="4"/>
      <c r="MXN17" s="12"/>
      <c r="MXO17" s="13"/>
      <c r="MXU17" s="4"/>
      <c r="MXV17" s="12"/>
      <c r="MXW17" s="13"/>
      <c r="MYC17" s="4"/>
      <c r="MYD17" s="12"/>
      <c r="MYE17" s="13"/>
      <c r="MYK17" s="4"/>
      <c r="MYL17" s="12"/>
      <c r="MYM17" s="13"/>
      <c r="MYS17" s="4"/>
      <c r="MYT17" s="12"/>
      <c r="MYU17" s="13"/>
      <c r="MZA17" s="4"/>
      <c r="MZB17" s="12"/>
      <c r="MZC17" s="13"/>
      <c r="MZI17" s="4"/>
      <c r="MZJ17" s="12"/>
      <c r="MZK17" s="13"/>
      <c r="MZQ17" s="4"/>
      <c r="MZR17" s="12"/>
      <c r="MZS17" s="13"/>
      <c r="MZY17" s="4"/>
      <c r="MZZ17" s="12"/>
      <c r="NAA17" s="13"/>
      <c r="NAG17" s="4"/>
      <c r="NAH17" s="12"/>
      <c r="NAI17" s="13"/>
      <c r="NAO17" s="4"/>
      <c r="NAP17" s="12"/>
      <c r="NAQ17" s="13"/>
      <c r="NAW17" s="4"/>
      <c r="NAX17" s="12"/>
      <c r="NAY17" s="13"/>
      <c r="NBE17" s="4"/>
      <c r="NBF17" s="12"/>
      <c r="NBG17" s="13"/>
      <c r="NBM17" s="4"/>
      <c r="NBN17" s="12"/>
      <c r="NBO17" s="13"/>
      <c r="NBU17" s="4"/>
      <c r="NBV17" s="12"/>
      <c r="NBW17" s="13"/>
      <c r="NCC17" s="4"/>
      <c r="NCD17" s="12"/>
      <c r="NCE17" s="13"/>
      <c r="NCK17" s="4"/>
      <c r="NCL17" s="12"/>
      <c r="NCM17" s="13"/>
      <c r="NCS17" s="4"/>
      <c r="NCT17" s="12"/>
      <c r="NCU17" s="13"/>
      <c r="NDA17" s="4"/>
      <c r="NDB17" s="12"/>
      <c r="NDC17" s="13"/>
      <c r="NDI17" s="4"/>
      <c r="NDJ17" s="12"/>
      <c r="NDK17" s="13"/>
      <c r="NDQ17" s="4"/>
      <c r="NDR17" s="12"/>
      <c r="NDS17" s="13"/>
      <c r="NDY17" s="4"/>
      <c r="NDZ17" s="12"/>
      <c r="NEA17" s="13"/>
      <c r="NEG17" s="4"/>
      <c r="NEH17" s="12"/>
      <c r="NEI17" s="13"/>
      <c r="NEO17" s="4"/>
      <c r="NEP17" s="12"/>
      <c r="NEQ17" s="13"/>
      <c r="NEW17" s="4"/>
      <c r="NEX17" s="12"/>
      <c r="NEY17" s="13"/>
      <c r="NFE17" s="4"/>
      <c r="NFF17" s="12"/>
      <c r="NFG17" s="13"/>
      <c r="NFM17" s="4"/>
      <c r="NFN17" s="12"/>
      <c r="NFO17" s="13"/>
      <c r="NFU17" s="4"/>
      <c r="NFV17" s="12"/>
      <c r="NFW17" s="13"/>
      <c r="NGC17" s="4"/>
      <c r="NGD17" s="12"/>
      <c r="NGE17" s="13"/>
      <c r="NGK17" s="4"/>
      <c r="NGL17" s="12"/>
      <c r="NGM17" s="13"/>
      <c r="NGS17" s="4"/>
      <c r="NGT17" s="12"/>
      <c r="NGU17" s="13"/>
      <c r="NHA17" s="4"/>
      <c r="NHB17" s="12"/>
      <c r="NHC17" s="13"/>
      <c r="NHI17" s="4"/>
      <c r="NHJ17" s="12"/>
      <c r="NHK17" s="13"/>
      <c r="NHQ17" s="4"/>
      <c r="NHR17" s="12"/>
      <c r="NHS17" s="13"/>
      <c r="NHY17" s="4"/>
      <c r="NHZ17" s="12"/>
      <c r="NIA17" s="13"/>
      <c r="NIG17" s="4"/>
      <c r="NIH17" s="12"/>
      <c r="NII17" s="13"/>
      <c r="NIO17" s="4"/>
      <c r="NIP17" s="12"/>
      <c r="NIQ17" s="13"/>
      <c r="NIW17" s="4"/>
      <c r="NIX17" s="12"/>
      <c r="NIY17" s="13"/>
      <c r="NJE17" s="4"/>
      <c r="NJF17" s="12"/>
      <c r="NJG17" s="13"/>
      <c r="NJM17" s="4"/>
      <c r="NJN17" s="12"/>
      <c r="NJO17" s="13"/>
      <c r="NJU17" s="4"/>
      <c r="NJV17" s="12"/>
      <c r="NJW17" s="13"/>
      <c r="NKC17" s="4"/>
      <c r="NKD17" s="12"/>
      <c r="NKE17" s="13"/>
      <c r="NKK17" s="4"/>
      <c r="NKL17" s="12"/>
      <c r="NKM17" s="13"/>
      <c r="NKS17" s="4"/>
      <c r="NKT17" s="12"/>
      <c r="NKU17" s="13"/>
      <c r="NLA17" s="4"/>
      <c r="NLB17" s="12"/>
      <c r="NLC17" s="13"/>
      <c r="NLI17" s="4"/>
      <c r="NLJ17" s="12"/>
      <c r="NLK17" s="13"/>
      <c r="NLQ17" s="4"/>
      <c r="NLR17" s="12"/>
      <c r="NLS17" s="13"/>
      <c r="NLY17" s="4"/>
      <c r="NLZ17" s="12"/>
      <c r="NMA17" s="13"/>
      <c r="NMG17" s="4"/>
      <c r="NMH17" s="12"/>
      <c r="NMI17" s="13"/>
      <c r="NMO17" s="4"/>
      <c r="NMP17" s="12"/>
      <c r="NMQ17" s="13"/>
      <c r="NMW17" s="4"/>
      <c r="NMX17" s="12"/>
      <c r="NMY17" s="13"/>
      <c r="NNE17" s="4"/>
      <c r="NNF17" s="12"/>
      <c r="NNG17" s="13"/>
      <c r="NNM17" s="4"/>
      <c r="NNN17" s="12"/>
      <c r="NNO17" s="13"/>
      <c r="NNU17" s="4"/>
      <c r="NNV17" s="12"/>
      <c r="NNW17" s="13"/>
      <c r="NOC17" s="4"/>
      <c r="NOD17" s="12"/>
      <c r="NOE17" s="13"/>
      <c r="NOK17" s="4"/>
      <c r="NOL17" s="12"/>
      <c r="NOM17" s="13"/>
      <c r="NOS17" s="4"/>
      <c r="NOT17" s="12"/>
      <c r="NOU17" s="13"/>
      <c r="NPA17" s="4"/>
      <c r="NPB17" s="12"/>
      <c r="NPC17" s="13"/>
      <c r="NPI17" s="4"/>
      <c r="NPJ17" s="12"/>
      <c r="NPK17" s="13"/>
      <c r="NPQ17" s="4"/>
      <c r="NPR17" s="12"/>
      <c r="NPS17" s="13"/>
      <c r="NPY17" s="4"/>
      <c r="NPZ17" s="12"/>
      <c r="NQA17" s="13"/>
      <c r="NQG17" s="4"/>
      <c r="NQH17" s="12"/>
      <c r="NQI17" s="13"/>
      <c r="NQO17" s="4"/>
      <c r="NQP17" s="12"/>
      <c r="NQQ17" s="13"/>
      <c r="NQW17" s="4"/>
      <c r="NQX17" s="12"/>
      <c r="NQY17" s="13"/>
      <c r="NRE17" s="4"/>
      <c r="NRF17" s="12"/>
      <c r="NRG17" s="13"/>
      <c r="NRM17" s="4"/>
      <c r="NRN17" s="12"/>
      <c r="NRO17" s="13"/>
      <c r="NRU17" s="4"/>
      <c r="NRV17" s="12"/>
      <c r="NRW17" s="13"/>
      <c r="NSC17" s="4"/>
      <c r="NSD17" s="12"/>
      <c r="NSE17" s="13"/>
      <c r="NSK17" s="4"/>
      <c r="NSL17" s="12"/>
      <c r="NSM17" s="13"/>
      <c r="NSS17" s="4"/>
      <c r="NST17" s="12"/>
      <c r="NSU17" s="13"/>
      <c r="NTA17" s="4"/>
      <c r="NTB17" s="12"/>
      <c r="NTC17" s="13"/>
      <c r="NTI17" s="4"/>
      <c r="NTJ17" s="12"/>
      <c r="NTK17" s="13"/>
      <c r="NTQ17" s="4"/>
      <c r="NTR17" s="12"/>
      <c r="NTS17" s="13"/>
      <c r="NTY17" s="4"/>
      <c r="NTZ17" s="12"/>
      <c r="NUA17" s="13"/>
      <c r="NUG17" s="4"/>
      <c r="NUH17" s="12"/>
      <c r="NUI17" s="13"/>
      <c r="NUO17" s="4"/>
      <c r="NUP17" s="12"/>
      <c r="NUQ17" s="13"/>
      <c r="NUW17" s="4"/>
      <c r="NUX17" s="12"/>
      <c r="NUY17" s="13"/>
      <c r="NVE17" s="4"/>
      <c r="NVF17" s="12"/>
      <c r="NVG17" s="13"/>
      <c r="NVM17" s="4"/>
      <c r="NVN17" s="12"/>
      <c r="NVO17" s="13"/>
      <c r="NVU17" s="4"/>
      <c r="NVV17" s="12"/>
      <c r="NVW17" s="13"/>
      <c r="NWC17" s="4"/>
      <c r="NWD17" s="12"/>
      <c r="NWE17" s="13"/>
      <c r="NWK17" s="4"/>
      <c r="NWL17" s="12"/>
      <c r="NWM17" s="13"/>
      <c r="NWS17" s="4"/>
      <c r="NWT17" s="12"/>
      <c r="NWU17" s="13"/>
      <c r="NXA17" s="4"/>
      <c r="NXB17" s="12"/>
      <c r="NXC17" s="13"/>
      <c r="NXI17" s="4"/>
      <c r="NXJ17" s="12"/>
      <c r="NXK17" s="13"/>
      <c r="NXQ17" s="4"/>
      <c r="NXR17" s="12"/>
      <c r="NXS17" s="13"/>
      <c r="NXY17" s="4"/>
      <c r="NXZ17" s="12"/>
      <c r="NYA17" s="13"/>
      <c r="NYG17" s="4"/>
      <c r="NYH17" s="12"/>
      <c r="NYI17" s="13"/>
      <c r="NYO17" s="4"/>
      <c r="NYP17" s="12"/>
      <c r="NYQ17" s="13"/>
      <c r="NYW17" s="4"/>
      <c r="NYX17" s="12"/>
      <c r="NYY17" s="13"/>
      <c r="NZE17" s="4"/>
      <c r="NZF17" s="12"/>
      <c r="NZG17" s="13"/>
      <c r="NZM17" s="4"/>
      <c r="NZN17" s="12"/>
      <c r="NZO17" s="13"/>
      <c r="NZU17" s="4"/>
      <c r="NZV17" s="12"/>
      <c r="NZW17" s="13"/>
      <c r="OAC17" s="4"/>
      <c r="OAD17" s="12"/>
      <c r="OAE17" s="13"/>
      <c r="OAK17" s="4"/>
      <c r="OAL17" s="12"/>
      <c r="OAM17" s="13"/>
      <c r="OAS17" s="4"/>
      <c r="OAT17" s="12"/>
      <c r="OAU17" s="13"/>
      <c r="OBA17" s="4"/>
      <c r="OBB17" s="12"/>
      <c r="OBC17" s="13"/>
      <c r="OBI17" s="4"/>
      <c r="OBJ17" s="12"/>
      <c r="OBK17" s="13"/>
      <c r="OBQ17" s="4"/>
      <c r="OBR17" s="12"/>
      <c r="OBS17" s="13"/>
      <c r="OBY17" s="4"/>
      <c r="OBZ17" s="12"/>
      <c r="OCA17" s="13"/>
      <c r="OCG17" s="4"/>
      <c r="OCH17" s="12"/>
      <c r="OCI17" s="13"/>
      <c r="OCO17" s="4"/>
      <c r="OCP17" s="12"/>
      <c r="OCQ17" s="13"/>
      <c r="OCW17" s="4"/>
      <c r="OCX17" s="12"/>
      <c r="OCY17" s="13"/>
      <c r="ODE17" s="4"/>
      <c r="ODF17" s="12"/>
      <c r="ODG17" s="13"/>
      <c r="ODM17" s="4"/>
      <c r="ODN17" s="12"/>
      <c r="ODO17" s="13"/>
      <c r="ODU17" s="4"/>
      <c r="ODV17" s="12"/>
      <c r="ODW17" s="13"/>
      <c r="OEC17" s="4"/>
      <c r="OED17" s="12"/>
      <c r="OEE17" s="13"/>
      <c r="OEK17" s="4"/>
      <c r="OEL17" s="12"/>
      <c r="OEM17" s="13"/>
      <c r="OES17" s="4"/>
      <c r="OET17" s="12"/>
      <c r="OEU17" s="13"/>
      <c r="OFA17" s="4"/>
      <c r="OFB17" s="12"/>
      <c r="OFC17" s="13"/>
      <c r="OFI17" s="4"/>
      <c r="OFJ17" s="12"/>
      <c r="OFK17" s="13"/>
      <c r="OFQ17" s="4"/>
      <c r="OFR17" s="12"/>
      <c r="OFS17" s="13"/>
      <c r="OFY17" s="4"/>
      <c r="OFZ17" s="12"/>
      <c r="OGA17" s="13"/>
      <c r="OGG17" s="4"/>
      <c r="OGH17" s="12"/>
      <c r="OGI17" s="13"/>
      <c r="OGO17" s="4"/>
      <c r="OGP17" s="12"/>
      <c r="OGQ17" s="13"/>
      <c r="OGW17" s="4"/>
      <c r="OGX17" s="12"/>
      <c r="OGY17" s="13"/>
      <c r="OHE17" s="4"/>
      <c r="OHF17" s="12"/>
      <c r="OHG17" s="13"/>
      <c r="OHM17" s="4"/>
      <c r="OHN17" s="12"/>
      <c r="OHO17" s="13"/>
      <c r="OHU17" s="4"/>
      <c r="OHV17" s="12"/>
      <c r="OHW17" s="13"/>
      <c r="OIC17" s="4"/>
      <c r="OID17" s="12"/>
      <c r="OIE17" s="13"/>
      <c r="OIK17" s="4"/>
      <c r="OIL17" s="12"/>
      <c r="OIM17" s="13"/>
      <c r="OIS17" s="4"/>
      <c r="OIT17" s="12"/>
      <c r="OIU17" s="13"/>
      <c r="OJA17" s="4"/>
      <c r="OJB17" s="12"/>
      <c r="OJC17" s="13"/>
      <c r="OJI17" s="4"/>
      <c r="OJJ17" s="12"/>
      <c r="OJK17" s="13"/>
      <c r="OJQ17" s="4"/>
      <c r="OJR17" s="12"/>
      <c r="OJS17" s="13"/>
      <c r="OJY17" s="4"/>
      <c r="OJZ17" s="12"/>
      <c r="OKA17" s="13"/>
      <c r="OKG17" s="4"/>
      <c r="OKH17" s="12"/>
      <c r="OKI17" s="13"/>
      <c r="OKO17" s="4"/>
      <c r="OKP17" s="12"/>
      <c r="OKQ17" s="13"/>
      <c r="OKW17" s="4"/>
      <c r="OKX17" s="12"/>
      <c r="OKY17" s="13"/>
      <c r="OLE17" s="4"/>
      <c r="OLF17" s="12"/>
      <c r="OLG17" s="13"/>
      <c r="OLM17" s="4"/>
      <c r="OLN17" s="12"/>
      <c r="OLO17" s="13"/>
      <c r="OLU17" s="4"/>
      <c r="OLV17" s="12"/>
      <c r="OLW17" s="13"/>
      <c r="OMC17" s="4"/>
      <c r="OMD17" s="12"/>
      <c r="OME17" s="13"/>
      <c r="OMK17" s="4"/>
      <c r="OML17" s="12"/>
      <c r="OMM17" s="13"/>
      <c r="OMS17" s="4"/>
      <c r="OMT17" s="12"/>
      <c r="OMU17" s="13"/>
      <c r="ONA17" s="4"/>
      <c r="ONB17" s="12"/>
      <c r="ONC17" s="13"/>
      <c r="ONI17" s="4"/>
      <c r="ONJ17" s="12"/>
      <c r="ONK17" s="13"/>
      <c r="ONQ17" s="4"/>
      <c r="ONR17" s="12"/>
      <c r="ONS17" s="13"/>
      <c r="ONY17" s="4"/>
      <c r="ONZ17" s="12"/>
      <c r="OOA17" s="13"/>
      <c r="OOG17" s="4"/>
      <c r="OOH17" s="12"/>
      <c r="OOI17" s="13"/>
      <c r="OOO17" s="4"/>
      <c r="OOP17" s="12"/>
      <c r="OOQ17" s="13"/>
      <c r="OOW17" s="4"/>
      <c r="OOX17" s="12"/>
      <c r="OOY17" s="13"/>
      <c r="OPE17" s="4"/>
      <c r="OPF17" s="12"/>
      <c r="OPG17" s="13"/>
      <c r="OPM17" s="4"/>
      <c r="OPN17" s="12"/>
      <c r="OPO17" s="13"/>
      <c r="OPU17" s="4"/>
      <c r="OPV17" s="12"/>
      <c r="OPW17" s="13"/>
      <c r="OQC17" s="4"/>
      <c r="OQD17" s="12"/>
      <c r="OQE17" s="13"/>
      <c r="OQK17" s="4"/>
      <c r="OQL17" s="12"/>
      <c r="OQM17" s="13"/>
      <c r="OQS17" s="4"/>
      <c r="OQT17" s="12"/>
      <c r="OQU17" s="13"/>
      <c r="ORA17" s="4"/>
      <c r="ORB17" s="12"/>
      <c r="ORC17" s="13"/>
      <c r="ORI17" s="4"/>
      <c r="ORJ17" s="12"/>
      <c r="ORK17" s="13"/>
      <c r="ORQ17" s="4"/>
      <c r="ORR17" s="12"/>
      <c r="ORS17" s="13"/>
      <c r="ORY17" s="4"/>
      <c r="ORZ17" s="12"/>
      <c r="OSA17" s="13"/>
      <c r="OSG17" s="4"/>
      <c r="OSH17" s="12"/>
      <c r="OSI17" s="13"/>
      <c r="OSO17" s="4"/>
      <c r="OSP17" s="12"/>
      <c r="OSQ17" s="13"/>
      <c r="OSW17" s="4"/>
      <c r="OSX17" s="12"/>
      <c r="OSY17" s="13"/>
      <c r="OTE17" s="4"/>
      <c r="OTF17" s="12"/>
      <c r="OTG17" s="13"/>
      <c r="OTM17" s="4"/>
      <c r="OTN17" s="12"/>
      <c r="OTO17" s="13"/>
      <c r="OTU17" s="4"/>
      <c r="OTV17" s="12"/>
      <c r="OTW17" s="13"/>
      <c r="OUC17" s="4"/>
      <c r="OUD17" s="12"/>
      <c r="OUE17" s="13"/>
      <c r="OUK17" s="4"/>
      <c r="OUL17" s="12"/>
      <c r="OUM17" s="13"/>
      <c r="OUS17" s="4"/>
      <c r="OUT17" s="12"/>
      <c r="OUU17" s="13"/>
      <c r="OVA17" s="4"/>
      <c r="OVB17" s="12"/>
      <c r="OVC17" s="13"/>
      <c r="OVI17" s="4"/>
      <c r="OVJ17" s="12"/>
      <c r="OVK17" s="13"/>
      <c r="OVQ17" s="4"/>
      <c r="OVR17" s="12"/>
      <c r="OVS17" s="13"/>
      <c r="OVY17" s="4"/>
      <c r="OVZ17" s="12"/>
      <c r="OWA17" s="13"/>
      <c r="OWG17" s="4"/>
      <c r="OWH17" s="12"/>
      <c r="OWI17" s="13"/>
      <c r="OWO17" s="4"/>
      <c r="OWP17" s="12"/>
      <c r="OWQ17" s="13"/>
      <c r="OWW17" s="4"/>
      <c r="OWX17" s="12"/>
      <c r="OWY17" s="13"/>
      <c r="OXE17" s="4"/>
      <c r="OXF17" s="12"/>
      <c r="OXG17" s="13"/>
      <c r="OXM17" s="4"/>
      <c r="OXN17" s="12"/>
      <c r="OXO17" s="13"/>
      <c r="OXU17" s="4"/>
      <c r="OXV17" s="12"/>
      <c r="OXW17" s="13"/>
      <c r="OYC17" s="4"/>
      <c r="OYD17" s="12"/>
      <c r="OYE17" s="13"/>
      <c r="OYK17" s="4"/>
      <c r="OYL17" s="12"/>
      <c r="OYM17" s="13"/>
      <c r="OYS17" s="4"/>
      <c r="OYT17" s="12"/>
      <c r="OYU17" s="13"/>
      <c r="OZA17" s="4"/>
      <c r="OZB17" s="12"/>
      <c r="OZC17" s="13"/>
      <c r="OZI17" s="4"/>
      <c r="OZJ17" s="12"/>
      <c r="OZK17" s="13"/>
      <c r="OZQ17" s="4"/>
      <c r="OZR17" s="12"/>
      <c r="OZS17" s="13"/>
      <c r="OZY17" s="4"/>
      <c r="OZZ17" s="12"/>
      <c r="PAA17" s="13"/>
      <c r="PAG17" s="4"/>
      <c r="PAH17" s="12"/>
      <c r="PAI17" s="13"/>
      <c r="PAO17" s="4"/>
      <c r="PAP17" s="12"/>
      <c r="PAQ17" s="13"/>
      <c r="PAW17" s="4"/>
      <c r="PAX17" s="12"/>
      <c r="PAY17" s="13"/>
      <c r="PBE17" s="4"/>
      <c r="PBF17" s="12"/>
      <c r="PBG17" s="13"/>
      <c r="PBM17" s="4"/>
      <c r="PBN17" s="12"/>
      <c r="PBO17" s="13"/>
      <c r="PBU17" s="4"/>
      <c r="PBV17" s="12"/>
      <c r="PBW17" s="13"/>
      <c r="PCC17" s="4"/>
      <c r="PCD17" s="12"/>
      <c r="PCE17" s="13"/>
      <c r="PCK17" s="4"/>
      <c r="PCL17" s="12"/>
      <c r="PCM17" s="13"/>
      <c r="PCS17" s="4"/>
      <c r="PCT17" s="12"/>
      <c r="PCU17" s="13"/>
      <c r="PDA17" s="4"/>
      <c r="PDB17" s="12"/>
      <c r="PDC17" s="13"/>
      <c r="PDI17" s="4"/>
      <c r="PDJ17" s="12"/>
      <c r="PDK17" s="13"/>
      <c r="PDQ17" s="4"/>
      <c r="PDR17" s="12"/>
      <c r="PDS17" s="13"/>
      <c r="PDY17" s="4"/>
      <c r="PDZ17" s="12"/>
      <c r="PEA17" s="13"/>
      <c r="PEG17" s="4"/>
      <c r="PEH17" s="12"/>
      <c r="PEI17" s="13"/>
      <c r="PEO17" s="4"/>
      <c r="PEP17" s="12"/>
      <c r="PEQ17" s="13"/>
      <c r="PEW17" s="4"/>
      <c r="PEX17" s="12"/>
      <c r="PEY17" s="13"/>
      <c r="PFE17" s="4"/>
      <c r="PFF17" s="12"/>
      <c r="PFG17" s="13"/>
      <c r="PFM17" s="4"/>
      <c r="PFN17" s="12"/>
      <c r="PFO17" s="13"/>
      <c r="PFU17" s="4"/>
      <c r="PFV17" s="12"/>
      <c r="PFW17" s="13"/>
      <c r="PGC17" s="4"/>
      <c r="PGD17" s="12"/>
      <c r="PGE17" s="13"/>
      <c r="PGK17" s="4"/>
      <c r="PGL17" s="12"/>
      <c r="PGM17" s="13"/>
      <c r="PGS17" s="4"/>
      <c r="PGT17" s="12"/>
      <c r="PGU17" s="13"/>
      <c r="PHA17" s="4"/>
      <c r="PHB17" s="12"/>
      <c r="PHC17" s="13"/>
      <c r="PHI17" s="4"/>
      <c r="PHJ17" s="12"/>
      <c r="PHK17" s="13"/>
      <c r="PHQ17" s="4"/>
      <c r="PHR17" s="12"/>
      <c r="PHS17" s="13"/>
      <c r="PHY17" s="4"/>
      <c r="PHZ17" s="12"/>
      <c r="PIA17" s="13"/>
      <c r="PIG17" s="4"/>
      <c r="PIH17" s="12"/>
      <c r="PII17" s="13"/>
      <c r="PIO17" s="4"/>
      <c r="PIP17" s="12"/>
      <c r="PIQ17" s="13"/>
      <c r="PIW17" s="4"/>
      <c r="PIX17" s="12"/>
      <c r="PIY17" s="13"/>
      <c r="PJE17" s="4"/>
      <c r="PJF17" s="12"/>
      <c r="PJG17" s="13"/>
      <c r="PJM17" s="4"/>
      <c r="PJN17" s="12"/>
      <c r="PJO17" s="13"/>
      <c r="PJU17" s="4"/>
      <c r="PJV17" s="12"/>
      <c r="PJW17" s="13"/>
      <c r="PKC17" s="4"/>
      <c r="PKD17" s="12"/>
      <c r="PKE17" s="13"/>
      <c r="PKK17" s="4"/>
      <c r="PKL17" s="12"/>
      <c r="PKM17" s="13"/>
      <c r="PKS17" s="4"/>
      <c r="PKT17" s="12"/>
      <c r="PKU17" s="13"/>
      <c r="PLA17" s="4"/>
      <c r="PLB17" s="12"/>
      <c r="PLC17" s="13"/>
      <c r="PLI17" s="4"/>
      <c r="PLJ17" s="12"/>
      <c r="PLK17" s="13"/>
      <c r="PLQ17" s="4"/>
      <c r="PLR17" s="12"/>
      <c r="PLS17" s="13"/>
      <c r="PLY17" s="4"/>
      <c r="PLZ17" s="12"/>
      <c r="PMA17" s="13"/>
      <c r="PMG17" s="4"/>
      <c r="PMH17" s="12"/>
      <c r="PMI17" s="13"/>
      <c r="PMO17" s="4"/>
      <c r="PMP17" s="12"/>
      <c r="PMQ17" s="13"/>
      <c r="PMW17" s="4"/>
      <c r="PMX17" s="12"/>
      <c r="PMY17" s="13"/>
      <c r="PNE17" s="4"/>
      <c r="PNF17" s="12"/>
      <c r="PNG17" s="13"/>
      <c r="PNM17" s="4"/>
      <c r="PNN17" s="12"/>
      <c r="PNO17" s="13"/>
      <c r="PNU17" s="4"/>
      <c r="PNV17" s="12"/>
      <c r="PNW17" s="13"/>
      <c r="POC17" s="4"/>
      <c r="POD17" s="12"/>
      <c r="POE17" s="13"/>
      <c r="POK17" s="4"/>
      <c r="POL17" s="12"/>
      <c r="POM17" s="13"/>
      <c r="POS17" s="4"/>
      <c r="POT17" s="12"/>
      <c r="POU17" s="13"/>
      <c r="PPA17" s="4"/>
      <c r="PPB17" s="12"/>
      <c r="PPC17" s="13"/>
      <c r="PPI17" s="4"/>
      <c r="PPJ17" s="12"/>
      <c r="PPK17" s="13"/>
      <c r="PPQ17" s="4"/>
      <c r="PPR17" s="12"/>
      <c r="PPS17" s="13"/>
      <c r="PPY17" s="4"/>
      <c r="PPZ17" s="12"/>
      <c r="PQA17" s="13"/>
      <c r="PQG17" s="4"/>
      <c r="PQH17" s="12"/>
      <c r="PQI17" s="13"/>
      <c r="PQO17" s="4"/>
      <c r="PQP17" s="12"/>
      <c r="PQQ17" s="13"/>
      <c r="PQW17" s="4"/>
      <c r="PQX17" s="12"/>
      <c r="PQY17" s="13"/>
      <c r="PRE17" s="4"/>
      <c r="PRF17" s="12"/>
      <c r="PRG17" s="13"/>
      <c r="PRM17" s="4"/>
      <c r="PRN17" s="12"/>
      <c r="PRO17" s="13"/>
      <c r="PRU17" s="4"/>
      <c r="PRV17" s="12"/>
      <c r="PRW17" s="13"/>
      <c r="PSC17" s="4"/>
      <c r="PSD17" s="12"/>
      <c r="PSE17" s="13"/>
      <c r="PSK17" s="4"/>
      <c r="PSL17" s="12"/>
      <c r="PSM17" s="13"/>
      <c r="PSS17" s="4"/>
      <c r="PST17" s="12"/>
      <c r="PSU17" s="13"/>
      <c r="PTA17" s="4"/>
      <c r="PTB17" s="12"/>
      <c r="PTC17" s="13"/>
      <c r="PTI17" s="4"/>
      <c r="PTJ17" s="12"/>
      <c r="PTK17" s="13"/>
      <c r="PTQ17" s="4"/>
      <c r="PTR17" s="12"/>
      <c r="PTS17" s="13"/>
      <c r="PTY17" s="4"/>
      <c r="PTZ17" s="12"/>
      <c r="PUA17" s="13"/>
      <c r="PUG17" s="4"/>
      <c r="PUH17" s="12"/>
      <c r="PUI17" s="13"/>
      <c r="PUO17" s="4"/>
      <c r="PUP17" s="12"/>
      <c r="PUQ17" s="13"/>
      <c r="PUW17" s="4"/>
      <c r="PUX17" s="12"/>
      <c r="PUY17" s="13"/>
      <c r="PVE17" s="4"/>
      <c r="PVF17" s="12"/>
      <c r="PVG17" s="13"/>
      <c r="PVM17" s="4"/>
      <c r="PVN17" s="12"/>
      <c r="PVO17" s="13"/>
      <c r="PVU17" s="4"/>
      <c r="PVV17" s="12"/>
      <c r="PVW17" s="13"/>
      <c r="PWC17" s="4"/>
      <c r="PWD17" s="12"/>
      <c r="PWE17" s="13"/>
      <c r="PWK17" s="4"/>
      <c r="PWL17" s="12"/>
      <c r="PWM17" s="13"/>
      <c r="PWS17" s="4"/>
      <c r="PWT17" s="12"/>
      <c r="PWU17" s="13"/>
      <c r="PXA17" s="4"/>
      <c r="PXB17" s="12"/>
      <c r="PXC17" s="13"/>
      <c r="PXI17" s="4"/>
      <c r="PXJ17" s="12"/>
      <c r="PXK17" s="13"/>
      <c r="PXQ17" s="4"/>
      <c r="PXR17" s="12"/>
      <c r="PXS17" s="13"/>
      <c r="PXY17" s="4"/>
      <c r="PXZ17" s="12"/>
      <c r="PYA17" s="13"/>
      <c r="PYG17" s="4"/>
      <c r="PYH17" s="12"/>
      <c r="PYI17" s="13"/>
      <c r="PYO17" s="4"/>
      <c r="PYP17" s="12"/>
      <c r="PYQ17" s="13"/>
      <c r="PYW17" s="4"/>
      <c r="PYX17" s="12"/>
      <c r="PYY17" s="13"/>
      <c r="PZE17" s="4"/>
      <c r="PZF17" s="12"/>
      <c r="PZG17" s="13"/>
      <c r="PZM17" s="4"/>
      <c r="PZN17" s="12"/>
      <c r="PZO17" s="13"/>
      <c r="PZU17" s="4"/>
      <c r="PZV17" s="12"/>
      <c r="PZW17" s="13"/>
      <c r="QAC17" s="4"/>
      <c r="QAD17" s="12"/>
      <c r="QAE17" s="13"/>
      <c r="QAK17" s="4"/>
      <c r="QAL17" s="12"/>
      <c r="QAM17" s="13"/>
      <c r="QAS17" s="4"/>
      <c r="QAT17" s="12"/>
      <c r="QAU17" s="13"/>
      <c r="QBA17" s="4"/>
      <c r="QBB17" s="12"/>
      <c r="QBC17" s="13"/>
      <c r="QBI17" s="4"/>
      <c r="QBJ17" s="12"/>
      <c r="QBK17" s="13"/>
      <c r="QBQ17" s="4"/>
      <c r="QBR17" s="12"/>
      <c r="QBS17" s="13"/>
      <c r="QBY17" s="4"/>
      <c r="QBZ17" s="12"/>
      <c r="QCA17" s="13"/>
      <c r="QCG17" s="4"/>
      <c r="QCH17" s="12"/>
      <c r="QCI17" s="13"/>
      <c r="QCO17" s="4"/>
      <c r="QCP17" s="12"/>
      <c r="QCQ17" s="13"/>
      <c r="QCW17" s="4"/>
      <c r="QCX17" s="12"/>
      <c r="QCY17" s="13"/>
      <c r="QDE17" s="4"/>
      <c r="QDF17" s="12"/>
      <c r="QDG17" s="13"/>
      <c r="QDM17" s="4"/>
      <c r="QDN17" s="12"/>
      <c r="QDO17" s="13"/>
      <c r="QDU17" s="4"/>
      <c r="QDV17" s="12"/>
      <c r="QDW17" s="13"/>
      <c r="QEC17" s="4"/>
      <c r="QED17" s="12"/>
      <c r="QEE17" s="13"/>
      <c r="QEK17" s="4"/>
      <c r="QEL17" s="12"/>
      <c r="QEM17" s="13"/>
      <c r="QES17" s="4"/>
      <c r="QET17" s="12"/>
      <c r="QEU17" s="13"/>
      <c r="QFA17" s="4"/>
      <c r="QFB17" s="12"/>
      <c r="QFC17" s="13"/>
      <c r="QFI17" s="4"/>
      <c r="QFJ17" s="12"/>
      <c r="QFK17" s="13"/>
      <c r="QFQ17" s="4"/>
      <c r="QFR17" s="12"/>
      <c r="QFS17" s="13"/>
      <c r="QFY17" s="4"/>
      <c r="QFZ17" s="12"/>
      <c r="QGA17" s="13"/>
      <c r="QGG17" s="4"/>
      <c r="QGH17" s="12"/>
      <c r="QGI17" s="13"/>
      <c r="QGO17" s="4"/>
      <c r="QGP17" s="12"/>
      <c r="QGQ17" s="13"/>
      <c r="QGW17" s="4"/>
      <c r="QGX17" s="12"/>
      <c r="QGY17" s="13"/>
      <c r="QHE17" s="4"/>
      <c r="QHF17" s="12"/>
      <c r="QHG17" s="13"/>
      <c r="QHM17" s="4"/>
      <c r="QHN17" s="12"/>
      <c r="QHO17" s="13"/>
      <c r="QHU17" s="4"/>
      <c r="QHV17" s="12"/>
      <c r="QHW17" s="13"/>
      <c r="QIC17" s="4"/>
      <c r="QID17" s="12"/>
      <c r="QIE17" s="13"/>
      <c r="QIK17" s="4"/>
      <c r="QIL17" s="12"/>
      <c r="QIM17" s="13"/>
      <c r="QIS17" s="4"/>
      <c r="QIT17" s="12"/>
      <c r="QIU17" s="13"/>
      <c r="QJA17" s="4"/>
      <c r="QJB17" s="12"/>
      <c r="QJC17" s="13"/>
      <c r="QJI17" s="4"/>
      <c r="QJJ17" s="12"/>
      <c r="QJK17" s="13"/>
      <c r="QJQ17" s="4"/>
      <c r="QJR17" s="12"/>
      <c r="QJS17" s="13"/>
      <c r="QJY17" s="4"/>
      <c r="QJZ17" s="12"/>
      <c r="QKA17" s="13"/>
      <c r="QKG17" s="4"/>
      <c r="QKH17" s="12"/>
      <c r="QKI17" s="13"/>
      <c r="QKO17" s="4"/>
      <c r="QKP17" s="12"/>
      <c r="QKQ17" s="13"/>
      <c r="QKW17" s="4"/>
      <c r="QKX17" s="12"/>
      <c r="QKY17" s="13"/>
      <c r="QLE17" s="4"/>
      <c r="QLF17" s="12"/>
      <c r="QLG17" s="13"/>
      <c r="QLM17" s="4"/>
      <c r="QLN17" s="12"/>
      <c r="QLO17" s="13"/>
      <c r="QLU17" s="4"/>
      <c r="QLV17" s="12"/>
      <c r="QLW17" s="13"/>
      <c r="QMC17" s="4"/>
      <c r="QMD17" s="12"/>
      <c r="QME17" s="13"/>
      <c r="QMK17" s="4"/>
      <c r="QML17" s="12"/>
      <c r="QMM17" s="13"/>
      <c r="QMS17" s="4"/>
      <c r="QMT17" s="12"/>
      <c r="QMU17" s="13"/>
      <c r="QNA17" s="4"/>
      <c r="QNB17" s="12"/>
      <c r="QNC17" s="13"/>
      <c r="QNI17" s="4"/>
      <c r="QNJ17" s="12"/>
      <c r="QNK17" s="13"/>
      <c r="QNQ17" s="4"/>
      <c r="QNR17" s="12"/>
      <c r="QNS17" s="13"/>
      <c r="QNY17" s="4"/>
      <c r="QNZ17" s="12"/>
      <c r="QOA17" s="13"/>
      <c r="QOG17" s="4"/>
      <c r="QOH17" s="12"/>
      <c r="QOI17" s="13"/>
      <c r="QOO17" s="4"/>
      <c r="QOP17" s="12"/>
      <c r="QOQ17" s="13"/>
      <c r="QOW17" s="4"/>
      <c r="QOX17" s="12"/>
      <c r="QOY17" s="13"/>
      <c r="QPE17" s="4"/>
      <c r="QPF17" s="12"/>
      <c r="QPG17" s="13"/>
      <c r="QPM17" s="4"/>
      <c r="QPN17" s="12"/>
      <c r="QPO17" s="13"/>
      <c r="QPU17" s="4"/>
      <c r="QPV17" s="12"/>
      <c r="QPW17" s="13"/>
      <c r="QQC17" s="4"/>
      <c r="QQD17" s="12"/>
      <c r="QQE17" s="13"/>
      <c r="QQK17" s="4"/>
      <c r="QQL17" s="12"/>
      <c r="QQM17" s="13"/>
      <c r="QQS17" s="4"/>
      <c r="QQT17" s="12"/>
      <c r="QQU17" s="13"/>
      <c r="QRA17" s="4"/>
      <c r="QRB17" s="12"/>
      <c r="QRC17" s="13"/>
      <c r="QRI17" s="4"/>
      <c r="QRJ17" s="12"/>
      <c r="QRK17" s="13"/>
      <c r="QRQ17" s="4"/>
      <c r="QRR17" s="12"/>
      <c r="QRS17" s="13"/>
      <c r="QRY17" s="4"/>
      <c r="QRZ17" s="12"/>
      <c r="QSA17" s="13"/>
      <c r="QSG17" s="4"/>
      <c r="QSH17" s="12"/>
      <c r="QSI17" s="13"/>
      <c r="QSO17" s="4"/>
      <c r="QSP17" s="12"/>
      <c r="QSQ17" s="13"/>
      <c r="QSW17" s="4"/>
      <c r="QSX17" s="12"/>
      <c r="QSY17" s="13"/>
      <c r="QTE17" s="4"/>
      <c r="QTF17" s="12"/>
      <c r="QTG17" s="13"/>
      <c r="QTM17" s="4"/>
      <c r="QTN17" s="12"/>
      <c r="QTO17" s="13"/>
      <c r="QTU17" s="4"/>
      <c r="QTV17" s="12"/>
      <c r="QTW17" s="13"/>
      <c r="QUC17" s="4"/>
      <c r="QUD17" s="12"/>
      <c r="QUE17" s="13"/>
      <c r="QUK17" s="4"/>
      <c r="QUL17" s="12"/>
      <c r="QUM17" s="13"/>
      <c r="QUS17" s="4"/>
      <c r="QUT17" s="12"/>
      <c r="QUU17" s="13"/>
      <c r="QVA17" s="4"/>
      <c r="QVB17" s="12"/>
      <c r="QVC17" s="13"/>
      <c r="QVI17" s="4"/>
      <c r="QVJ17" s="12"/>
      <c r="QVK17" s="13"/>
      <c r="QVQ17" s="4"/>
      <c r="QVR17" s="12"/>
      <c r="QVS17" s="13"/>
      <c r="QVY17" s="4"/>
      <c r="QVZ17" s="12"/>
      <c r="QWA17" s="13"/>
      <c r="QWG17" s="4"/>
      <c r="QWH17" s="12"/>
      <c r="QWI17" s="13"/>
      <c r="QWO17" s="4"/>
      <c r="QWP17" s="12"/>
      <c r="QWQ17" s="13"/>
      <c r="QWW17" s="4"/>
      <c r="QWX17" s="12"/>
      <c r="QWY17" s="13"/>
      <c r="QXE17" s="4"/>
      <c r="QXF17" s="12"/>
      <c r="QXG17" s="13"/>
      <c r="QXM17" s="4"/>
      <c r="QXN17" s="12"/>
      <c r="QXO17" s="13"/>
      <c r="QXU17" s="4"/>
      <c r="QXV17" s="12"/>
      <c r="QXW17" s="13"/>
      <c r="QYC17" s="4"/>
      <c r="QYD17" s="12"/>
      <c r="QYE17" s="13"/>
      <c r="QYK17" s="4"/>
      <c r="QYL17" s="12"/>
      <c r="QYM17" s="13"/>
      <c r="QYS17" s="4"/>
      <c r="QYT17" s="12"/>
      <c r="QYU17" s="13"/>
      <c r="QZA17" s="4"/>
      <c r="QZB17" s="12"/>
      <c r="QZC17" s="13"/>
      <c r="QZI17" s="4"/>
      <c r="QZJ17" s="12"/>
      <c r="QZK17" s="13"/>
      <c r="QZQ17" s="4"/>
      <c r="QZR17" s="12"/>
      <c r="QZS17" s="13"/>
      <c r="QZY17" s="4"/>
      <c r="QZZ17" s="12"/>
      <c r="RAA17" s="13"/>
      <c r="RAG17" s="4"/>
      <c r="RAH17" s="12"/>
      <c r="RAI17" s="13"/>
      <c r="RAO17" s="4"/>
      <c r="RAP17" s="12"/>
      <c r="RAQ17" s="13"/>
      <c r="RAW17" s="4"/>
      <c r="RAX17" s="12"/>
      <c r="RAY17" s="13"/>
      <c r="RBE17" s="4"/>
      <c r="RBF17" s="12"/>
      <c r="RBG17" s="13"/>
      <c r="RBM17" s="4"/>
      <c r="RBN17" s="12"/>
      <c r="RBO17" s="13"/>
      <c r="RBU17" s="4"/>
      <c r="RBV17" s="12"/>
      <c r="RBW17" s="13"/>
      <c r="RCC17" s="4"/>
      <c r="RCD17" s="12"/>
      <c r="RCE17" s="13"/>
      <c r="RCK17" s="4"/>
      <c r="RCL17" s="12"/>
      <c r="RCM17" s="13"/>
      <c r="RCS17" s="4"/>
      <c r="RCT17" s="12"/>
      <c r="RCU17" s="13"/>
      <c r="RDA17" s="4"/>
      <c r="RDB17" s="12"/>
      <c r="RDC17" s="13"/>
      <c r="RDI17" s="4"/>
      <c r="RDJ17" s="12"/>
      <c r="RDK17" s="13"/>
      <c r="RDQ17" s="4"/>
      <c r="RDR17" s="12"/>
      <c r="RDS17" s="13"/>
      <c r="RDY17" s="4"/>
      <c r="RDZ17" s="12"/>
      <c r="REA17" s="13"/>
      <c r="REG17" s="4"/>
      <c r="REH17" s="12"/>
      <c r="REI17" s="13"/>
      <c r="REO17" s="4"/>
      <c r="REP17" s="12"/>
      <c r="REQ17" s="13"/>
      <c r="REW17" s="4"/>
      <c r="REX17" s="12"/>
      <c r="REY17" s="13"/>
      <c r="RFE17" s="4"/>
      <c r="RFF17" s="12"/>
      <c r="RFG17" s="13"/>
      <c r="RFM17" s="4"/>
      <c r="RFN17" s="12"/>
      <c r="RFO17" s="13"/>
      <c r="RFU17" s="4"/>
      <c r="RFV17" s="12"/>
      <c r="RFW17" s="13"/>
      <c r="RGC17" s="4"/>
      <c r="RGD17" s="12"/>
      <c r="RGE17" s="13"/>
      <c r="RGK17" s="4"/>
      <c r="RGL17" s="12"/>
      <c r="RGM17" s="13"/>
      <c r="RGS17" s="4"/>
      <c r="RGT17" s="12"/>
      <c r="RGU17" s="13"/>
      <c r="RHA17" s="4"/>
      <c r="RHB17" s="12"/>
      <c r="RHC17" s="13"/>
      <c r="RHI17" s="4"/>
      <c r="RHJ17" s="12"/>
      <c r="RHK17" s="13"/>
      <c r="RHQ17" s="4"/>
      <c r="RHR17" s="12"/>
      <c r="RHS17" s="13"/>
      <c r="RHY17" s="4"/>
      <c r="RHZ17" s="12"/>
      <c r="RIA17" s="13"/>
      <c r="RIG17" s="4"/>
      <c r="RIH17" s="12"/>
      <c r="RII17" s="13"/>
      <c r="RIO17" s="4"/>
      <c r="RIP17" s="12"/>
      <c r="RIQ17" s="13"/>
      <c r="RIW17" s="4"/>
      <c r="RIX17" s="12"/>
      <c r="RIY17" s="13"/>
      <c r="RJE17" s="4"/>
      <c r="RJF17" s="12"/>
      <c r="RJG17" s="13"/>
      <c r="RJM17" s="4"/>
      <c r="RJN17" s="12"/>
      <c r="RJO17" s="13"/>
      <c r="RJU17" s="4"/>
      <c r="RJV17" s="12"/>
      <c r="RJW17" s="13"/>
      <c r="RKC17" s="4"/>
      <c r="RKD17" s="12"/>
      <c r="RKE17" s="13"/>
      <c r="RKK17" s="4"/>
      <c r="RKL17" s="12"/>
      <c r="RKM17" s="13"/>
      <c r="RKS17" s="4"/>
      <c r="RKT17" s="12"/>
      <c r="RKU17" s="13"/>
      <c r="RLA17" s="4"/>
      <c r="RLB17" s="12"/>
      <c r="RLC17" s="13"/>
      <c r="RLI17" s="4"/>
      <c r="RLJ17" s="12"/>
      <c r="RLK17" s="13"/>
      <c r="RLQ17" s="4"/>
      <c r="RLR17" s="12"/>
      <c r="RLS17" s="13"/>
      <c r="RLY17" s="4"/>
      <c r="RLZ17" s="12"/>
      <c r="RMA17" s="13"/>
      <c r="RMG17" s="4"/>
      <c r="RMH17" s="12"/>
      <c r="RMI17" s="13"/>
      <c r="RMO17" s="4"/>
      <c r="RMP17" s="12"/>
      <c r="RMQ17" s="13"/>
      <c r="RMW17" s="4"/>
      <c r="RMX17" s="12"/>
      <c r="RMY17" s="13"/>
      <c r="RNE17" s="4"/>
      <c r="RNF17" s="12"/>
      <c r="RNG17" s="13"/>
      <c r="RNM17" s="4"/>
      <c r="RNN17" s="12"/>
      <c r="RNO17" s="13"/>
      <c r="RNU17" s="4"/>
      <c r="RNV17" s="12"/>
      <c r="RNW17" s="13"/>
      <c r="ROC17" s="4"/>
      <c r="ROD17" s="12"/>
      <c r="ROE17" s="13"/>
      <c r="ROK17" s="4"/>
      <c r="ROL17" s="12"/>
      <c r="ROM17" s="13"/>
      <c r="ROS17" s="4"/>
      <c r="ROT17" s="12"/>
      <c r="ROU17" s="13"/>
      <c r="RPA17" s="4"/>
      <c r="RPB17" s="12"/>
      <c r="RPC17" s="13"/>
      <c r="RPI17" s="4"/>
      <c r="RPJ17" s="12"/>
      <c r="RPK17" s="13"/>
      <c r="RPQ17" s="4"/>
      <c r="RPR17" s="12"/>
      <c r="RPS17" s="13"/>
      <c r="RPY17" s="4"/>
      <c r="RPZ17" s="12"/>
      <c r="RQA17" s="13"/>
      <c r="RQG17" s="4"/>
      <c r="RQH17" s="12"/>
      <c r="RQI17" s="13"/>
      <c r="RQO17" s="4"/>
      <c r="RQP17" s="12"/>
      <c r="RQQ17" s="13"/>
      <c r="RQW17" s="4"/>
      <c r="RQX17" s="12"/>
      <c r="RQY17" s="13"/>
      <c r="RRE17" s="4"/>
      <c r="RRF17" s="12"/>
      <c r="RRG17" s="13"/>
      <c r="RRM17" s="4"/>
      <c r="RRN17" s="12"/>
      <c r="RRO17" s="13"/>
      <c r="RRU17" s="4"/>
      <c r="RRV17" s="12"/>
      <c r="RRW17" s="13"/>
      <c r="RSC17" s="4"/>
      <c r="RSD17" s="12"/>
      <c r="RSE17" s="13"/>
      <c r="RSK17" s="4"/>
      <c r="RSL17" s="12"/>
      <c r="RSM17" s="13"/>
      <c r="RSS17" s="4"/>
      <c r="RST17" s="12"/>
      <c r="RSU17" s="13"/>
      <c r="RTA17" s="4"/>
      <c r="RTB17" s="12"/>
      <c r="RTC17" s="13"/>
      <c r="RTI17" s="4"/>
      <c r="RTJ17" s="12"/>
      <c r="RTK17" s="13"/>
      <c r="RTQ17" s="4"/>
      <c r="RTR17" s="12"/>
      <c r="RTS17" s="13"/>
      <c r="RTY17" s="4"/>
      <c r="RTZ17" s="12"/>
      <c r="RUA17" s="13"/>
      <c r="RUG17" s="4"/>
      <c r="RUH17" s="12"/>
      <c r="RUI17" s="13"/>
      <c r="RUO17" s="4"/>
      <c r="RUP17" s="12"/>
      <c r="RUQ17" s="13"/>
      <c r="RUW17" s="4"/>
      <c r="RUX17" s="12"/>
      <c r="RUY17" s="13"/>
      <c r="RVE17" s="4"/>
      <c r="RVF17" s="12"/>
      <c r="RVG17" s="13"/>
      <c r="RVM17" s="4"/>
      <c r="RVN17" s="12"/>
      <c r="RVO17" s="13"/>
      <c r="RVU17" s="4"/>
      <c r="RVV17" s="12"/>
      <c r="RVW17" s="13"/>
      <c r="RWC17" s="4"/>
      <c r="RWD17" s="12"/>
      <c r="RWE17" s="13"/>
      <c r="RWK17" s="4"/>
      <c r="RWL17" s="12"/>
      <c r="RWM17" s="13"/>
      <c r="RWS17" s="4"/>
      <c r="RWT17" s="12"/>
      <c r="RWU17" s="13"/>
      <c r="RXA17" s="4"/>
      <c r="RXB17" s="12"/>
      <c r="RXC17" s="13"/>
      <c r="RXI17" s="4"/>
      <c r="RXJ17" s="12"/>
      <c r="RXK17" s="13"/>
      <c r="RXQ17" s="4"/>
      <c r="RXR17" s="12"/>
      <c r="RXS17" s="13"/>
      <c r="RXY17" s="4"/>
      <c r="RXZ17" s="12"/>
      <c r="RYA17" s="13"/>
      <c r="RYG17" s="4"/>
      <c r="RYH17" s="12"/>
      <c r="RYI17" s="13"/>
      <c r="RYO17" s="4"/>
      <c r="RYP17" s="12"/>
      <c r="RYQ17" s="13"/>
      <c r="RYW17" s="4"/>
      <c r="RYX17" s="12"/>
      <c r="RYY17" s="13"/>
      <c r="RZE17" s="4"/>
      <c r="RZF17" s="12"/>
      <c r="RZG17" s="13"/>
      <c r="RZM17" s="4"/>
      <c r="RZN17" s="12"/>
      <c r="RZO17" s="13"/>
      <c r="RZU17" s="4"/>
      <c r="RZV17" s="12"/>
      <c r="RZW17" s="13"/>
      <c r="SAC17" s="4"/>
      <c r="SAD17" s="12"/>
      <c r="SAE17" s="13"/>
      <c r="SAK17" s="4"/>
      <c r="SAL17" s="12"/>
      <c r="SAM17" s="13"/>
      <c r="SAS17" s="4"/>
      <c r="SAT17" s="12"/>
      <c r="SAU17" s="13"/>
      <c r="SBA17" s="4"/>
      <c r="SBB17" s="12"/>
      <c r="SBC17" s="13"/>
      <c r="SBI17" s="4"/>
      <c r="SBJ17" s="12"/>
      <c r="SBK17" s="13"/>
      <c r="SBQ17" s="4"/>
      <c r="SBR17" s="12"/>
      <c r="SBS17" s="13"/>
      <c r="SBY17" s="4"/>
      <c r="SBZ17" s="12"/>
      <c r="SCA17" s="13"/>
      <c r="SCG17" s="4"/>
      <c r="SCH17" s="12"/>
      <c r="SCI17" s="13"/>
      <c r="SCO17" s="4"/>
      <c r="SCP17" s="12"/>
      <c r="SCQ17" s="13"/>
      <c r="SCW17" s="4"/>
      <c r="SCX17" s="12"/>
      <c r="SCY17" s="13"/>
      <c r="SDE17" s="4"/>
      <c r="SDF17" s="12"/>
      <c r="SDG17" s="13"/>
      <c r="SDM17" s="4"/>
      <c r="SDN17" s="12"/>
      <c r="SDO17" s="13"/>
      <c r="SDU17" s="4"/>
      <c r="SDV17" s="12"/>
      <c r="SDW17" s="13"/>
      <c r="SEC17" s="4"/>
      <c r="SED17" s="12"/>
      <c r="SEE17" s="13"/>
      <c r="SEK17" s="4"/>
      <c r="SEL17" s="12"/>
      <c r="SEM17" s="13"/>
      <c r="SES17" s="4"/>
      <c r="SET17" s="12"/>
      <c r="SEU17" s="13"/>
      <c r="SFA17" s="4"/>
      <c r="SFB17" s="12"/>
      <c r="SFC17" s="13"/>
      <c r="SFI17" s="4"/>
      <c r="SFJ17" s="12"/>
      <c r="SFK17" s="13"/>
      <c r="SFQ17" s="4"/>
      <c r="SFR17" s="12"/>
      <c r="SFS17" s="13"/>
      <c r="SFY17" s="4"/>
      <c r="SFZ17" s="12"/>
      <c r="SGA17" s="13"/>
      <c r="SGG17" s="4"/>
      <c r="SGH17" s="12"/>
      <c r="SGI17" s="13"/>
      <c r="SGO17" s="4"/>
      <c r="SGP17" s="12"/>
      <c r="SGQ17" s="13"/>
      <c r="SGW17" s="4"/>
      <c r="SGX17" s="12"/>
      <c r="SGY17" s="13"/>
      <c r="SHE17" s="4"/>
      <c r="SHF17" s="12"/>
      <c r="SHG17" s="13"/>
      <c r="SHM17" s="4"/>
      <c r="SHN17" s="12"/>
      <c r="SHO17" s="13"/>
      <c r="SHU17" s="4"/>
      <c r="SHV17" s="12"/>
      <c r="SHW17" s="13"/>
      <c r="SIC17" s="4"/>
      <c r="SID17" s="12"/>
      <c r="SIE17" s="13"/>
      <c r="SIK17" s="4"/>
      <c r="SIL17" s="12"/>
      <c r="SIM17" s="13"/>
      <c r="SIS17" s="4"/>
      <c r="SIT17" s="12"/>
      <c r="SIU17" s="13"/>
      <c r="SJA17" s="4"/>
      <c r="SJB17" s="12"/>
      <c r="SJC17" s="13"/>
      <c r="SJI17" s="4"/>
      <c r="SJJ17" s="12"/>
      <c r="SJK17" s="13"/>
      <c r="SJQ17" s="4"/>
      <c r="SJR17" s="12"/>
      <c r="SJS17" s="13"/>
      <c r="SJY17" s="4"/>
      <c r="SJZ17" s="12"/>
      <c r="SKA17" s="13"/>
      <c r="SKG17" s="4"/>
      <c r="SKH17" s="12"/>
      <c r="SKI17" s="13"/>
      <c r="SKO17" s="4"/>
      <c r="SKP17" s="12"/>
      <c r="SKQ17" s="13"/>
      <c r="SKW17" s="4"/>
      <c r="SKX17" s="12"/>
      <c r="SKY17" s="13"/>
      <c r="SLE17" s="4"/>
      <c r="SLF17" s="12"/>
      <c r="SLG17" s="13"/>
      <c r="SLM17" s="4"/>
      <c r="SLN17" s="12"/>
      <c r="SLO17" s="13"/>
      <c r="SLU17" s="4"/>
      <c r="SLV17" s="12"/>
      <c r="SLW17" s="13"/>
      <c r="SMC17" s="4"/>
      <c r="SMD17" s="12"/>
      <c r="SME17" s="13"/>
      <c r="SMK17" s="4"/>
      <c r="SML17" s="12"/>
      <c r="SMM17" s="13"/>
      <c r="SMS17" s="4"/>
      <c r="SMT17" s="12"/>
      <c r="SMU17" s="13"/>
      <c r="SNA17" s="4"/>
      <c r="SNB17" s="12"/>
      <c r="SNC17" s="13"/>
      <c r="SNI17" s="4"/>
      <c r="SNJ17" s="12"/>
      <c r="SNK17" s="13"/>
      <c r="SNQ17" s="4"/>
      <c r="SNR17" s="12"/>
      <c r="SNS17" s="13"/>
      <c r="SNY17" s="4"/>
      <c r="SNZ17" s="12"/>
      <c r="SOA17" s="13"/>
      <c r="SOG17" s="4"/>
      <c r="SOH17" s="12"/>
      <c r="SOI17" s="13"/>
      <c r="SOO17" s="4"/>
      <c r="SOP17" s="12"/>
      <c r="SOQ17" s="13"/>
      <c r="SOW17" s="4"/>
      <c r="SOX17" s="12"/>
      <c r="SOY17" s="13"/>
      <c r="SPE17" s="4"/>
      <c r="SPF17" s="12"/>
      <c r="SPG17" s="13"/>
      <c r="SPM17" s="4"/>
      <c r="SPN17" s="12"/>
      <c r="SPO17" s="13"/>
      <c r="SPU17" s="4"/>
      <c r="SPV17" s="12"/>
      <c r="SPW17" s="13"/>
      <c r="SQC17" s="4"/>
      <c r="SQD17" s="12"/>
      <c r="SQE17" s="13"/>
      <c r="SQK17" s="4"/>
      <c r="SQL17" s="12"/>
      <c r="SQM17" s="13"/>
      <c r="SQS17" s="4"/>
      <c r="SQT17" s="12"/>
      <c r="SQU17" s="13"/>
      <c r="SRA17" s="4"/>
      <c r="SRB17" s="12"/>
      <c r="SRC17" s="13"/>
      <c r="SRI17" s="4"/>
      <c r="SRJ17" s="12"/>
      <c r="SRK17" s="13"/>
      <c r="SRQ17" s="4"/>
      <c r="SRR17" s="12"/>
      <c r="SRS17" s="13"/>
      <c r="SRY17" s="4"/>
      <c r="SRZ17" s="12"/>
      <c r="SSA17" s="13"/>
      <c r="SSG17" s="4"/>
      <c r="SSH17" s="12"/>
      <c r="SSI17" s="13"/>
      <c r="SSO17" s="4"/>
      <c r="SSP17" s="12"/>
      <c r="SSQ17" s="13"/>
      <c r="SSW17" s="4"/>
      <c r="SSX17" s="12"/>
      <c r="SSY17" s="13"/>
      <c r="STE17" s="4"/>
      <c r="STF17" s="12"/>
      <c r="STG17" s="13"/>
      <c r="STM17" s="4"/>
      <c r="STN17" s="12"/>
      <c r="STO17" s="13"/>
      <c r="STU17" s="4"/>
      <c r="STV17" s="12"/>
      <c r="STW17" s="13"/>
      <c r="SUC17" s="4"/>
      <c r="SUD17" s="12"/>
      <c r="SUE17" s="13"/>
      <c r="SUK17" s="4"/>
      <c r="SUL17" s="12"/>
      <c r="SUM17" s="13"/>
      <c r="SUS17" s="4"/>
      <c r="SUT17" s="12"/>
      <c r="SUU17" s="13"/>
      <c r="SVA17" s="4"/>
      <c r="SVB17" s="12"/>
      <c r="SVC17" s="13"/>
      <c r="SVI17" s="4"/>
      <c r="SVJ17" s="12"/>
      <c r="SVK17" s="13"/>
      <c r="SVQ17" s="4"/>
      <c r="SVR17" s="12"/>
      <c r="SVS17" s="13"/>
      <c r="SVY17" s="4"/>
      <c r="SVZ17" s="12"/>
      <c r="SWA17" s="13"/>
      <c r="SWG17" s="4"/>
      <c r="SWH17" s="12"/>
      <c r="SWI17" s="13"/>
      <c r="SWO17" s="4"/>
      <c r="SWP17" s="12"/>
      <c r="SWQ17" s="13"/>
      <c r="SWW17" s="4"/>
      <c r="SWX17" s="12"/>
      <c r="SWY17" s="13"/>
      <c r="SXE17" s="4"/>
      <c r="SXF17" s="12"/>
      <c r="SXG17" s="13"/>
      <c r="SXM17" s="4"/>
      <c r="SXN17" s="12"/>
      <c r="SXO17" s="13"/>
      <c r="SXU17" s="4"/>
      <c r="SXV17" s="12"/>
      <c r="SXW17" s="13"/>
      <c r="SYC17" s="4"/>
      <c r="SYD17" s="12"/>
      <c r="SYE17" s="13"/>
      <c r="SYK17" s="4"/>
      <c r="SYL17" s="12"/>
      <c r="SYM17" s="13"/>
      <c r="SYS17" s="4"/>
      <c r="SYT17" s="12"/>
      <c r="SYU17" s="13"/>
      <c r="SZA17" s="4"/>
      <c r="SZB17" s="12"/>
      <c r="SZC17" s="13"/>
      <c r="SZI17" s="4"/>
      <c r="SZJ17" s="12"/>
      <c r="SZK17" s="13"/>
      <c r="SZQ17" s="4"/>
      <c r="SZR17" s="12"/>
      <c r="SZS17" s="13"/>
      <c r="SZY17" s="4"/>
      <c r="SZZ17" s="12"/>
      <c r="TAA17" s="13"/>
      <c r="TAG17" s="4"/>
      <c r="TAH17" s="12"/>
      <c r="TAI17" s="13"/>
      <c r="TAO17" s="4"/>
      <c r="TAP17" s="12"/>
      <c r="TAQ17" s="13"/>
      <c r="TAW17" s="4"/>
      <c r="TAX17" s="12"/>
      <c r="TAY17" s="13"/>
      <c r="TBE17" s="4"/>
      <c r="TBF17" s="12"/>
      <c r="TBG17" s="13"/>
      <c r="TBM17" s="4"/>
      <c r="TBN17" s="12"/>
      <c r="TBO17" s="13"/>
      <c r="TBU17" s="4"/>
      <c r="TBV17" s="12"/>
      <c r="TBW17" s="13"/>
      <c r="TCC17" s="4"/>
      <c r="TCD17" s="12"/>
      <c r="TCE17" s="13"/>
      <c r="TCK17" s="4"/>
      <c r="TCL17" s="12"/>
      <c r="TCM17" s="13"/>
      <c r="TCS17" s="4"/>
      <c r="TCT17" s="12"/>
      <c r="TCU17" s="13"/>
      <c r="TDA17" s="4"/>
      <c r="TDB17" s="12"/>
      <c r="TDC17" s="13"/>
      <c r="TDI17" s="4"/>
      <c r="TDJ17" s="12"/>
      <c r="TDK17" s="13"/>
      <c r="TDQ17" s="4"/>
      <c r="TDR17" s="12"/>
      <c r="TDS17" s="13"/>
      <c r="TDY17" s="4"/>
      <c r="TDZ17" s="12"/>
      <c r="TEA17" s="13"/>
      <c r="TEG17" s="4"/>
      <c r="TEH17" s="12"/>
      <c r="TEI17" s="13"/>
      <c r="TEO17" s="4"/>
      <c r="TEP17" s="12"/>
      <c r="TEQ17" s="13"/>
      <c r="TEW17" s="4"/>
      <c r="TEX17" s="12"/>
      <c r="TEY17" s="13"/>
      <c r="TFE17" s="4"/>
      <c r="TFF17" s="12"/>
      <c r="TFG17" s="13"/>
      <c r="TFM17" s="4"/>
      <c r="TFN17" s="12"/>
      <c r="TFO17" s="13"/>
      <c r="TFU17" s="4"/>
      <c r="TFV17" s="12"/>
      <c r="TFW17" s="13"/>
      <c r="TGC17" s="4"/>
      <c r="TGD17" s="12"/>
      <c r="TGE17" s="13"/>
      <c r="TGK17" s="4"/>
      <c r="TGL17" s="12"/>
      <c r="TGM17" s="13"/>
      <c r="TGS17" s="4"/>
      <c r="TGT17" s="12"/>
      <c r="TGU17" s="13"/>
      <c r="THA17" s="4"/>
      <c r="THB17" s="12"/>
      <c r="THC17" s="13"/>
      <c r="THI17" s="4"/>
      <c r="THJ17" s="12"/>
      <c r="THK17" s="13"/>
      <c r="THQ17" s="4"/>
      <c r="THR17" s="12"/>
      <c r="THS17" s="13"/>
      <c r="THY17" s="4"/>
      <c r="THZ17" s="12"/>
      <c r="TIA17" s="13"/>
      <c r="TIG17" s="4"/>
      <c r="TIH17" s="12"/>
      <c r="TII17" s="13"/>
      <c r="TIO17" s="4"/>
      <c r="TIP17" s="12"/>
      <c r="TIQ17" s="13"/>
      <c r="TIW17" s="4"/>
      <c r="TIX17" s="12"/>
      <c r="TIY17" s="13"/>
      <c r="TJE17" s="4"/>
      <c r="TJF17" s="12"/>
      <c r="TJG17" s="13"/>
      <c r="TJM17" s="4"/>
      <c r="TJN17" s="12"/>
      <c r="TJO17" s="13"/>
      <c r="TJU17" s="4"/>
      <c r="TJV17" s="12"/>
      <c r="TJW17" s="13"/>
      <c r="TKC17" s="4"/>
      <c r="TKD17" s="12"/>
      <c r="TKE17" s="13"/>
      <c r="TKK17" s="4"/>
      <c r="TKL17" s="12"/>
      <c r="TKM17" s="13"/>
      <c r="TKS17" s="4"/>
      <c r="TKT17" s="12"/>
      <c r="TKU17" s="13"/>
      <c r="TLA17" s="4"/>
      <c r="TLB17" s="12"/>
      <c r="TLC17" s="13"/>
      <c r="TLI17" s="4"/>
      <c r="TLJ17" s="12"/>
      <c r="TLK17" s="13"/>
      <c r="TLQ17" s="4"/>
      <c r="TLR17" s="12"/>
      <c r="TLS17" s="13"/>
      <c r="TLY17" s="4"/>
      <c r="TLZ17" s="12"/>
      <c r="TMA17" s="13"/>
      <c r="TMG17" s="4"/>
      <c r="TMH17" s="12"/>
      <c r="TMI17" s="13"/>
      <c r="TMO17" s="4"/>
      <c r="TMP17" s="12"/>
      <c r="TMQ17" s="13"/>
      <c r="TMW17" s="4"/>
      <c r="TMX17" s="12"/>
      <c r="TMY17" s="13"/>
      <c r="TNE17" s="4"/>
      <c r="TNF17" s="12"/>
      <c r="TNG17" s="13"/>
      <c r="TNM17" s="4"/>
      <c r="TNN17" s="12"/>
      <c r="TNO17" s="13"/>
      <c r="TNU17" s="4"/>
      <c r="TNV17" s="12"/>
      <c r="TNW17" s="13"/>
      <c r="TOC17" s="4"/>
      <c r="TOD17" s="12"/>
      <c r="TOE17" s="13"/>
      <c r="TOK17" s="4"/>
      <c r="TOL17" s="12"/>
      <c r="TOM17" s="13"/>
      <c r="TOS17" s="4"/>
      <c r="TOT17" s="12"/>
      <c r="TOU17" s="13"/>
      <c r="TPA17" s="4"/>
      <c r="TPB17" s="12"/>
      <c r="TPC17" s="13"/>
      <c r="TPI17" s="4"/>
      <c r="TPJ17" s="12"/>
      <c r="TPK17" s="13"/>
      <c r="TPQ17" s="4"/>
      <c r="TPR17" s="12"/>
      <c r="TPS17" s="13"/>
      <c r="TPY17" s="4"/>
      <c r="TPZ17" s="12"/>
      <c r="TQA17" s="13"/>
      <c r="TQG17" s="4"/>
      <c r="TQH17" s="12"/>
      <c r="TQI17" s="13"/>
      <c r="TQO17" s="4"/>
      <c r="TQP17" s="12"/>
      <c r="TQQ17" s="13"/>
      <c r="TQW17" s="4"/>
      <c r="TQX17" s="12"/>
      <c r="TQY17" s="13"/>
      <c r="TRE17" s="4"/>
      <c r="TRF17" s="12"/>
      <c r="TRG17" s="13"/>
      <c r="TRM17" s="4"/>
      <c r="TRN17" s="12"/>
      <c r="TRO17" s="13"/>
      <c r="TRU17" s="4"/>
      <c r="TRV17" s="12"/>
      <c r="TRW17" s="13"/>
      <c r="TSC17" s="4"/>
      <c r="TSD17" s="12"/>
      <c r="TSE17" s="13"/>
      <c r="TSK17" s="4"/>
      <c r="TSL17" s="12"/>
      <c r="TSM17" s="13"/>
      <c r="TSS17" s="4"/>
      <c r="TST17" s="12"/>
      <c r="TSU17" s="13"/>
      <c r="TTA17" s="4"/>
      <c r="TTB17" s="12"/>
      <c r="TTC17" s="13"/>
      <c r="TTI17" s="4"/>
      <c r="TTJ17" s="12"/>
      <c r="TTK17" s="13"/>
      <c r="TTQ17" s="4"/>
      <c r="TTR17" s="12"/>
      <c r="TTS17" s="13"/>
      <c r="TTY17" s="4"/>
      <c r="TTZ17" s="12"/>
      <c r="TUA17" s="13"/>
      <c r="TUG17" s="4"/>
      <c r="TUH17" s="12"/>
      <c r="TUI17" s="13"/>
      <c r="TUO17" s="4"/>
      <c r="TUP17" s="12"/>
      <c r="TUQ17" s="13"/>
      <c r="TUW17" s="4"/>
      <c r="TUX17" s="12"/>
      <c r="TUY17" s="13"/>
      <c r="TVE17" s="4"/>
      <c r="TVF17" s="12"/>
      <c r="TVG17" s="13"/>
      <c r="TVM17" s="4"/>
      <c r="TVN17" s="12"/>
      <c r="TVO17" s="13"/>
      <c r="TVU17" s="4"/>
      <c r="TVV17" s="12"/>
      <c r="TVW17" s="13"/>
      <c r="TWC17" s="4"/>
      <c r="TWD17" s="12"/>
      <c r="TWE17" s="13"/>
      <c r="TWK17" s="4"/>
      <c r="TWL17" s="12"/>
      <c r="TWM17" s="13"/>
      <c r="TWS17" s="4"/>
      <c r="TWT17" s="12"/>
      <c r="TWU17" s="13"/>
      <c r="TXA17" s="4"/>
      <c r="TXB17" s="12"/>
      <c r="TXC17" s="13"/>
      <c r="TXI17" s="4"/>
      <c r="TXJ17" s="12"/>
      <c r="TXK17" s="13"/>
      <c r="TXQ17" s="4"/>
      <c r="TXR17" s="12"/>
      <c r="TXS17" s="13"/>
      <c r="TXY17" s="4"/>
      <c r="TXZ17" s="12"/>
      <c r="TYA17" s="13"/>
      <c r="TYG17" s="4"/>
      <c r="TYH17" s="12"/>
      <c r="TYI17" s="13"/>
      <c r="TYO17" s="4"/>
      <c r="TYP17" s="12"/>
      <c r="TYQ17" s="13"/>
      <c r="TYW17" s="4"/>
      <c r="TYX17" s="12"/>
      <c r="TYY17" s="13"/>
      <c r="TZE17" s="4"/>
      <c r="TZF17" s="12"/>
      <c r="TZG17" s="13"/>
      <c r="TZM17" s="4"/>
      <c r="TZN17" s="12"/>
      <c r="TZO17" s="13"/>
      <c r="TZU17" s="4"/>
      <c r="TZV17" s="12"/>
      <c r="TZW17" s="13"/>
      <c r="UAC17" s="4"/>
      <c r="UAD17" s="12"/>
      <c r="UAE17" s="13"/>
      <c r="UAK17" s="4"/>
      <c r="UAL17" s="12"/>
      <c r="UAM17" s="13"/>
      <c r="UAS17" s="4"/>
      <c r="UAT17" s="12"/>
      <c r="UAU17" s="13"/>
      <c r="UBA17" s="4"/>
      <c r="UBB17" s="12"/>
      <c r="UBC17" s="13"/>
      <c r="UBI17" s="4"/>
      <c r="UBJ17" s="12"/>
      <c r="UBK17" s="13"/>
      <c r="UBQ17" s="4"/>
      <c r="UBR17" s="12"/>
      <c r="UBS17" s="13"/>
      <c r="UBY17" s="4"/>
      <c r="UBZ17" s="12"/>
      <c r="UCA17" s="13"/>
      <c r="UCG17" s="4"/>
      <c r="UCH17" s="12"/>
      <c r="UCI17" s="13"/>
      <c r="UCO17" s="4"/>
      <c r="UCP17" s="12"/>
      <c r="UCQ17" s="13"/>
      <c r="UCW17" s="4"/>
      <c r="UCX17" s="12"/>
      <c r="UCY17" s="13"/>
      <c r="UDE17" s="4"/>
      <c r="UDF17" s="12"/>
      <c r="UDG17" s="13"/>
      <c r="UDM17" s="4"/>
      <c r="UDN17" s="12"/>
      <c r="UDO17" s="13"/>
      <c r="UDU17" s="4"/>
      <c r="UDV17" s="12"/>
      <c r="UDW17" s="13"/>
      <c r="UEC17" s="4"/>
      <c r="UED17" s="12"/>
      <c r="UEE17" s="13"/>
      <c r="UEK17" s="4"/>
      <c r="UEL17" s="12"/>
      <c r="UEM17" s="13"/>
      <c r="UES17" s="4"/>
      <c r="UET17" s="12"/>
      <c r="UEU17" s="13"/>
      <c r="UFA17" s="4"/>
      <c r="UFB17" s="12"/>
      <c r="UFC17" s="13"/>
      <c r="UFI17" s="4"/>
      <c r="UFJ17" s="12"/>
      <c r="UFK17" s="13"/>
      <c r="UFQ17" s="4"/>
      <c r="UFR17" s="12"/>
      <c r="UFS17" s="13"/>
      <c r="UFY17" s="4"/>
      <c r="UFZ17" s="12"/>
      <c r="UGA17" s="13"/>
      <c r="UGG17" s="4"/>
      <c r="UGH17" s="12"/>
      <c r="UGI17" s="13"/>
      <c r="UGO17" s="4"/>
      <c r="UGP17" s="12"/>
      <c r="UGQ17" s="13"/>
      <c r="UGW17" s="4"/>
      <c r="UGX17" s="12"/>
      <c r="UGY17" s="13"/>
      <c r="UHE17" s="4"/>
      <c r="UHF17" s="12"/>
      <c r="UHG17" s="13"/>
      <c r="UHM17" s="4"/>
      <c r="UHN17" s="12"/>
      <c r="UHO17" s="13"/>
      <c r="UHU17" s="4"/>
      <c r="UHV17" s="12"/>
      <c r="UHW17" s="13"/>
      <c r="UIC17" s="4"/>
      <c r="UID17" s="12"/>
      <c r="UIE17" s="13"/>
      <c r="UIK17" s="4"/>
      <c r="UIL17" s="12"/>
      <c r="UIM17" s="13"/>
      <c r="UIS17" s="4"/>
      <c r="UIT17" s="12"/>
      <c r="UIU17" s="13"/>
      <c r="UJA17" s="4"/>
      <c r="UJB17" s="12"/>
      <c r="UJC17" s="13"/>
      <c r="UJI17" s="4"/>
      <c r="UJJ17" s="12"/>
      <c r="UJK17" s="13"/>
      <c r="UJQ17" s="4"/>
      <c r="UJR17" s="12"/>
      <c r="UJS17" s="13"/>
      <c r="UJY17" s="4"/>
      <c r="UJZ17" s="12"/>
      <c r="UKA17" s="13"/>
      <c r="UKG17" s="4"/>
      <c r="UKH17" s="12"/>
      <c r="UKI17" s="13"/>
      <c r="UKO17" s="4"/>
      <c r="UKP17" s="12"/>
      <c r="UKQ17" s="13"/>
      <c r="UKW17" s="4"/>
      <c r="UKX17" s="12"/>
      <c r="UKY17" s="13"/>
      <c r="ULE17" s="4"/>
      <c r="ULF17" s="12"/>
      <c r="ULG17" s="13"/>
      <c r="ULM17" s="4"/>
      <c r="ULN17" s="12"/>
      <c r="ULO17" s="13"/>
      <c r="ULU17" s="4"/>
      <c r="ULV17" s="12"/>
      <c r="ULW17" s="13"/>
      <c r="UMC17" s="4"/>
      <c r="UMD17" s="12"/>
      <c r="UME17" s="13"/>
      <c r="UMK17" s="4"/>
      <c r="UML17" s="12"/>
      <c r="UMM17" s="13"/>
      <c r="UMS17" s="4"/>
      <c r="UMT17" s="12"/>
      <c r="UMU17" s="13"/>
      <c r="UNA17" s="4"/>
      <c r="UNB17" s="12"/>
      <c r="UNC17" s="13"/>
      <c r="UNI17" s="4"/>
      <c r="UNJ17" s="12"/>
      <c r="UNK17" s="13"/>
      <c r="UNQ17" s="4"/>
      <c r="UNR17" s="12"/>
      <c r="UNS17" s="13"/>
      <c r="UNY17" s="4"/>
      <c r="UNZ17" s="12"/>
      <c r="UOA17" s="13"/>
      <c r="UOG17" s="4"/>
      <c r="UOH17" s="12"/>
      <c r="UOI17" s="13"/>
      <c r="UOO17" s="4"/>
      <c r="UOP17" s="12"/>
      <c r="UOQ17" s="13"/>
      <c r="UOW17" s="4"/>
      <c r="UOX17" s="12"/>
      <c r="UOY17" s="13"/>
      <c r="UPE17" s="4"/>
      <c r="UPF17" s="12"/>
      <c r="UPG17" s="13"/>
      <c r="UPM17" s="4"/>
      <c r="UPN17" s="12"/>
      <c r="UPO17" s="13"/>
      <c r="UPU17" s="4"/>
      <c r="UPV17" s="12"/>
      <c r="UPW17" s="13"/>
      <c r="UQC17" s="4"/>
      <c r="UQD17" s="12"/>
      <c r="UQE17" s="13"/>
      <c r="UQK17" s="4"/>
      <c r="UQL17" s="12"/>
      <c r="UQM17" s="13"/>
      <c r="UQS17" s="4"/>
      <c r="UQT17" s="12"/>
      <c r="UQU17" s="13"/>
      <c r="URA17" s="4"/>
      <c r="URB17" s="12"/>
      <c r="URC17" s="13"/>
      <c r="URI17" s="4"/>
      <c r="URJ17" s="12"/>
      <c r="URK17" s="13"/>
      <c r="URQ17" s="4"/>
      <c r="URR17" s="12"/>
      <c r="URS17" s="13"/>
      <c r="URY17" s="4"/>
      <c r="URZ17" s="12"/>
      <c r="USA17" s="13"/>
      <c r="USG17" s="4"/>
      <c r="USH17" s="12"/>
      <c r="USI17" s="13"/>
      <c r="USO17" s="4"/>
      <c r="USP17" s="12"/>
      <c r="USQ17" s="13"/>
      <c r="USW17" s="4"/>
      <c r="USX17" s="12"/>
      <c r="USY17" s="13"/>
      <c r="UTE17" s="4"/>
      <c r="UTF17" s="12"/>
      <c r="UTG17" s="13"/>
      <c r="UTM17" s="4"/>
      <c r="UTN17" s="12"/>
      <c r="UTO17" s="13"/>
      <c r="UTU17" s="4"/>
      <c r="UTV17" s="12"/>
      <c r="UTW17" s="13"/>
      <c r="UUC17" s="4"/>
      <c r="UUD17" s="12"/>
      <c r="UUE17" s="13"/>
      <c r="UUK17" s="4"/>
      <c r="UUL17" s="12"/>
      <c r="UUM17" s="13"/>
      <c r="UUS17" s="4"/>
      <c r="UUT17" s="12"/>
      <c r="UUU17" s="13"/>
      <c r="UVA17" s="4"/>
      <c r="UVB17" s="12"/>
      <c r="UVC17" s="13"/>
      <c r="UVI17" s="4"/>
      <c r="UVJ17" s="12"/>
      <c r="UVK17" s="13"/>
      <c r="UVQ17" s="4"/>
      <c r="UVR17" s="12"/>
      <c r="UVS17" s="13"/>
      <c r="UVY17" s="4"/>
      <c r="UVZ17" s="12"/>
      <c r="UWA17" s="13"/>
      <c r="UWG17" s="4"/>
      <c r="UWH17" s="12"/>
      <c r="UWI17" s="13"/>
      <c r="UWO17" s="4"/>
      <c r="UWP17" s="12"/>
      <c r="UWQ17" s="13"/>
      <c r="UWW17" s="4"/>
      <c r="UWX17" s="12"/>
      <c r="UWY17" s="13"/>
      <c r="UXE17" s="4"/>
      <c r="UXF17" s="12"/>
      <c r="UXG17" s="13"/>
      <c r="UXM17" s="4"/>
      <c r="UXN17" s="12"/>
      <c r="UXO17" s="13"/>
      <c r="UXU17" s="4"/>
      <c r="UXV17" s="12"/>
      <c r="UXW17" s="13"/>
      <c r="UYC17" s="4"/>
      <c r="UYD17" s="12"/>
      <c r="UYE17" s="13"/>
      <c r="UYK17" s="4"/>
      <c r="UYL17" s="12"/>
      <c r="UYM17" s="13"/>
      <c r="UYS17" s="4"/>
      <c r="UYT17" s="12"/>
      <c r="UYU17" s="13"/>
      <c r="UZA17" s="4"/>
      <c r="UZB17" s="12"/>
      <c r="UZC17" s="13"/>
      <c r="UZI17" s="4"/>
      <c r="UZJ17" s="12"/>
      <c r="UZK17" s="13"/>
      <c r="UZQ17" s="4"/>
      <c r="UZR17" s="12"/>
      <c r="UZS17" s="13"/>
      <c r="UZY17" s="4"/>
      <c r="UZZ17" s="12"/>
      <c r="VAA17" s="13"/>
      <c r="VAG17" s="4"/>
      <c r="VAH17" s="12"/>
      <c r="VAI17" s="13"/>
      <c r="VAO17" s="4"/>
      <c r="VAP17" s="12"/>
      <c r="VAQ17" s="13"/>
      <c r="VAW17" s="4"/>
      <c r="VAX17" s="12"/>
      <c r="VAY17" s="13"/>
      <c r="VBE17" s="4"/>
      <c r="VBF17" s="12"/>
      <c r="VBG17" s="13"/>
      <c r="VBM17" s="4"/>
      <c r="VBN17" s="12"/>
      <c r="VBO17" s="13"/>
      <c r="VBU17" s="4"/>
      <c r="VBV17" s="12"/>
      <c r="VBW17" s="13"/>
      <c r="VCC17" s="4"/>
      <c r="VCD17" s="12"/>
      <c r="VCE17" s="13"/>
      <c r="VCK17" s="4"/>
      <c r="VCL17" s="12"/>
      <c r="VCM17" s="13"/>
      <c r="VCS17" s="4"/>
      <c r="VCT17" s="12"/>
      <c r="VCU17" s="13"/>
      <c r="VDA17" s="4"/>
      <c r="VDB17" s="12"/>
      <c r="VDC17" s="13"/>
      <c r="VDI17" s="4"/>
      <c r="VDJ17" s="12"/>
      <c r="VDK17" s="13"/>
      <c r="VDQ17" s="4"/>
      <c r="VDR17" s="12"/>
      <c r="VDS17" s="13"/>
      <c r="VDY17" s="4"/>
      <c r="VDZ17" s="12"/>
      <c r="VEA17" s="13"/>
      <c r="VEG17" s="4"/>
      <c r="VEH17" s="12"/>
      <c r="VEI17" s="13"/>
      <c r="VEO17" s="4"/>
      <c r="VEP17" s="12"/>
      <c r="VEQ17" s="13"/>
      <c r="VEW17" s="4"/>
      <c r="VEX17" s="12"/>
      <c r="VEY17" s="13"/>
      <c r="VFE17" s="4"/>
      <c r="VFF17" s="12"/>
      <c r="VFG17" s="13"/>
      <c r="VFM17" s="4"/>
      <c r="VFN17" s="12"/>
      <c r="VFO17" s="13"/>
      <c r="VFU17" s="4"/>
      <c r="VFV17" s="12"/>
      <c r="VFW17" s="13"/>
      <c r="VGC17" s="4"/>
      <c r="VGD17" s="12"/>
      <c r="VGE17" s="13"/>
      <c r="VGK17" s="4"/>
      <c r="VGL17" s="12"/>
      <c r="VGM17" s="13"/>
      <c r="VGS17" s="4"/>
      <c r="VGT17" s="12"/>
      <c r="VGU17" s="13"/>
      <c r="VHA17" s="4"/>
      <c r="VHB17" s="12"/>
      <c r="VHC17" s="13"/>
      <c r="VHI17" s="4"/>
      <c r="VHJ17" s="12"/>
      <c r="VHK17" s="13"/>
      <c r="VHQ17" s="4"/>
      <c r="VHR17" s="12"/>
      <c r="VHS17" s="13"/>
      <c r="VHY17" s="4"/>
      <c r="VHZ17" s="12"/>
      <c r="VIA17" s="13"/>
      <c r="VIG17" s="4"/>
      <c r="VIH17" s="12"/>
      <c r="VII17" s="13"/>
      <c r="VIO17" s="4"/>
      <c r="VIP17" s="12"/>
      <c r="VIQ17" s="13"/>
      <c r="VIW17" s="4"/>
      <c r="VIX17" s="12"/>
      <c r="VIY17" s="13"/>
      <c r="VJE17" s="4"/>
      <c r="VJF17" s="12"/>
      <c r="VJG17" s="13"/>
      <c r="VJM17" s="4"/>
      <c r="VJN17" s="12"/>
      <c r="VJO17" s="13"/>
      <c r="VJU17" s="4"/>
      <c r="VJV17" s="12"/>
      <c r="VJW17" s="13"/>
      <c r="VKC17" s="4"/>
      <c r="VKD17" s="12"/>
      <c r="VKE17" s="13"/>
      <c r="VKK17" s="4"/>
      <c r="VKL17" s="12"/>
      <c r="VKM17" s="13"/>
      <c r="VKS17" s="4"/>
      <c r="VKT17" s="12"/>
      <c r="VKU17" s="13"/>
      <c r="VLA17" s="4"/>
      <c r="VLB17" s="12"/>
      <c r="VLC17" s="13"/>
      <c r="VLI17" s="4"/>
      <c r="VLJ17" s="12"/>
      <c r="VLK17" s="13"/>
      <c r="VLQ17" s="4"/>
      <c r="VLR17" s="12"/>
      <c r="VLS17" s="13"/>
      <c r="VLY17" s="4"/>
      <c r="VLZ17" s="12"/>
      <c r="VMA17" s="13"/>
      <c r="VMG17" s="4"/>
      <c r="VMH17" s="12"/>
      <c r="VMI17" s="13"/>
      <c r="VMO17" s="4"/>
      <c r="VMP17" s="12"/>
      <c r="VMQ17" s="13"/>
      <c r="VMW17" s="4"/>
      <c r="VMX17" s="12"/>
      <c r="VMY17" s="13"/>
      <c r="VNE17" s="4"/>
      <c r="VNF17" s="12"/>
      <c r="VNG17" s="13"/>
      <c r="VNM17" s="4"/>
      <c r="VNN17" s="12"/>
      <c r="VNO17" s="13"/>
      <c r="VNU17" s="4"/>
      <c r="VNV17" s="12"/>
      <c r="VNW17" s="13"/>
      <c r="VOC17" s="4"/>
      <c r="VOD17" s="12"/>
      <c r="VOE17" s="13"/>
      <c r="VOK17" s="4"/>
      <c r="VOL17" s="12"/>
      <c r="VOM17" s="13"/>
      <c r="VOS17" s="4"/>
      <c r="VOT17" s="12"/>
      <c r="VOU17" s="13"/>
      <c r="VPA17" s="4"/>
      <c r="VPB17" s="12"/>
      <c r="VPC17" s="13"/>
      <c r="VPI17" s="4"/>
      <c r="VPJ17" s="12"/>
      <c r="VPK17" s="13"/>
      <c r="VPQ17" s="4"/>
      <c r="VPR17" s="12"/>
      <c r="VPS17" s="13"/>
      <c r="VPY17" s="4"/>
      <c r="VPZ17" s="12"/>
      <c r="VQA17" s="13"/>
      <c r="VQG17" s="4"/>
      <c r="VQH17" s="12"/>
      <c r="VQI17" s="13"/>
      <c r="VQO17" s="4"/>
      <c r="VQP17" s="12"/>
      <c r="VQQ17" s="13"/>
      <c r="VQW17" s="4"/>
      <c r="VQX17" s="12"/>
      <c r="VQY17" s="13"/>
      <c r="VRE17" s="4"/>
      <c r="VRF17" s="12"/>
      <c r="VRG17" s="13"/>
      <c r="VRM17" s="4"/>
      <c r="VRN17" s="12"/>
      <c r="VRO17" s="13"/>
      <c r="VRU17" s="4"/>
      <c r="VRV17" s="12"/>
      <c r="VRW17" s="13"/>
      <c r="VSC17" s="4"/>
      <c r="VSD17" s="12"/>
      <c r="VSE17" s="13"/>
      <c r="VSK17" s="4"/>
      <c r="VSL17" s="12"/>
      <c r="VSM17" s="13"/>
      <c r="VSS17" s="4"/>
      <c r="VST17" s="12"/>
      <c r="VSU17" s="13"/>
      <c r="VTA17" s="4"/>
      <c r="VTB17" s="12"/>
      <c r="VTC17" s="13"/>
      <c r="VTI17" s="4"/>
      <c r="VTJ17" s="12"/>
      <c r="VTK17" s="13"/>
      <c r="VTQ17" s="4"/>
      <c r="VTR17" s="12"/>
      <c r="VTS17" s="13"/>
      <c r="VTY17" s="4"/>
      <c r="VTZ17" s="12"/>
      <c r="VUA17" s="13"/>
      <c r="VUG17" s="4"/>
      <c r="VUH17" s="12"/>
      <c r="VUI17" s="13"/>
      <c r="VUO17" s="4"/>
      <c r="VUP17" s="12"/>
      <c r="VUQ17" s="13"/>
      <c r="VUW17" s="4"/>
      <c r="VUX17" s="12"/>
      <c r="VUY17" s="13"/>
      <c r="VVE17" s="4"/>
      <c r="VVF17" s="12"/>
      <c r="VVG17" s="13"/>
      <c r="VVM17" s="4"/>
      <c r="VVN17" s="12"/>
      <c r="VVO17" s="13"/>
      <c r="VVU17" s="4"/>
      <c r="VVV17" s="12"/>
      <c r="VVW17" s="13"/>
      <c r="VWC17" s="4"/>
      <c r="VWD17" s="12"/>
      <c r="VWE17" s="13"/>
      <c r="VWK17" s="4"/>
      <c r="VWL17" s="12"/>
      <c r="VWM17" s="13"/>
      <c r="VWS17" s="4"/>
      <c r="VWT17" s="12"/>
      <c r="VWU17" s="13"/>
      <c r="VXA17" s="4"/>
      <c r="VXB17" s="12"/>
      <c r="VXC17" s="13"/>
      <c r="VXI17" s="4"/>
      <c r="VXJ17" s="12"/>
      <c r="VXK17" s="13"/>
      <c r="VXQ17" s="4"/>
      <c r="VXR17" s="12"/>
      <c r="VXS17" s="13"/>
      <c r="VXY17" s="4"/>
      <c r="VXZ17" s="12"/>
      <c r="VYA17" s="13"/>
      <c r="VYG17" s="4"/>
      <c r="VYH17" s="12"/>
      <c r="VYI17" s="13"/>
      <c r="VYO17" s="4"/>
      <c r="VYP17" s="12"/>
      <c r="VYQ17" s="13"/>
      <c r="VYW17" s="4"/>
      <c r="VYX17" s="12"/>
      <c r="VYY17" s="13"/>
      <c r="VZE17" s="4"/>
      <c r="VZF17" s="12"/>
      <c r="VZG17" s="13"/>
      <c r="VZM17" s="4"/>
      <c r="VZN17" s="12"/>
      <c r="VZO17" s="13"/>
      <c r="VZU17" s="4"/>
      <c r="VZV17" s="12"/>
      <c r="VZW17" s="13"/>
      <c r="WAC17" s="4"/>
      <c r="WAD17" s="12"/>
      <c r="WAE17" s="13"/>
      <c r="WAK17" s="4"/>
      <c r="WAL17" s="12"/>
      <c r="WAM17" s="13"/>
      <c r="WAS17" s="4"/>
      <c r="WAT17" s="12"/>
      <c r="WAU17" s="13"/>
      <c r="WBA17" s="4"/>
      <c r="WBB17" s="12"/>
      <c r="WBC17" s="13"/>
      <c r="WBI17" s="4"/>
      <c r="WBJ17" s="12"/>
      <c r="WBK17" s="13"/>
      <c r="WBQ17" s="4"/>
      <c r="WBR17" s="12"/>
      <c r="WBS17" s="13"/>
      <c r="WBY17" s="4"/>
      <c r="WBZ17" s="12"/>
      <c r="WCA17" s="13"/>
      <c r="WCG17" s="4"/>
      <c r="WCH17" s="12"/>
      <c r="WCI17" s="13"/>
      <c r="WCO17" s="4"/>
      <c r="WCP17" s="12"/>
      <c r="WCQ17" s="13"/>
      <c r="WCW17" s="4"/>
      <c r="WCX17" s="12"/>
      <c r="WCY17" s="13"/>
      <c r="WDE17" s="4"/>
      <c r="WDF17" s="12"/>
      <c r="WDG17" s="13"/>
      <c r="WDM17" s="4"/>
      <c r="WDN17" s="12"/>
      <c r="WDO17" s="13"/>
      <c r="WDU17" s="4"/>
      <c r="WDV17" s="12"/>
      <c r="WDW17" s="13"/>
      <c r="WEC17" s="4"/>
      <c r="WED17" s="12"/>
      <c r="WEE17" s="13"/>
      <c r="WEK17" s="4"/>
      <c r="WEL17" s="12"/>
      <c r="WEM17" s="13"/>
      <c r="WES17" s="4"/>
      <c r="WET17" s="12"/>
      <c r="WEU17" s="13"/>
      <c r="WFA17" s="4"/>
      <c r="WFB17" s="12"/>
      <c r="WFC17" s="13"/>
      <c r="WFI17" s="4"/>
      <c r="WFJ17" s="12"/>
      <c r="WFK17" s="13"/>
      <c r="WFQ17" s="4"/>
      <c r="WFR17" s="12"/>
      <c r="WFS17" s="13"/>
      <c r="WFY17" s="4"/>
      <c r="WFZ17" s="12"/>
      <c r="WGA17" s="13"/>
      <c r="WGG17" s="4"/>
      <c r="WGH17" s="12"/>
      <c r="WGI17" s="13"/>
      <c r="WGO17" s="4"/>
      <c r="WGP17" s="12"/>
      <c r="WGQ17" s="13"/>
      <c r="WGW17" s="4"/>
      <c r="WGX17" s="12"/>
      <c r="WGY17" s="13"/>
      <c r="WHE17" s="4"/>
      <c r="WHF17" s="12"/>
      <c r="WHG17" s="13"/>
      <c r="WHM17" s="4"/>
      <c r="WHN17" s="12"/>
      <c r="WHO17" s="13"/>
      <c r="WHU17" s="4"/>
      <c r="WHV17" s="12"/>
      <c r="WHW17" s="13"/>
      <c r="WIC17" s="4"/>
      <c r="WID17" s="12"/>
      <c r="WIE17" s="13"/>
      <c r="WIK17" s="4"/>
      <c r="WIL17" s="12"/>
      <c r="WIM17" s="13"/>
      <c r="WIS17" s="4"/>
      <c r="WIT17" s="12"/>
      <c r="WIU17" s="13"/>
      <c r="WJA17" s="4"/>
      <c r="WJB17" s="12"/>
      <c r="WJC17" s="13"/>
      <c r="WJI17" s="4"/>
      <c r="WJJ17" s="12"/>
      <c r="WJK17" s="13"/>
      <c r="WJQ17" s="4"/>
      <c r="WJR17" s="12"/>
      <c r="WJS17" s="13"/>
      <c r="WJY17" s="4"/>
      <c r="WJZ17" s="12"/>
      <c r="WKA17" s="13"/>
      <c r="WKG17" s="4"/>
      <c r="WKH17" s="12"/>
      <c r="WKI17" s="13"/>
      <c r="WKO17" s="4"/>
      <c r="WKP17" s="12"/>
      <c r="WKQ17" s="13"/>
      <c r="WKW17" s="4"/>
      <c r="WKX17" s="12"/>
      <c r="WKY17" s="13"/>
      <c r="WLE17" s="4"/>
      <c r="WLF17" s="12"/>
      <c r="WLG17" s="13"/>
      <c r="WLM17" s="4"/>
      <c r="WLN17" s="12"/>
      <c r="WLO17" s="13"/>
      <c r="WLU17" s="4"/>
      <c r="WLV17" s="12"/>
      <c r="WLW17" s="13"/>
      <c r="WMC17" s="4"/>
      <c r="WMD17" s="12"/>
      <c r="WME17" s="13"/>
      <c r="WMK17" s="4"/>
      <c r="WML17" s="12"/>
      <c r="WMM17" s="13"/>
      <c r="WMS17" s="4"/>
      <c r="WMT17" s="12"/>
      <c r="WMU17" s="13"/>
      <c r="WNA17" s="4"/>
      <c r="WNB17" s="12"/>
      <c r="WNC17" s="13"/>
      <c r="WNI17" s="4"/>
      <c r="WNJ17" s="12"/>
      <c r="WNK17" s="13"/>
      <c r="WNQ17" s="4"/>
      <c r="WNR17" s="12"/>
      <c r="WNS17" s="13"/>
      <c r="WNY17" s="4"/>
      <c r="WNZ17" s="12"/>
      <c r="WOA17" s="13"/>
      <c r="WOG17" s="4"/>
      <c r="WOH17" s="12"/>
      <c r="WOI17" s="13"/>
      <c r="WOO17" s="4"/>
      <c r="WOP17" s="12"/>
      <c r="WOQ17" s="13"/>
      <c r="WOW17" s="4"/>
      <c r="WOX17" s="12"/>
      <c r="WOY17" s="13"/>
      <c r="WPE17" s="4"/>
      <c r="WPF17" s="12"/>
      <c r="WPG17" s="13"/>
      <c r="WPM17" s="4"/>
      <c r="WPN17" s="12"/>
      <c r="WPO17" s="13"/>
      <c r="WPU17" s="4"/>
      <c r="WPV17" s="12"/>
      <c r="WPW17" s="13"/>
      <c r="WQC17" s="4"/>
      <c r="WQD17" s="12"/>
      <c r="WQE17" s="13"/>
      <c r="WQK17" s="4"/>
      <c r="WQL17" s="12"/>
      <c r="WQM17" s="13"/>
      <c r="WQS17" s="4"/>
      <c r="WQT17" s="12"/>
      <c r="WQU17" s="13"/>
      <c r="WRA17" s="4"/>
      <c r="WRB17" s="12"/>
      <c r="WRC17" s="13"/>
      <c r="WRI17" s="4"/>
      <c r="WRJ17" s="12"/>
      <c r="WRK17" s="13"/>
      <c r="WRQ17" s="4"/>
      <c r="WRR17" s="12"/>
      <c r="WRS17" s="13"/>
      <c r="WRY17" s="4"/>
      <c r="WRZ17" s="12"/>
      <c r="WSA17" s="13"/>
      <c r="WSG17" s="4"/>
      <c r="WSH17" s="12"/>
      <c r="WSI17" s="13"/>
      <c r="WSO17" s="4"/>
      <c r="WSP17" s="12"/>
      <c r="WSQ17" s="13"/>
      <c r="WSW17" s="4"/>
      <c r="WSX17" s="12"/>
      <c r="WSY17" s="13"/>
      <c r="WTE17" s="4"/>
      <c r="WTF17" s="12"/>
      <c r="WTG17" s="13"/>
      <c r="WTM17" s="4"/>
      <c r="WTN17" s="12"/>
      <c r="WTO17" s="13"/>
      <c r="WTU17" s="4"/>
      <c r="WTV17" s="12"/>
      <c r="WTW17" s="13"/>
      <c r="WUC17" s="4"/>
      <c r="WUD17" s="12"/>
      <c r="WUE17" s="13"/>
      <c r="WUK17" s="4"/>
      <c r="WUL17" s="12"/>
      <c r="WUM17" s="13"/>
      <c r="WUS17" s="4"/>
      <c r="WUT17" s="12"/>
      <c r="WUU17" s="13"/>
      <c r="WVA17" s="4"/>
      <c r="WVB17" s="12"/>
      <c r="WVC17" s="13"/>
      <c r="WVI17" s="4"/>
      <c r="WVJ17" s="12"/>
      <c r="WVK17" s="13"/>
      <c r="WVQ17" s="4"/>
      <c r="WVR17" s="12"/>
      <c r="WVS17" s="13"/>
      <c r="WVY17" s="4"/>
      <c r="WVZ17" s="12"/>
      <c r="WWA17" s="13"/>
      <c r="WWG17" s="4"/>
      <c r="WWH17" s="12"/>
      <c r="WWI17" s="13"/>
      <c r="WWO17" s="4"/>
      <c r="WWP17" s="12"/>
      <c r="WWQ17" s="13"/>
      <c r="WWW17" s="4"/>
      <c r="WWX17" s="12"/>
      <c r="WWY17" s="13"/>
      <c r="WXE17" s="4"/>
      <c r="WXF17" s="12"/>
      <c r="WXG17" s="13"/>
      <c r="WXM17" s="4"/>
      <c r="WXN17" s="12"/>
      <c r="WXO17" s="13"/>
      <c r="WXU17" s="4"/>
      <c r="WXV17" s="12"/>
      <c r="WXW17" s="13"/>
      <c r="WYC17" s="4"/>
      <c r="WYD17" s="12"/>
      <c r="WYE17" s="13"/>
      <c r="WYK17" s="4"/>
      <c r="WYL17" s="12"/>
      <c r="WYM17" s="13"/>
      <c r="WYS17" s="4"/>
      <c r="WYT17" s="12"/>
      <c r="WYU17" s="13"/>
      <c r="WZA17" s="4"/>
      <c r="WZB17" s="12"/>
      <c r="WZC17" s="13"/>
      <c r="WZI17" s="4"/>
      <c r="WZJ17" s="12"/>
      <c r="WZK17" s="13"/>
      <c r="WZQ17" s="4"/>
      <c r="WZR17" s="12"/>
      <c r="WZS17" s="13"/>
      <c r="WZY17" s="4"/>
      <c r="WZZ17" s="12"/>
      <c r="XAA17" s="13"/>
      <c r="XAG17" s="4"/>
      <c r="XAH17" s="12"/>
      <c r="XAI17" s="13"/>
      <c r="XAO17" s="4"/>
      <c r="XAP17" s="12"/>
      <c r="XAQ17" s="13"/>
      <c r="XAW17" s="4"/>
      <c r="XAX17" s="12"/>
      <c r="XAY17" s="13"/>
      <c r="XBE17" s="4"/>
      <c r="XBF17" s="12"/>
      <c r="XBG17" s="13"/>
      <c r="XBM17" s="4"/>
      <c r="XBN17" s="12"/>
      <c r="XBO17" s="13"/>
      <c r="XBU17" s="4"/>
      <c r="XBV17" s="12"/>
      <c r="XBW17" s="13"/>
      <c r="XCC17" s="4"/>
      <c r="XCD17" s="12"/>
      <c r="XCE17" s="13"/>
      <c r="XCK17" s="4"/>
      <c r="XCL17" s="12"/>
      <c r="XCM17" s="13"/>
      <c r="XCS17" s="4"/>
      <c r="XCT17" s="12"/>
      <c r="XCU17" s="13"/>
      <c r="XDA17" s="4"/>
      <c r="XDB17" s="12"/>
      <c r="XDC17" s="13"/>
      <c r="XDI17" s="4"/>
      <c r="XDJ17" s="12"/>
      <c r="XDK17" s="13"/>
      <c r="XDQ17" s="4"/>
      <c r="XDR17" s="12"/>
      <c r="XDS17" s="13"/>
      <c r="XDY17" s="4"/>
      <c r="XDZ17" s="12"/>
      <c r="XEA17" s="13"/>
      <c r="XEG17" s="4"/>
      <c r="XEH17" s="12"/>
      <c r="XEI17" s="13"/>
      <c r="XEO17" s="4"/>
      <c r="XEP17" s="12"/>
      <c r="XEQ17" s="13"/>
      <c r="XEW17" s="4"/>
      <c r="XEX17" s="12"/>
      <c r="XEY17" s="13"/>
    </row>
    <row r="18" spans="1:1019 1025:2043 2049:3067 3073:4091 4097:5115 5121:6139 6145:7163 7169:8187 8193:9211 9217:10235 10241:11259 11265:12283 12289:13307 13313:14331 14337:15355 15361:16379" s="9" customFormat="1">
      <c r="A18" s="6" t="s">
        <v>133</v>
      </c>
      <c r="B18" s="19" t="s">
        <v>135</v>
      </c>
      <c r="C18"/>
      <c r="D18" t="s">
        <v>13</v>
      </c>
      <c r="E18" t="s">
        <v>15</v>
      </c>
      <c r="F18"/>
      <c r="G18" s="13" t="s">
        <v>24</v>
      </c>
      <c r="H18" s="1"/>
      <c r="I18" s="4"/>
      <c r="J18" s="12"/>
      <c r="K18" s="13"/>
      <c r="Q18" s="4"/>
      <c r="R18" s="12"/>
      <c r="S18" s="13"/>
      <c r="Y18" s="4"/>
      <c r="Z18" s="12"/>
      <c r="AA18" s="13"/>
      <c r="AG18" s="4"/>
      <c r="AH18" s="12"/>
      <c r="AI18" s="13"/>
      <c r="AO18" s="4"/>
      <c r="AP18" s="12"/>
      <c r="AQ18" s="13"/>
      <c r="AW18" s="4"/>
      <c r="AX18" s="12"/>
      <c r="AY18" s="13"/>
      <c r="BE18" s="4"/>
      <c r="BF18" s="12"/>
      <c r="BG18" s="13"/>
      <c r="BM18" s="4"/>
      <c r="BN18" s="12"/>
      <c r="BO18" s="13"/>
      <c r="BU18" s="4"/>
      <c r="BV18" s="12"/>
      <c r="BW18" s="13"/>
      <c r="CC18" s="4"/>
      <c r="CD18" s="12"/>
      <c r="CE18" s="13"/>
      <c r="CK18" s="4"/>
      <c r="CL18" s="12"/>
      <c r="CM18" s="13"/>
      <c r="CS18" s="4"/>
      <c r="CT18" s="12"/>
      <c r="CU18" s="13"/>
      <c r="DA18" s="4"/>
      <c r="DB18" s="12"/>
      <c r="DC18" s="13"/>
      <c r="DI18" s="4"/>
      <c r="DJ18" s="12"/>
      <c r="DK18" s="13"/>
      <c r="DQ18" s="4"/>
      <c r="DR18" s="12"/>
      <c r="DS18" s="13"/>
      <c r="DY18" s="4"/>
      <c r="DZ18" s="12"/>
      <c r="EA18" s="13"/>
      <c r="EG18" s="4"/>
      <c r="EH18" s="12"/>
      <c r="EI18" s="13"/>
      <c r="EO18" s="4"/>
      <c r="EP18" s="12"/>
      <c r="EQ18" s="13"/>
      <c r="EW18" s="4"/>
      <c r="EX18" s="12"/>
      <c r="EY18" s="13"/>
      <c r="FE18" s="4"/>
      <c r="FF18" s="12"/>
      <c r="FG18" s="13"/>
      <c r="FM18" s="4"/>
      <c r="FN18" s="12"/>
      <c r="FO18" s="13"/>
      <c r="FU18" s="4"/>
      <c r="FV18" s="12"/>
      <c r="FW18" s="13"/>
      <c r="GC18" s="4"/>
      <c r="GD18" s="12"/>
      <c r="GE18" s="13"/>
      <c r="GK18" s="4"/>
      <c r="GL18" s="12"/>
      <c r="GM18" s="13"/>
      <c r="GS18" s="4"/>
      <c r="GT18" s="12"/>
      <c r="GU18" s="13"/>
      <c r="HA18" s="4"/>
      <c r="HB18" s="12"/>
      <c r="HC18" s="13"/>
      <c r="HI18" s="4"/>
      <c r="HJ18" s="12"/>
      <c r="HK18" s="13"/>
      <c r="HQ18" s="4"/>
      <c r="HR18" s="12"/>
      <c r="HS18" s="13"/>
      <c r="HY18" s="4"/>
      <c r="HZ18" s="12"/>
      <c r="IA18" s="13"/>
      <c r="IG18" s="4"/>
      <c r="IH18" s="12"/>
      <c r="II18" s="13"/>
      <c r="IO18" s="4"/>
      <c r="IP18" s="12"/>
      <c r="IQ18" s="13"/>
      <c r="IW18" s="4"/>
      <c r="IX18" s="12"/>
      <c r="IY18" s="13"/>
      <c r="JE18" s="4"/>
      <c r="JF18" s="12"/>
      <c r="JG18" s="13"/>
      <c r="JM18" s="4"/>
      <c r="JN18" s="12"/>
      <c r="JO18" s="13"/>
      <c r="JU18" s="4"/>
      <c r="JV18" s="12"/>
      <c r="JW18" s="13"/>
      <c r="KC18" s="4"/>
      <c r="KD18" s="12"/>
      <c r="KE18" s="13"/>
      <c r="KK18" s="4"/>
      <c r="KL18" s="12"/>
      <c r="KM18" s="13"/>
      <c r="KS18" s="4"/>
      <c r="KT18" s="12"/>
      <c r="KU18" s="13"/>
      <c r="LA18" s="4"/>
      <c r="LB18" s="12"/>
      <c r="LC18" s="13"/>
      <c r="LI18" s="4"/>
      <c r="LJ18" s="12"/>
      <c r="LK18" s="13"/>
      <c r="LQ18" s="4"/>
      <c r="LR18" s="12"/>
      <c r="LS18" s="13"/>
      <c r="LY18" s="4"/>
      <c r="LZ18" s="12"/>
      <c r="MA18" s="13"/>
      <c r="MG18" s="4"/>
      <c r="MH18" s="12"/>
      <c r="MI18" s="13"/>
      <c r="MO18" s="4"/>
      <c r="MP18" s="12"/>
      <c r="MQ18" s="13"/>
      <c r="MW18" s="4"/>
      <c r="MX18" s="12"/>
      <c r="MY18" s="13"/>
      <c r="NE18" s="4"/>
      <c r="NF18" s="12"/>
      <c r="NG18" s="13"/>
      <c r="NM18" s="4"/>
      <c r="NN18" s="12"/>
      <c r="NO18" s="13"/>
      <c r="NU18" s="4"/>
      <c r="NV18" s="12"/>
      <c r="NW18" s="13"/>
      <c r="OC18" s="4"/>
      <c r="OD18" s="12"/>
      <c r="OE18" s="13"/>
      <c r="OK18" s="4"/>
      <c r="OL18" s="12"/>
      <c r="OM18" s="13"/>
      <c r="OS18" s="4"/>
      <c r="OT18" s="12"/>
      <c r="OU18" s="13"/>
      <c r="PA18" s="4"/>
      <c r="PB18" s="12"/>
      <c r="PC18" s="13"/>
      <c r="PI18" s="4"/>
      <c r="PJ18" s="12"/>
      <c r="PK18" s="13"/>
      <c r="PQ18" s="4"/>
      <c r="PR18" s="12"/>
      <c r="PS18" s="13"/>
      <c r="PY18" s="4"/>
      <c r="PZ18" s="12"/>
      <c r="QA18" s="13"/>
      <c r="QG18" s="4"/>
      <c r="QH18" s="12"/>
      <c r="QI18" s="13"/>
      <c r="QO18" s="4"/>
      <c r="QP18" s="12"/>
      <c r="QQ18" s="13"/>
      <c r="QW18" s="4"/>
      <c r="QX18" s="12"/>
      <c r="QY18" s="13"/>
      <c r="RE18" s="4"/>
      <c r="RF18" s="12"/>
      <c r="RG18" s="13"/>
      <c r="RM18" s="4"/>
      <c r="RN18" s="12"/>
      <c r="RO18" s="13"/>
      <c r="RU18" s="4"/>
      <c r="RV18" s="12"/>
      <c r="RW18" s="13"/>
      <c r="SC18" s="4"/>
      <c r="SD18" s="12"/>
      <c r="SE18" s="13"/>
      <c r="SK18" s="4"/>
      <c r="SL18" s="12"/>
      <c r="SM18" s="13"/>
      <c r="SS18" s="4"/>
      <c r="ST18" s="12"/>
      <c r="SU18" s="13"/>
      <c r="TA18" s="4"/>
      <c r="TB18" s="12"/>
      <c r="TC18" s="13"/>
      <c r="TI18" s="4"/>
      <c r="TJ18" s="12"/>
      <c r="TK18" s="13"/>
      <c r="TQ18" s="4"/>
      <c r="TR18" s="12"/>
      <c r="TS18" s="13"/>
      <c r="TY18" s="4"/>
      <c r="TZ18" s="12"/>
      <c r="UA18" s="13"/>
      <c r="UG18" s="4"/>
      <c r="UH18" s="12"/>
      <c r="UI18" s="13"/>
      <c r="UO18" s="4"/>
      <c r="UP18" s="12"/>
      <c r="UQ18" s="13"/>
      <c r="UW18" s="4"/>
      <c r="UX18" s="12"/>
      <c r="UY18" s="13"/>
      <c r="VE18" s="4"/>
      <c r="VF18" s="12"/>
      <c r="VG18" s="13"/>
      <c r="VM18" s="4"/>
      <c r="VN18" s="12"/>
      <c r="VO18" s="13"/>
      <c r="VU18" s="4"/>
      <c r="VV18" s="12"/>
      <c r="VW18" s="13"/>
      <c r="WC18" s="4"/>
      <c r="WD18" s="12"/>
      <c r="WE18" s="13"/>
      <c r="WK18" s="4"/>
      <c r="WL18" s="12"/>
      <c r="WM18" s="13"/>
      <c r="WS18" s="4"/>
      <c r="WT18" s="12"/>
      <c r="WU18" s="13"/>
      <c r="XA18" s="4"/>
      <c r="XB18" s="12"/>
      <c r="XC18" s="13"/>
      <c r="XI18" s="4"/>
      <c r="XJ18" s="12"/>
      <c r="XK18" s="13"/>
      <c r="XQ18" s="4"/>
      <c r="XR18" s="12"/>
      <c r="XS18" s="13"/>
      <c r="XY18" s="4"/>
      <c r="XZ18" s="12"/>
      <c r="YA18" s="13"/>
      <c r="YG18" s="4"/>
      <c r="YH18" s="12"/>
      <c r="YI18" s="13"/>
      <c r="YO18" s="4"/>
      <c r="YP18" s="12"/>
      <c r="YQ18" s="13"/>
      <c r="YW18" s="4"/>
      <c r="YX18" s="12"/>
      <c r="YY18" s="13"/>
      <c r="ZE18" s="4"/>
      <c r="ZF18" s="12"/>
      <c r="ZG18" s="13"/>
      <c r="ZM18" s="4"/>
      <c r="ZN18" s="12"/>
      <c r="ZO18" s="13"/>
      <c r="ZU18" s="4"/>
      <c r="ZV18" s="12"/>
      <c r="ZW18" s="13"/>
      <c r="AAC18" s="4"/>
      <c r="AAD18" s="12"/>
      <c r="AAE18" s="13"/>
      <c r="AAK18" s="4"/>
      <c r="AAL18" s="12"/>
      <c r="AAM18" s="13"/>
      <c r="AAS18" s="4"/>
      <c r="AAT18" s="12"/>
      <c r="AAU18" s="13"/>
      <c r="ABA18" s="4"/>
      <c r="ABB18" s="12"/>
      <c r="ABC18" s="13"/>
      <c r="ABI18" s="4"/>
      <c r="ABJ18" s="12"/>
      <c r="ABK18" s="13"/>
      <c r="ABQ18" s="4"/>
      <c r="ABR18" s="12"/>
      <c r="ABS18" s="13"/>
      <c r="ABY18" s="4"/>
      <c r="ABZ18" s="12"/>
      <c r="ACA18" s="13"/>
      <c r="ACG18" s="4"/>
      <c r="ACH18" s="12"/>
      <c r="ACI18" s="13"/>
      <c r="ACO18" s="4"/>
      <c r="ACP18" s="12"/>
      <c r="ACQ18" s="13"/>
      <c r="ACW18" s="4"/>
      <c r="ACX18" s="12"/>
      <c r="ACY18" s="13"/>
      <c r="ADE18" s="4"/>
      <c r="ADF18" s="12"/>
      <c r="ADG18" s="13"/>
      <c r="ADM18" s="4"/>
      <c r="ADN18" s="12"/>
      <c r="ADO18" s="13"/>
      <c r="ADU18" s="4"/>
      <c r="ADV18" s="12"/>
      <c r="ADW18" s="13"/>
      <c r="AEC18" s="4"/>
      <c r="AED18" s="12"/>
      <c r="AEE18" s="13"/>
      <c r="AEK18" s="4"/>
      <c r="AEL18" s="12"/>
      <c r="AEM18" s="13"/>
      <c r="AES18" s="4"/>
      <c r="AET18" s="12"/>
      <c r="AEU18" s="13"/>
      <c r="AFA18" s="4"/>
      <c r="AFB18" s="12"/>
      <c r="AFC18" s="13"/>
      <c r="AFI18" s="4"/>
      <c r="AFJ18" s="12"/>
      <c r="AFK18" s="13"/>
      <c r="AFQ18" s="4"/>
      <c r="AFR18" s="12"/>
      <c r="AFS18" s="13"/>
      <c r="AFY18" s="4"/>
      <c r="AFZ18" s="12"/>
      <c r="AGA18" s="13"/>
      <c r="AGG18" s="4"/>
      <c r="AGH18" s="12"/>
      <c r="AGI18" s="13"/>
      <c r="AGO18" s="4"/>
      <c r="AGP18" s="12"/>
      <c r="AGQ18" s="13"/>
      <c r="AGW18" s="4"/>
      <c r="AGX18" s="12"/>
      <c r="AGY18" s="13"/>
      <c r="AHE18" s="4"/>
      <c r="AHF18" s="12"/>
      <c r="AHG18" s="13"/>
      <c r="AHM18" s="4"/>
      <c r="AHN18" s="12"/>
      <c r="AHO18" s="13"/>
      <c r="AHU18" s="4"/>
      <c r="AHV18" s="12"/>
      <c r="AHW18" s="13"/>
      <c r="AIC18" s="4"/>
      <c r="AID18" s="12"/>
      <c r="AIE18" s="13"/>
      <c r="AIK18" s="4"/>
      <c r="AIL18" s="12"/>
      <c r="AIM18" s="13"/>
      <c r="AIS18" s="4"/>
      <c r="AIT18" s="12"/>
      <c r="AIU18" s="13"/>
      <c r="AJA18" s="4"/>
      <c r="AJB18" s="12"/>
      <c r="AJC18" s="13"/>
      <c r="AJI18" s="4"/>
      <c r="AJJ18" s="12"/>
      <c r="AJK18" s="13"/>
      <c r="AJQ18" s="4"/>
      <c r="AJR18" s="12"/>
      <c r="AJS18" s="13"/>
      <c r="AJY18" s="4"/>
      <c r="AJZ18" s="12"/>
      <c r="AKA18" s="13"/>
      <c r="AKG18" s="4"/>
      <c r="AKH18" s="12"/>
      <c r="AKI18" s="13"/>
      <c r="AKO18" s="4"/>
      <c r="AKP18" s="12"/>
      <c r="AKQ18" s="13"/>
      <c r="AKW18" s="4"/>
      <c r="AKX18" s="12"/>
      <c r="AKY18" s="13"/>
      <c r="ALE18" s="4"/>
      <c r="ALF18" s="12"/>
      <c r="ALG18" s="13"/>
      <c r="ALM18" s="4"/>
      <c r="ALN18" s="12"/>
      <c r="ALO18" s="13"/>
      <c r="ALU18" s="4"/>
      <c r="ALV18" s="12"/>
      <c r="ALW18" s="13"/>
      <c r="AMC18" s="4"/>
      <c r="AMD18" s="12"/>
      <c r="AME18" s="13"/>
      <c r="AMK18" s="4"/>
      <c r="AML18" s="12"/>
      <c r="AMM18" s="13"/>
      <c r="AMS18" s="4"/>
      <c r="AMT18" s="12"/>
      <c r="AMU18" s="13"/>
      <c r="ANA18" s="4"/>
      <c r="ANB18" s="12"/>
      <c r="ANC18" s="13"/>
      <c r="ANI18" s="4"/>
      <c r="ANJ18" s="12"/>
      <c r="ANK18" s="13"/>
      <c r="ANQ18" s="4"/>
      <c r="ANR18" s="12"/>
      <c r="ANS18" s="13"/>
      <c r="ANY18" s="4"/>
      <c r="ANZ18" s="12"/>
      <c r="AOA18" s="13"/>
      <c r="AOG18" s="4"/>
      <c r="AOH18" s="12"/>
      <c r="AOI18" s="13"/>
      <c r="AOO18" s="4"/>
      <c r="AOP18" s="12"/>
      <c r="AOQ18" s="13"/>
      <c r="AOW18" s="4"/>
      <c r="AOX18" s="12"/>
      <c r="AOY18" s="13"/>
      <c r="APE18" s="4"/>
      <c r="APF18" s="12"/>
      <c r="APG18" s="13"/>
      <c r="APM18" s="4"/>
      <c r="APN18" s="12"/>
      <c r="APO18" s="13"/>
      <c r="APU18" s="4"/>
      <c r="APV18" s="12"/>
      <c r="APW18" s="13"/>
      <c r="AQC18" s="4"/>
      <c r="AQD18" s="12"/>
      <c r="AQE18" s="13"/>
      <c r="AQK18" s="4"/>
      <c r="AQL18" s="12"/>
      <c r="AQM18" s="13"/>
      <c r="AQS18" s="4"/>
      <c r="AQT18" s="12"/>
      <c r="AQU18" s="13"/>
      <c r="ARA18" s="4"/>
      <c r="ARB18" s="12"/>
      <c r="ARC18" s="13"/>
      <c r="ARI18" s="4"/>
      <c r="ARJ18" s="12"/>
      <c r="ARK18" s="13"/>
      <c r="ARQ18" s="4"/>
      <c r="ARR18" s="12"/>
      <c r="ARS18" s="13"/>
      <c r="ARY18" s="4"/>
      <c r="ARZ18" s="12"/>
      <c r="ASA18" s="13"/>
      <c r="ASG18" s="4"/>
      <c r="ASH18" s="12"/>
      <c r="ASI18" s="13"/>
      <c r="ASO18" s="4"/>
      <c r="ASP18" s="12"/>
      <c r="ASQ18" s="13"/>
      <c r="ASW18" s="4"/>
      <c r="ASX18" s="12"/>
      <c r="ASY18" s="13"/>
      <c r="ATE18" s="4"/>
      <c r="ATF18" s="12"/>
      <c r="ATG18" s="13"/>
      <c r="ATM18" s="4"/>
      <c r="ATN18" s="12"/>
      <c r="ATO18" s="13"/>
      <c r="ATU18" s="4"/>
      <c r="ATV18" s="12"/>
      <c r="ATW18" s="13"/>
      <c r="AUC18" s="4"/>
      <c r="AUD18" s="12"/>
      <c r="AUE18" s="13"/>
      <c r="AUK18" s="4"/>
      <c r="AUL18" s="12"/>
      <c r="AUM18" s="13"/>
      <c r="AUS18" s="4"/>
      <c r="AUT18" s="12"/>
      <c r="AUU18" s="13"/>
      <c r="AVA18" s="4"/>
      <c r="AVB18" s="12"/>
      <c r="AVC18" s="13"/>
      <c r="AVI18" s="4"/>
      <c r="AVJ18" s="12"/>
      <c r="AVK18" s="13"/>
      <c r="AVQ18" s="4"/>
      <c r="AVR18" s="12"/>
      <c r="AVS18" s="13"/>
      <c r="AVY18" s="4"/>
      <c r="AVZ18" s="12"/>
      <c r="AWA18" s="13"/>
      <c r="AWG18" s="4"/>
      <c r="AWH18" s="12"/>
      <c r="AWI18" s="13"/>
      <c r="AWO18" s="4"/>
      <c r="AWP18" s="12"/>
      <c r="AWQ18" s="13"/>
      <c r="AWW18" s="4"/>
      <c r="AWX18" s="12"/>
      <c r="AWY18" s="13"/>
      <c r="AXE18" s="4"/>
      <c r="AXF18" s="12"/>
      <c r="AXG18" s="13"/>
      <c r="AXM18" s="4"/>
      <c r="AXN18" s="12"/>
      <c r="AXO18" s="13"/>
      <c r="AXU18" s="4"/>
      <c r="AXV18" s="12"/>
      <c r="AXW18" s="13"/>
      <c r="AYC18" s="4"/>
      <c r="AYD18" s="12"/>
      <c r="AYE18" s="13"/>
      <c r="AYK18" s="4"/>
      <c r="AYL18" s="12"/>
      <c r="AYM18" s="13"/>
      <c r="AYS18" s="4"/>
      <c r="AYT18" s="12"/>
      <c r="AYU18" s="13"/>
      <c r="AZA18" s="4"/>
      <c r="AZB18" s="12"/>
      <c r="AZC18" s="13"/>
      <c r="AZI18" s="4"/>
      <c r="AZJ18" s="12"/>
      <c r="AZK18" s="13"/>
      <c r="AZQ18" s="4"/>
      <c r="AZR18" s="12"/>
      <c r="AZS18" s="13"/>
      <c r="AZY18" s="4"/>
      <c r="AZZ18" s="12"/>
      <c r="BAA18" s="13"/>
      <c r="BAG18" s="4"/>
      <c r="BAH18" s="12"/>
      <c r="BAI18" s="13"/>
      <c r="BAO18" s="4"/>
      <c r="BAP18" s="12"/>
      <c r="BAQ18" s="13"/>
      <c r="BAW18" s="4"/>
      <c r="BAX18" s="12"/>
      <c r="BAY18" s="13"/>
      <c r="BBE18" s="4"/>
      <c r="BBF18" s="12"/>
      <c r="BBG18" s="13"/>
      <c r="BBM18" s="4"/>
      <c r="BBN18" s="12"/>
      <c r="BBO18" s="13"/>
      <c r="BBU18" s="4"/>
      <c r="BBV18" s="12"/>
      <c r="BBW18" s="13"/>
      <c r="BCC18" s="4"/>
      <c r="BCD18" s="12"/>
      <c r="BCE18" s="13"/>
      <c r="BCK18" s="4"/>
      <c r="BCL18" s="12"/>
      <c r="BCM18" s="13"/>
      <c r="BCS18" s="4"/>
      <c r="BCT18" s="12"/>
      <c r="BCU18" s="13"/>
      <c r="BDA18" s="4"/>
      <c r="BDB18" s="12"/>
      <c r="BDC18" s="13"/>
      <c r="BDI18" s="4"/>
      <c r="BDJ18" s="12"/>
      <c r="BDK18" s="13"/>
      <c r="BDQ18" s="4"/>
      <c r="BDR18" s="12"/>
      <c r="BDS18" s="13"/>
      <c r="BDY18" s="4"/>
      <c r="BDZ18" s="12"/>
      <c r="BEA18" s="13"/>
      <c r="BEG18" s="4"/>
      <c r="BEH18" s="12"/>
      <c r="BEI18" s="13"/>
      <c r="BEO18" s="4"/>
      <c r="BEP18" s="12"/>
      <c r="BEQ18" s="13"/>
      <c r="BEW18" s="4"/>
      <c r="BEX18" s="12"/>
      <c r="BEY18" s="13"/>
      <c r="BFE18" s="4"/>
      <c r="BFF18" s="12"/>
      <c r="BFG18" s="13"/>
      <c r="BFM18" s="4"/>
      <c r="BFN18" s="12"/>
      <c r="BFO18" s="13"/>
      <c r="BFU18" s="4"/>
      <c r="BFV18" s="12"/>
      <c r="BFW18" s="13"/>
      <c r="BGC18" s="4"/>
      <c r="BGD18" s="12"/>
      <c r="BGE18" s="13"/>
      <c r="BGK18" s="4"/>
      <c r="BGL18" s="12"/>
      <c r="BGM18" s="13"/>
      <c r="BGS18" s="4"/>
      <c r="BGT18" s="12"/>
      <c r="BGU18" s="13"/>
      <c r="BHA18" s="4"/>
      <c r="BHB18" s="12"/>
      <c r="BHC18" s="13"/>
      <c r="BHI18" s="4"/>
      <c r="BHJ18" s="12"/>
      <c r="BHK18" s="13"/>
      <c r="BHQ18" s="4"/>
      <c r="BHR18" s="12"/>
      <c r="BHS18" s="13"/>
      <c r="BHY18" s="4"/>
      <c r="BHZ18" s="12"/>
      <c r="BIA18" s="13"/>
      <c r="BIG18" s="4"/>
      <c r="BIH18" s="12"/>
      <c r="BII18" s="13"/>
      <c r="BIO18" s="4"/>
      <c r="BIP18" s="12"/>
      <c r="BIQ18" s="13"/>
      <c r="BIW18" s="4"/>
      <c r="BIX18" s="12"/>
      <c r="BIY18" s="13"/>
      <c r="BJE18" s="4"/>
      <c r="BJF18" s="12"/>
      <c r="BJG18" s="13"/>
      <c r="BJM18" s="4"/>
      <c r="BJN18" s="12"/>
      <c r="BJO18" s="13"/>
      <c r="BJU18" s="4"/>
      <c r="BJV18" s="12"/>
      <c r="BJW18" s="13"/>
      <c r="BKC18" s="4"/>
      <c r="BKD18" s="12"/>
      <c r="BKE18" s="13"/>
      <c r="BKK18" s="4"/>
      <c r="BKL18" s="12"/>
      <c r="BKM18" s="13"/>
      <c r="BKS18" s="4"/>
      <c r="BKT18" s="12"/>
      <c r="BKU18" s="13"/>
      <c r="BLA18" s="4"/>
      <c r="BLB18" s="12"/>
      <c r="BLC18" s="13"/>
      <c r="BLI18" s="4"/>
      <c r="BLJ18" s="12"/>
      <c r="BLK18" s="13"/>
      <c r="BLQ18" s="4"/>
      <c r="BLR18" s="12"/>
      <c r="BLS18" s="13"/>
      <c r="BLY18" s="4"/>
      <c r="BLZ18" s="12"/>
      <c r="BMA18" s="13"/>
      <c r="BMG18" s="4"/>
      <c r="BMH18" s="12"/>
      <c r="BMI18" s="13"/>
      <c r="BMO18" s="4"/>
      <c r="BMP18" s="12"/>
      <c r="BMQ18" s="13"/>
      <c r="BMW18" s="4"/>
      <c r="BMX18" s="12"/>
      <c r="BMY18" s="13"/>
      <c r="BNE18" s="4"/>
      <c r="BNF18" s="12"/>
      <c r="BNG18" s="13"/>
      <c r="BNM18" s="4"/>
      <c r="BNN18" s="12"/>
      <c r="BNO18" s="13"/>
      <c r="BNU18" s="4"/>
      <c r="BNV18" s="12"/>
      <c r="BNW18" s="13"/>
      <c r="BOC18" s="4"/>
      <c r="BOD18" s="12"/>
      <c r="BOE18" s="13"/>
      <c r="BOK18" s="4"/>
      <c r="BOL18" s="12"/>
      <c r="BOM18" s="13"/>
      <c r="BOS18" s="4"/>
      <c r="BOT18" s="12"/>
      <c r="BOU18" s="13"/>
      <c r="BPA18" s="4"/>
      <c r="BPB18" s="12"/>
      <c r="BPC18" s="13"/>
      <c r="BPI18" s="4"/>
      <c r="BPJ18" s="12"/>
      <c r="BPK18" s="13"/>
      <c r="BPQ18" s="4"/>
      <c r="BPR18" s="12"/>
      <c r="BPS18" s="13"/>
      <c r="BPY18" s="4"/>
      <c r="BPZ18" s="12"/>
      <c r="BQA18" s="13"/>
      <c r="BQG18" s="4"/>
      <c r="BQH18" s="12"/>
      <c r="BQI18" s="13"/>
      <c r="BQO18" s="4"/>
      <c r="BQP18" s="12"/>
      <c r="BQQ18" s="13"/>
      <c r="BQW18" s="4"/>
      <c r="BQX18" s="12"/>
      <c r="BQY18" s="13"/>
      <c r="BRE18" s="4"/>
      <c r="BRF18" s="12"/>
      <c r="BRG18" s="13"/>
      <c r="BRM18" s="4"/>
      <c r="BRN18" s="12"/>
      <c r="BRO18" s="13"/>
      <c r="BRU18" s="4"/>
      <c r="BRV18" s="12"/>
      <c r="BRW18" s="13"/>
      <c r="BSC18" s="4"/>
      <c r="BSD18" s="12"/>
      <c r="BSE18" s="13"/>
      <c r="BSK18" s="4"/>
      <c r="BSL18" s="12"/>
      <c r="BSM18" s="13"/>
      <c r="BSS18" s="4"/>
      <c r="BST18" s="12"/>
      <c r="BSU18" s="13"/>
      <c r="BTA18" s="4"/>
      <c r="BTB18" s="12"/>
      <c r="BTC18" s="13"/>
      <c r="BTI18" s="4"/>
      <c r="BTJ18" s="12"/>
      <c r="BTK18" s="13"/>
      <c r="BTQ18" s="4"/>
      <c r="BTR18" s="12"/>
      <c r="BTS18" s="13"/>
      <c r="BTY18" s="4"/>
      <c r="BTZ18" s="12"/>
      <c r="BUA18" s="13"/>
      <c r="BUG18" s="4"/>
      <c r="BUH18" s="12"/>
      <c r="BUI18" s="13"/>
      <c r="BUO18" s="4"/>
      <c r="BUP18" s="12"/>
      <c r="BUQ18" s="13"/>
      <c r="BUW18" s="4"/>
      <c r="BUX18" s="12"/>
      <c r="BUY18" s="13"/>
      <c r="BVE18" s="4"/>
      <c r="BVF18" s="12"/>
      <c r="BVG18" s="13"/>
      <c r="BVM18" s="4"/>
      <c r="BVN18" s="12"/>
      <c r="BVO18" s="13"/>
      <c r="BVU18" s="4"/>
      <c r="BVV18" s="12"/>
      <c r="BVW18" s="13"/>
      <c r="BWC18" s="4"/>
      <c r="BWD18" s="12"/>
      <c r="BWE18" s="13"/>
      <c r="BWK18" s="4"/>
      <c r="BWL18" s="12"/>
      <c r="BWM18" s="13"/>
      <c r="BWS18" s="4"/>
      <c r="BWT18" s="12"/>
      <c r="BWU18" s="13"/>
      <c r="BXA18" s="4"/>
      <c r="BXB18" s="12"/>
      <c r="BXC18" s="13"/>
      <c r="BXI18" s="4"/>
      <c r="BXJ18" s="12"/>
      <c r="BXK18" s="13"/>
      <c r="BXQ18" s="4"/>
      <c r="BXR18" s="12"/>
      <c r="BXS18" s="13"/>
      <c r="BXY18" s="4"/>
      <c r="BXZ18" s="12"/>
      <c r="BYA18" s="13"/>
      <c r="BYG18" s="4"/>
      <c r="BYH18" s="12"/>
      <c r="BYI18" s="13"/>
      <c r="BYO18" s="4"/>
      <c r="BYP18" s="12"/>
      <c r="BYQ18" s="13"/>
      <c r="BYW18" s="4"/>
      <c r="BYX18" s="12"/>
      <c r="BYY18" s="13"/>
      <c r="BZE18" s="4"/>
      <c r="BZF18" s="12"/>
      <c r="BZG18" s="13"/>
      <c r="BZM18" s="4"/>
      <c r="BZN18" s="12"/>
      <c r="BZO18" s="13"/>
      <c r="BZU18" s="4"/>
      <c r="BZV18" s="12"/>
      <c r="BZW18" s="13"/>
      <c r="CAC18" s="4"/>
      <c r="CAD18" s="12"/>
      <c r="CAE18" s="13"/>
      <c r="CAK18" s="4"/>
      <c r="CAL18" s="12"/>
      <c r="CAM18" s="13"/>
      <c r="CAS18" s="4"/>
      <c r="CAT18" s="12"/>
      <c r="CAU18" s="13"/>
      <c r="CBA18" s="4"/>
      <c r="CBB18" s="12"/>
      <c r="CBC18" s="13"/>
      <c r="CBI18" s="4"/>
      <c r="CBJ18" s="12"/>
      <c r="CBK18" s="13"/>
      <c r="CBQ18" s="4"/>
      <c r="CBR18" s="12"/>
      <c r="CBS18" s="13"/>
      <c r="CBY18" s="4"/>
      <c r="CBZ18" s="12"/>
      <c r="CCA18" s="13"/>
      <c r="CCG18" s="4"/>
      <c r="CCH18" s="12"/>
      <c r="CCI18" s="13"/>
      <c r="CCO18" s="4"/>
      <c r="CCP18" s="12"/>
      <c r="CCQ18" s="13"/>
      <c r="CCW18" s="4"/>
      <c r="CCX18" s="12"/>
      <c r="CCY18" s="13"/>
      <c r="CDE18" s="4"/>
      <c r="CDF18" s="12"/>
      <c r="CDG18" s="13"/>
      <c r="CDM18" s="4"/>
      <c r="CDN18" s="12"/>
      <c r="CDO18" s="13"/>
      <c r="CDU18" s="4"/>
      <c r="CDV18" s="12"/>
      <c r="CDW18" s="13"/>
      <c r="CEC18" s="4"/>
      <c r="CED18" s="12"/>
      <c r="CEE18" s="13"/>
      <c r="CEK18" s="4"/>
      <c r="CEL18" s="12"/>
      <c r="CEM18" s="13"/>
      <c r="CES18" s="4"/>
      <c r="CET18" s="12"/>
      <c r="CEU18" s="13"/>
      <c r="CFA18" s="4"/>
      <c r="CFB18" s="12"/>
      <c r="CFC18" s="13"/>
      <c r="CFI18" s="4"/>
      <c r="CFJ18" s="12"/>
      <c r="CFK18" s="13"/>
      <c r="CFQ18" s="4"/>
      <c r="CFR18" s="12"/>
      <c r="CFS18" s="13"/>
      <c r="CFY18" s="4"/>
      <c r="CFZ18" s="12"/>
      <c r="CGA18" s="13"/>
      <c r="CGG18" s="4"/>
      <c r="CGH18" s="12"/>
      <c r="CGI18" s="13"/>
      <c r="CGO18" s="4"/>
      <c r="CGP18" s="12"/>
      <c r="CGQ18" s="13"/>
      <c r="CGW18" s="4"/>
      <c r="CGX18" s="12"/>
      <c r="CGY18" s="13"/>
      <c r="CHE18" s="4"/>
      <c r="CHF18" s="12"/>
      <c r="CHG18" s="13"/>
      <c r="CHM18" s="4"/>
      <c r="CHN18" s="12"/>
      <c r="CHO18" s="13"/>
      <c r="CHU18" s="4"/>
      <c r="CHV18" s="12"/>
      <c r="CHW18" s="13"/>
      <c r="CIC18" s="4"/>
      <c r="CID18" s="12"/>
      <c r="CIE18" s="13"/>
      <c r="CIK18" s="4"/>
      <c r="CIL18" s="12"/>
      <c r="CIM18" s="13"/>
      <c r="CIS18" s="4"/>
      <c r="CIT18" s="12"/>
      <c r="CIU18" s="13"/>
      <c r="CJA18" s="4"/>
      <c r="CJB18" s="12"/>
      <c r="CJC18" s="13"/>
      <c r="CJI18" s="4"/>
      <c r="CJJ18" s="12"/>
      <c r="CJK18" s="13"/>
      <c r="CJQ18" s="4"/>
      <c r="CJR18" s="12"/>
      <c r="CJS18" s="13"/>
      <c r="CJY18" s="4"/>
      <c r="CJZ18" s="12"/>
      <c r="CKA18" s="13"/>
      <c r="CKG18" s="4"/>
      <c r="CKH18" s="12"/>
      <c r="CKI18" s="13"/>
      <c r="CKO18" s="4"/>
      <c r="CKP18" s="12"/>
      <c r="CKQ18" s="13"/>
      <c r="CKW18" s="4"/>
      <c r="CKX18" s="12"/>
      <c r="CKY18" s="13"/>
      <c r="CLE18" s="4"/>
      <c r="CLF18" s="12"/>
      <c r="CLG18" s="13"/>
      <c r="CLM18" s="4"/>
      <c r="CLN18" s="12"/>
      <c r="CLO18" s="13"/>
      <c r="CLU18" s="4"/>
      <c r="CLV18" s="12"/>
      <c r="CLW18" s="13"/>
      <c r="CMC18" s="4"/>
      <c r="CMD18" s="12"/>
      <c r="CME18" s="13"/>
      <c r="CMK18" s="4"/>
      <c r="CML18" s="12"/>
      <c r="CMM18" s="13"/>
      <c r="CMS18" s="4"/>
      <c r="CMT18" s="12"/>
      <c r="CMU18" s="13"/>
      <c r="CNA18" s="4"/>
      <c r="CNB18" s="12"/>
      <c r="CNC18" s="13"/>
      <c r="CNI18" s="4"/>
      <c r="CNJ18" s="12"/>
      <c r="CNK18" s="13"/>
      <c r="CNQ18" s="4"/>
      <c r="CNR18" s="12"/>
      <c r="CNS18" s="13"/>
      <c r="CNY18" s="4"/>
      <c r="CNZ18" s="12"/>
      <c r="COA18" s="13"/>
      <c r="COG18" s="4"/>
      <c r="COH18" s="12"/>
      <c r="COI18" s="13"/>
      <c r="COO18" s="4"/>
      <c r="COP18" s="12"/>
      <c r="COQ18" s="13"/>
      <c r="COW18" s="4"/>
      <c r="COX18" s="12"/>
      <c r="COY18" s="13"/>
      <c r="CPE18" s="4"/>
      <c r="CPF18" s="12"/>
      <c r="CPG18" s="13"/>
      <c r="CPM18" s="4"/>
      <c r="CPN18" s="12"/>
      <c r="CPO18" s="13"/>
      <c r="CPU18" s="4"/>
      <c r="CPV18" s="12"/>
      <c r="CPW18" s="13"/>
      <c r="CQC18" s="4"/>
      <c r="CQD18" s="12"/>
      <c r="CQE18" s="13"/>
      <c r="CQK18" s="4"/>
      <c r="CQL18" s="12"/>
      <c r="CQM18" s="13"/>
      <c r="CQS18" s="4"/>
      <c r="CQT18" s="12"/>
      <c r="CQU18" s="13"/>
      <c r="CRA18" s="4"/>
      <c r="CRB18" s="12"/>
      <c r="CRC18" s="13"/>
      <c r="CRI18" s="4"/>
      <c r="CRJ18" s="12"/>
      <c r="CRK18" s="13"/>
      <c r="CRQ18" s="4"/>
      <c r="CRR18" s="12"/>
      <c r="CRS18" s="13"/>
      <c r="CRY18" s="4"/>
      <c r="CRZ18" s="12"/>
      <c r="CSA18" s="13"/>
      <c r="CSG18" s="4"/>
      <c r="CSH18" s="12"/>
      <c r="CSI18" s="13"/>
      <c r="CSO18" s="4"/>
      <c r="CSP18" s="12"/>
      <c r="CSQ18" s="13"/>
      <c r="CSW18" s="4"/>
      <c r="CSX18" s="12"/>
      <c r="CSY18" s="13"/>
      <c r="CTE18" s="4"/>
      <c r="CTF18" s="12"/>
      <c r="CTG18" s="13"/>
      <c r="CTM18" s="4"/>
      <c r="CTN18" s="12"/>
      <c r="CTO18" s="13"/>
      <c r="CTU18" s="4"/>
      <c r="CTV18" s="12"/>
      <c r="CTW18" s="13"/>
      <c r="CUC18" s="4"/>
      <c r="CUD18" s="12"/>
      <c r="CUE18" s="13"/>
      <c r="CUK18" s="4"/>
      <c r="CUL18" s="12"/>
      <c r="CUM18" s="13"/>
      <c r="CUS18" s="4"/>
      <c r="CUT18" s="12"/>
      <c r="CUU18" s="13"/>
      <c r="CVA18" s="4"/>
      <c r="CVB18" s="12"/>
      <c r="CVC18" s="13"/>
      <c r="CVI18" s="4"/>
      <c r="CVJ18" s="12"/>
      <c r="CVK18" s="13"/>
      <c r="CVQ18" s="4"/>
      <c r="CVR18" s="12"/>
      <c r="CVS18" s="13"/>
      <c r="CVY18" s="4"/>
      <c r="CVZ18" s="12"/>
      <c r="CWA18" s="13"/>
      <c r="CWG18" s="4"/>
      <c r="CWH18" s="12"/>
      <c r="CWI18" s="13"/>
      <c r="CWO18" s="4"/>
      <c r="CWP18" s="12"/>
      <c r="CWQ18" s="13"/>
      <c r="CWW18" s="4"/>
      <c r="CWX18" s="12"/>
      <c r="CWY18" s="13"/>
      <c r="CXE18" s="4"/>
      <c r="CXF18" s="12"/>
      <c r="CXG18" s="13"/>
      <c r="CXM18" s="4"/>
      <c r="CXN18" s="12"/>
      <c r="CXO18" s="13"/>
      <c r="CXU18" s="4"/>
      <c r="CXV18" s="12"/>
      <c r="CXW18" s="13"/>
      <c r="CYC18" s="4"/>
      <c r="CYD18" s="12"/>
      <c r="CYE18" s="13"/>
      <c r="CYK18" s="4"/>
      <c r="CYL18" s="12"/>
      <c r="CYM18" s="13"/>
      <c r="CYS18" s="4"/>
      <c r="CYT18" s="12"/>
      <c r="CYU18" s="13"/>
      <c r="CZA18" s="4"/>
      <c r="CZB18" s="12"/>
      <c r="CZC18" s="13"/>
      <c r="CZI18" s="4"/>
      <c r="CZJ18" s="12"/>
      <c r="CZK18" s="13"/>
      <c r="CZQ18" s="4"/>
      <c r="CZR18" s="12"/>
      <c r="CZS18" s="13"/>
      <c r="CZY18" s="4"/>
      <c r="CZZ18" s="12"/>
      <c r="DAA18" s="13"/>
      <c r="DAG18" s="4"/>
      <c r="DAH18" s="12"/>
      <c r="DAI18" s="13"/>
      <c r="DAO18" s="4"/>
      <c r="DAP18" s="12"/>
      <c r="DAQ18" s="13"/>
      <c r="DAW18" s="4"/>
      <c r="DAX18" s="12"/>
      <c r="DAY18" s="13"/>
      <c r="DBE18" s="4"/>
      <c r="DBF18" s="12"/>
      <c r="DBG18" s="13"/>
      <c r="DBM18" s="4"/>
      <c r="DBN18" s="12"/>
      <c r="DBO18" s="13"/>
      <c r="DBU18" s="4"/>
      <c r="DBV18" s="12"/>
      <c r="DBW18" s="13"/>
      <c r="DCC18" s="4"/>
      <c r="DCD18" s="12"/>
      <c r="DCE18" s="13"/>
      <c r="DCK18" s="4"/>
      <c r="DCL18" s="12"/>
      <c r="DCM18" s="13"/>
      <c r="DCS18" s="4"/>
      <c r="DCT18" s="12"/>
      <c r="DCU18" s="13"/>
      <c r="DDA18" s="4"/>
      <c r="DDB18" s="12"/>
      <c r="DDC18" s="13"/>
      <c r="DDI18" s="4"/>
      <c r="DDJ18" s="12"/>
      <c r="DDK18" s="13"/>
      <c r="DDQ18" s="4"/>
      <c r="DDR18" s="12"/>
      <c r="DDS18" s="13"/>
      <c r="DDY18" s="4"/>
      <c r="DDZ18" s="12"/>
      <c r="DEA18" s="13"/>
      <c r="DEG18" s="4"/>
      <c r="DEH18" s="12"/>
      <c r="DEI18" s="13"/>
      <c r="DEO18" s="4"/>
      <c r="DEP18" s="12"/>
      <c r="DEQ18" s="13"/>
      <c r="DEW18" s="4"/>
      <c r="DEX18" s="12"/>
      <c r="DEY18" s="13"/>
      <c r="DFE18" s="4"/>
      <c r="DFF18" s="12"/>
      <c r="DFG18" s="13"/>
      <c r="DFM18" s="4"/>
      <c r="DFN18" s="12"/>
      <c r="DFO18" s="13"/>
      <c r="DFU18" s="4"/>
      <c r="DFV18" s="12"/>
      <c r="DFW18" s="13"/>
      <c r="DGC18" s="4"/>
      <c r="DGD18" s="12"/>
      <c r="DGE18" s="13"/>
      <c r="DGK18" s="4"/>
      <c r="DGL18" s="12"/>
      <c r="DGM18" s="13"/>
      <c r="DGS18" s="4"/>
      <c r="DGT18" s="12"/>
      <c r="DGU18" s="13"/>
      <c r="DHA18" s="4"/>
      <c r="DHB18" s="12"/>
      <c r="DHC18" s="13"/>
      <c r="DHI18" s="4"/>
      <c r="DHJ18" s="12"/>
      <c r="DHK18" s="13"/>
      <c r="DHQ18" s="4"/>
      <c r="DHR18" s="12"/>
      <c r="DHS18" s="13"/>
      <c r="DHY18" s="4"/>
      <c r="DHZ18" s="12"/>
      <c r="DIA18" s="13"/>
      <c r="DIG18" s="4"/>
      <c r="DIH18" s="12"/>
      <c r="DII18" s="13"/>
      <c r="DIO18" s="4"/>
      <c r="DIP18" s="12"/>
      <c r="DIQ18" s="13"/>
      <c r="DIW18" s="4"/>
      <c r="DIX18" s="12"/>
      <c r="DIY18" s="13"/>
      <c r="DJE18" s="4"/>
      <c r="DJF18" s="12"/>
      <c r="DJG18" s="13"/>
      <c r="DJM18" s="4"/>
      <c r="DJN18" s="12"/>
      <c r="DJO18" s="13"/>
      <c r="DJU18" s="4"/>
      <c r="DJV18" s="12"/>
      <c r="DJW18" s="13"/>
      <c r="DKC18" s="4"/>
      <c r="DKD18" s="12"/>
      <c r="DKE18" s="13"/>
      <c r="DKK18" s="4"/>
      <c r="DKL18" s="12"/>
      <c r="DKM18" s="13"/>
      <c r="DKS18" s="4"/>
      <c r="DKT18" s="12"/>
      <c r="DKU18" s="13"/>
      <c r="DLA18" s="4"/>
      <c r="DLB18" s="12"/>
      <c r="DLC18" s="13"/>
      <c r="DLI18" s="4"/>
      <c r="DLJ18" s="12"/>
      <c r="DLK18" s="13"/>
      <c r="DLQ18" s="4"/>
      <c r="DLR18" s="12"/>
      <c r="DLS18" s="13"/>
      <c r="DLY18" s="4"/>
      <c r="DLZ18" s="12"/>
      <c r="DMA18" s="13"/>
      <c r="DMG18" s="4"/>
      <c r="DMH18" s="12"/>
      <c r="DMI18" s="13"/>
      <c r="DMO18" s="4"/>
      <c r="DMP18" s="12"/>
      <c r="DMQ18" s="13"/>
      <c r="DMW18" s="4"/>
      <c r="DMX18" s="12"/>
      <c r="DMY18" s="13"/>
      <c r="DNE18" s="4"/>
      <c r="DNF18" s="12"/>
      <c r="DNG18" s="13"/>
      <c r="DNM18" s="4"/>
      <c r="DNN18" s="12"/>
      <c r="DNO18" s="13"/>
      <c r="DNU18" s="4"/>
      <c r="DNV18" s="12"/>
      <c r="DNW18" s="13"/>
      <c r="DOC18" s="4"/>
      <c r="DOD18" s="12"/>
      <c r="DOE18" s="13"/>
      <c r="DOK18" s="4"/>
      <c r="DOL18" s="12"/>
      <c r="DOM18" s="13"/>
      <c r="DOS18" s="4"/>
      <c r="DOT18" s="12"/>
      <c r="DOU18" s="13"/>
      <c r="DPA18" s="4"/>
      <c r="DPB18" s="12"/>
      <c r="DPC18" s="13"/>
      <c r="DPI18" s="4"/>
      <c r="DPJ18" s="12"/>
      <c r="DPK18" s="13"/>
      <c r="DPQ18" s="4"/>
      <c r="DPR18" s="12"/>
      <c r="DPS18" s="13"/>
      <c r="DPY18" s="4"/>
      <c r="DPZ18" s="12"/>
      <c r="DQA18" s="13"/>
      <c r="DQG18" s="4"/>
      <c r="DQH18" s="12"/>
      <c r="DQI18" s="13"/>
      <c r="DQO18" s="4"/>
      <c r="DQP18" s="12"/>
      <c r="DQQ18" s="13"/>
      <c r="DQW18" s="4"/>
      <c r="DQX18" s="12"/>
      <c r="DQY18" s="13"/>
      <c r="DRE18" s="4"/>
      <c r="DRF18" s="12"/>
      <c r="DRG18" s="13"/>
      <c r="DRM18" s="4"/>
      <c r="DRN18" s="12"/>
      <c r="DRO18" s="13"/>
      <c r="DRU18" s="4"/>
      <c r="DRV18" s="12"/>
      <c r="DRW18" s="13"/>
      <c r="DSC18" s="4"/>
      <c r="DSD18" s="12"/>
      <c r="DSE18" s="13"/>
      <c r="DSK18" s="4"/>
      <c r="DSL18" s="12"/>
      <c r="DSM18" s="13"/>
      <c r="DSS18" s="4"/>
      <c r="DST18" s="12"/>
      <c r="DSU18" s="13"/>
      <c r="DTA18" s="4"/>
      <c r="DTB18" s="12"/>
      <c r="DTC18" s="13"/>
      <c r="DTI18" s="4"/>
      <c r="DTJ18" s="12"/>
      <c r="DTK18" s="13"/>
      <c r="DTQ18" s="4"/>
      <c r="DTR18" s="12"/>
      <c r="DTS18" s="13"/>
      <c r="DTY18" s="4"/>
      <c r="DTZ18" s="12"/>
      <c r="DUA18" s="13"/>
      <c r="DUG18" s="4"/>
      <c r="DUH18" s="12"/>
      <c r="DUI18" s="13"/>
      <c r="DUO18" s="4"/>
      <c r="DUP18" s="12"/>
      <c r="DUQ18" s="13"/>
      <c r="DUW18" s="4"/>
      <c r="DUX18" s="12"/>
      <c r="DUY18" s="13"/>
      <c r="DVE18" s="4"/>
      <c r="DVF18" s="12"/>
      <c r="DVG18" s="13"/>
      <c r="DVM18" s="4"/>
      <c r="DVN18" s="12"/>
      <c r="DVO18" s="13"/>
      <c r="DVU18" s="4"/>
      <c r="DVV18" s="12"/>
      <c r="DVW18" s="13"/>
      <c r="DWC18" s="4"/>
      <c r="DWD18" s="12"/>
      <c r="DWE18" s="13"/>
      <c r="DWK18" s="4"/>
      <c r="DWL18" s="12"/>
      <c r="DWM18" s="13"/>
      <c r="DWS18" s="4"/>
      <c r="DWT18" s="12"/>
      <c r="DWU18" s="13"/>
      <c r="DXA18" s="4"/>
      <c r="DXB18" s="12"/>
      <c r="DXC18" s="13"/>
      <c r="DXI18" s="4"/>
      <c r="DXJ18" s="12"/>
      <c r="DXK18" s="13"/>
      <c r="DXQ18" s="4"/>
      <c r="DXR18" s="12"/>
      <c r="DXS18" s="13"/>
      <c r="DXY18" s="4"/>
      <c r="DXZ18" s="12"/>
      <c r="DYA18" s="13"/>
      <c r="DYG18" s="4"/>
      <c r="DYH18" s="12"/>
      <c r="DYI18" s="13"/>
      <c r="DYO18" s="4"/>
      <c r="DYP18" s="12"/>
      <c r="DYQ18" s="13"/>
      <c r="DYW18" s="4"/>
      <c r="DYX18" s="12"/>
      <c r="DYY18" s="13"/>
      <c r="DZE18" s="4"/>
      <c r="DZF18" s="12"/>
      <c r="DZG18" s="13"/>
      <c r="DZM18" s="4"/>
      <c r="DZN18" s="12"/>
      <c r="DZO18" s="13"/>
      <c r="DZU18" s="4"/>
      <c r="DZV18" s="12"/>
      <c r="DZW18" s="13"/>
      <c r="EAC18" s="4"/>
      <c r="EAD18" s="12"/>
      <c r="EAE18" s="13"/>
      <c r="EAK18" s="4"/>
      <c r="EAL18" s="12"/>
      <c r="EAM18" s="13"/>
      <c r="EAS18" s="4"/>
      <c r="EAT18" s="12"/>
      <c r="EAU18" s="13"/>
      <c r="EBA18" s="4"/>
      <c r="EBB18" s="12"/>
      <c r="EBC18" s="13"/>
      <c r="EBI18" s="4"/>
      <c r="EBJ18" s="12"/>
      <c r="EBK18" s="13"/>
      <c r="EBQ18" s="4"/>
      <c r="EBR18" s="12"/>
      <c r="EBS18" s="13"/>
      <c r="EBY18" s="4"/>
      <c r="EBZ18" s="12"/>
      <c r="ECA18" s="13"/>
      <c r="ECG18" s="4"/>
      <c r="ECH18" s="12"/>
      <c r="ECI18" s="13"/>
      <c r="ECO18" s="4"/>
      <c r="ECP18" s="12"/>
      <c r="ECQ18" s="13"/>
      <c r="ECW18" s="4"/>
      <c r="ECX18" s="12"/>
      <c r="ECY18" s="13"/>
      <c r="EDE18" s="4"/>
      <c r="EDF18" s="12"/>
      <c r="EDG18" s="13"/>
      <c r="EDM18" s="4"/>
      <c r="EDN18" s="12"/>
      <c r="EDO18" s="13"/>
      <c r="EDU18" s="4"/>
      <c r="EDV18" s="12"/>
      <c r="EDW18" s="13"/>
      <c r="EEC18" s="4"/>
      <c r="EED18" s="12"/>
      <c r="EEE18" s="13"/>
      <c r="EEK18" s="4"/>
      <c r="EEL18" s="12"/>
      <c r="EEM18" s="13"/>
      <c r="EES18" s="4"/>
      <c r="EET18" s="12"/>
      <c r="EEU18" s="13"/>
      <c r="EFA18" s="4"/>
      <c r="EFB18" s="12"/>
      <c r="EFC18" s="13"/>
      <c r="EFI18" s="4"/>
      <c r="EFJ18" s="12"/>
      <c r="EFK18" s="13"/>
      <c r="EFQ18" s="4"/>
      <c r="EFR18" s="12"/>
      <c r="EFS18" s="13"/>
      <c r="EFY18" s="4"/>
      <c r="EFZ18" s="12"/>
      <c r="EGA18" s="13"/>
      <c r="EGG18" s="4"/>
      <c r="EGH18" s="12"/>
      <c r="EGI18" s="13"/>
      <c r="EGO18" s="4"/>
      <c r="EGP18" s="12"/>
      <c r="EGQ18" s="13"/>
      <c r="EGW18" s="4"/>
      <c r="EGX18" s="12"/>
      <c r="EGY18" s="13"/>
      <c r="EHE18" s="4"/>
      <c r="EHF18" s="12"/>
      <c r="EHG18" s="13"/>
      <c r="EHM18" s="4"/>
      <c r="EHN18" s="12"/>
      <c r="EHO18" s="13"/>
      <c r="EHU18" s="4"/>
      <c r="EHV18" s="12"/>
      <c r="EHW18" s="13"/>
      <c r="EIC18" s="4"/>
      <c r="EID18" s="12"/>
      <c r="EIE18" s="13"/>
      <c r="EIK18" s="4"/>
      <c r="EIL18" s="12"/>
      <c r="EIM18" s="13"/>
      <c r="EIS18" s="4"/>
      <c r="EIT18" s="12"/>
      <c r="EIU18" s="13"/>
      <c r="EJA18" s="4"/>
      <c r="EJB18" s="12"/>
      <c r="EJC18" s="13"/>
      <c r="EJI18" s="4"/>
      <c r="EJJ18" s="12"/>
      <c r="EJK18" s="13"/>
      <c r="EJQ18" s="4"/>
      <c r="EJR18" s="12"/>
      <c r="EJS18" s="13"/>
      <c r="EJY18" s="4"/>
      <c r="EJZ18" s="12"/>
      <c r="EKA18" s="13"/>
      <c r="EKG18" s="4"/>
      <c r="EKH18" s="12"/>
      <c r="EKI18" s="13"/>
      <c r="EKO18" s="4"/>
      <c r="EKP18" s="12"/>
      <c r="EKQ18" s="13"/>
      <c r="EKW18" s="4"/>
      <c r="EKX18" s="12"/>
      <c r="EKY18" s="13"/>
      <c r="ELE18" s="4"/>
      <c r="ELF18" s="12"/>
      <c r="ELG18" s="13"/>
      <c r="ELM18" s="4"/>
      <c r="ELN18" s="12"/>
      <c r="ELO18" s="13"/>
      <c r="ELU18" s="4"/>
      <c r="ELV18" s="12"/>
      <c r="ELW18" s="13"/>
      <c r="EMC18" s="4"/>
      <c r="EMD18" s="12"/>
      <c r="EME18" s="13"/>
      <c r="EMK18" s="4"/>
      <c r="EML18" s="12"/>
      <c r="EMM18" s="13"/>
      <c r="EMS18" s="4"/>
      <c r="EMT18" s="12"/>
      <c r="EMU18" s="13"/>
      <c r="ENA18" s="4"/>
      <c r="ENB18" s="12"/>
      <c r="ENC18" s="13"/>
      <c r="ENI18" s="4"/>
      <c r="ENJ18" s="12"/>
      <c r="ENK18" s="13"/>
      <c r="ENQ18" s="4"/>
      <c r="ENR18" s="12"/>
      <c r="ENS18" s="13"/>
      <c r="ENY18" s="4"/>
      <c r="ENZ18" s="12"/>
      <c r="EOA18" s="13"/>
      <c r="EOG18" s="4"/>
      <c r="EOH18" s="12"/>
      <c r="EOI18" s="13"/>
      <c r="EOO18" s="4"/>
      <c r="EOP18" s="12"/>
      <c r="EOQ18" s="13"/>
      <c r="EOW18" s="4"/>
      <c r="EOX18" s="12"/>
      <c r="EOY18" s="13"/>
      <c r="EPE18" s="4"/>
      <c r="EPF18" s="12"/>
      <c r="EPG18" s="13"/>
      <c r="EPM18" s="4"/>
      <c r="EPN18" s="12"/>
      <c r="EPO18" s="13"/>
      <c r="EPU18" s="4"/>
      <c r="EPV18" s="12"/>
      <c r="EPW18" s="13"/>
      <c r="EQC18" s="4"/>
      <c r="EQD18" s="12"/>
      <c r="EQE18" s="13"/>
      <c r="EQK18" s="4"/>
      <c r="EQL18" s="12"/>
      <c r="EQM18" s="13"/>
      <c r="EQS18" s="4"/>
      <c r="EQT18" s="12"/>
      <c r="EQU18" s="13"/>
      <c r="ERA18" s="4"/>
      <c r="ERB18" s="12"/>
      <c r="ERC18" s="13"/>
      <c r="ERI18" s="4"/>
      <c r="ERJ18" s="12"/>
      <c r="ERK18" s="13"/>
      <c r="ERQ18" s="4"/>
      <c r="ERR18" s="12"/>
      <c r="ERS18" s="13"/>
      <c r="ERY18" s="4"/>
      <c r="ERZ18" s="12"/>
      <c r="ESA18" s="13"/>
      <c r="ESG18" s="4"/>
      <c r="ESH18" s="12"/>
      <c r="ESI18" s="13"/>
      <c r="ESO18" s="4"/>
      <c r="ESP18" s="12"/>
      <c r="ESQ18" s="13"/>
      <c r="ESW18" s="4"/>
      <c r="ESX18" s="12"/>
      <c r="ESY18" s="13"/>
      <c r="ETE18" s="4"/>
      <c r="ETF18" s="12"/>
      <c r="ETG18" s="13"/>
      <c r="ETM18" s="4"/>
      <c r="ETN18" s="12"/>
      <c r="ETO18" s="13"/>
      <c r="ETU18" s="4"/>
      <c r="ETV18" s="12"/>
      <c r="ETW18" s="13"/>
      <c r="EUC18" s="4"/>
      <c r="EUD18" s="12"/>
      <c r="EUE18" s="13"/>
      <c r="EUK18" s="4"/>
      <c r="EUL18" s="12"/>
      <c r="EUM18" s="13"/>
      <c r="EUS18" s="4"/>
      <c r="EUT18" s="12"/>
      <c r="EUU18" s="13"/>
      <c r="EVA18" s="4"/>
      <c r="EVB18" s="12"/>
      <c r="EVC18" s="13"/>
      <c r="EVI18" s="4"/>
      <c r="EVJ18" s="12"/>
      <c r="EVK18" s="13"/>
      <c r="EVQ18" s="4"/>
      <c r="EVR18" s="12"/>
      <c r="EVS18" s="13"/>
      <c r="EVY18" s="4"/>
      <c r="EVZ18" s="12"/>
      <c r="EWA18" s="13"/>
      <c r="EWG18" s="4"/>
      <c r="EWH18" s="12"/>
      <c r="EWI18" s="13"/>
      <c r="EWO18" s="4"/>
      <c r="EWP18" s="12"/>
      <c r="EWQ18" s="13"/>
      <c r="EWW18" s="4"/>
      <c r="EWX18" s="12"/>
      <c r="EWY18" s="13"/>
      <c r="EXE18" s="4"/>
      <c r="EXF18" s="12"/>
      <c r="EXG18" s="13"/>
      <c r="EXM18" s="4"/>
      <c r="EXN18" s="12"/>
      <c r="EXO18" s="13"/>
      <c r="EXU18" s="4"/>
      <c r="EXV18" s="12"/>
      <c r="EXW18" s="13"/>
      <c r="EYC18" s="4"/>
      <c r="EYD18" s="12"/>
      <c r="EYE18" s="13"/>
      <c r="EYK18" s="4"/>
      <c r="EYL18" s="12"/>
      <c r="EYM18" s="13"/>
      <c r="EYS18" s="4"/>
      <c r="EYT18" s="12"/>
      <c r="EYU18" s="13"/>
      <c r="EZA18" s="4"/>
      <c r="EZB18" s="12"/>
      <c r="EZC18" s="13"/>
      <c r="EZI18" s="4"/>
      <c r="EZJ18" s="12"/>
      <c r="EZK18" s="13"/>
      <c r="EZQ18" s="4"/>
      <c r="EZR18" s="12"/>
      <c r="EZS18" s="13"/>
      <c r="EZY18" s="4"/>
      <c r="EZZ18" s="12"/>
      <c r="FAA18" s="13"/>
      <c r="FAG18" s="4"/>
      <c r="FAH18" s="12"/>
      <c r="FAI18" s="13"/>
      <c r="FAO18" s="4"/>
      <c r="FAP18" s="12"/>
      <c r="FAQ18" s="13"/>
      <c r="FAW18" s="4"/>
      <c r="FAX18" s="12"/>
      <c r="FAY18" s="13"/>
      <c r="FBE18" s="4"/>
      <c r="FBF18" s="12"/>
      <c r="FBG18" s="13"/>
      <c r="FBM18" s="4"/>
      <c r="FBN18" s="12"/>
      <c r="FBO18" s="13"/>
      <c r="FBU18" s="4"/>
      <c r="FBV18" s="12"/>
      <c r="FBW18" s="13"/>
      <c r="FCC18" s="4"/>
      <c r="FCD18" s="12"/>
      <c r="FCE18" s="13"/>
      <c r="FCK18" s="4"/>
      <c r="FCL18" s="12"/>
      <c r="FCM18" s="13"/>
      <c r="FCS18" s="4"/>
      <c r="FCT18" s="12"/>
      <c r="FCU18" s="13"/>
      <c r="FDA18" s="4"/>
      <c r="FDB18" s="12"/>
      <c r="FDC18" s="13"/>
      <c r="FDI18" s="4"/>
      <c r="FDJ18" s="12"/>
      <c r="FDK18" s="13"/>
      <c r="FDQ18" s="4"/>
      <c r="FDR18" s="12"/>
      <c r="FDS18" s="13"/>
      <c r="FDY18" s="4"/>
      <c r="FDZ18" s="12"/>
      <c r="FEA18" s="13"/>
      <c r="FEG18" s="4"/>
      <c r="FEH18" s="12"/>
      <c r="FEI18" s="13"/>
      <c r="FEO18" s="4"/>
      <c r="FEP18" s="12"/>
      <c r="FEQ18" s="13"/>
      <c r="FEW18" s="4"/>
      <c r="FEX18" s="12"/>
      <c r="FEY18" s="13"/>
      <c r="FFE18" s="4"/>
      <c r="FFF18" s="12"/>
      <c r="FFG18" s="13"/>
      <c r="FFM18" s="4"/>
      <c r="FFN18" s="12"/>
      <c r="FFO18" s="13"/>
      <c r="FFU18" s="4"/>
      <c r="FFV18" s="12"/>
      <c r="FFW18" s="13"/>
      <c r="FGC18" s="4"/>
      <c r="FGD18" s="12"/>
      <c r="FGE18" s="13"/>
      <c r="FGK18" s="4"/>
      <c r="FGL18" s="12"/>
      <c r="FGM18" s="13"/>
      <c r="FGS18" s="4"/>
      <c r="FGT18" s="12"/>
      <c r="FGU18" s="13"/>
      <c r="FHA18" s="4"/>
      <c r="FHB18" s="12"/>
      <c r="FHC18" s="13"/>
      <c r="FHI18" s="4"/>
      <c r="FHJ18" s="12"/>
      <c r="FHK18" s="13"/>
      <c r="FHQ18" s="4"/>
      <c r="FHR18" s="12"/>
      <c r="FHS18" s="13"/>
      <c r="FHY18" s="4"/>
      <c r="FHZ18" s="12"/>
      <c r="FIA18" s="13"/>
      <c r="FIG18" s="4"/>
      <c r="FIH18" s="12"/>
      <c r="FII18" s="13"/>
      <c r="FIO18" s="4"/>
      <c r="FIP18" s="12"/>
      <c r="FIQ18" s="13"/>
      <c r="FIW18" s="4"/>
      <c r="FIX18" s="12"/>
      <c r="FIY18" s="13"/>
      <c r="FJE18" s="4"/>
      <c r="FJF18" s="12"/>
      <c r="FJG18" s="13"/>
      <c r="FJM18" s="4"/>
      <c r="FJN18" s="12"/>
      <c r="FJO18" s="13"/>
      <c r="FJU18" s="4"/>
      <c r="FJV18" s="12"/>
      <c r="FJW18" s="13"/>
      <c r="FKC18" s="4"/>
      <c r="FKD18" s="12"/>
      <c r="FKE18" s="13"/>
      <c r="FKK18" s="4"/>
      <c r="FKL18" s="12"/>
      <c r="FKM18" s="13"/>
      <c r="FKS18" s="4"/>
      <c r="FKT18" s="12"/>
      <c r="FKU18" s="13"/>
      <c r="FLA18" s="4"/>
      <c r="FLB18" s="12"/>
      <c r="FLC18" s="13"/>
      <c r="FLI18" s="4"/>
      <c r="FLJ18" s="12"/>
      <c r="FLK18" s="13"/>
      <c r="FLQ18" s="4"/>
      <c r="FLR18" s="12"/>
      <c r="FLS18" s="13"/>
      <c r="FLY18" s="4"/>
      <c r="FLZ18" s="12"/>
      <c r="FMA18" s="13"/>
      <c r="FMG18" s="4"/>
      <c r="FMH18" s="12"/>
      <c r="FMI18" s="13"/>
      <c r="FMO18" s="4"/>
      <c r="FMP18" s="12"/>
      <c r="FMQ18" s="13"/>
      <c r="FMW18" s="4"/>
      <c r="FMX18" s="12"/>
      <c r="FMY18" s="13"/>
      <c r="FNE18" s="4"/>
      <c r="FNF18" s="12"/>
      <c r="FNG18" s="13"/>
      <c r="FNM18" s="4"/>
      <c r="FNN18" s="12"/>
      <c r="FNO18" s="13"/>
      <c r="FNU18" s="4"/>
      <c r="FNV18" s="12"/>
      <c r="FNW18" s="13"/>
      <c r="FOC18" s="4"/>
      <c r="FOD18" s="12"/>
      <c r="FOE18" s="13"/>
      <c r="FOK18" s="4"/>
      <c r="FOL18" s="12"/>
      <c r="FOM18" s="13"/>
      <c r="FOS18" s="4"/>
      <c r="FOT18" s="12"/>
      <c r="FOU18" s="13"/>
      <c r="FPA18" s="4"/>
      <c r="FPB18" s="12"/>
      <c r="FPC18" s="13"/>
      <c r="FPI18" s="4"/>
      <c r="FPJ18" s="12"/>
      <c r="FPK18" s="13"/>
      <c r="FPQ18" s="4"/>
      <c r="FPR18" s="12"/>
      <c r="FPS18" s="13"/>
      <c r="FPY18" s="4"/>
      <c r="FPZ18" s="12"/>
      <c r="FQA18" s="13"/>
      <c r="FQG18" s="4"/>
      <c r="FQH18" s="12"/>
      <c r="FQI18" s="13"/>
      <c r="FQO18" s="4"/>
      <c r="FQP18" s="12"/>
      <c r="FQQ18" s="13"/>
      <c r="FQW18" s="4"/>
      <c r="FQX18" s="12"/>
      <c r="FQY18" s="13"/>
      <c r="FRE18" s="4"/>
      <c r="FRF18" s="12"/>
      <c r="FRG18" s="13"/>
      <c r="FRM18" s="4"/>
      <c r="FRN18" s="12"/>
      <c r="FRO18" s="13"/>
      <c r="FRU18" s="4"/>
      <c r="FRV18" s="12"/>
      <c r="FRW18" s="13"/>
      <c r="FSC18" s="4"/>
      <c r="FSD18" s="12"/>
      <c r="FSE18" s="13"/>
      <c r="FSK18" s="4"/>
      <c r="FSL18" s="12"/>
      <c r="FSM18" s="13"/>
      <c r="FSS18" s="4"/>
      <c r="FST18" s="12"/>
      <c r="FSU18" s="13"/>
      <c r="FTA18" s="4"/>
      <c r="FTB18" s="12"/>
      <c r="FTC18" s="13"/>
      <c r="FTI18" s="4"/>
      <c r="FTJ18" s="12"/>
      <c r="FTK18" s="13"/>
      <c r="FTQ18" s="4"/>
      <c r="FTR18" s="12"/>
      <c r="FTS18" s="13"/>
      <c r="FTY18" s="4"/>
      <c r="FTZ18" s="12"/>
      <c r="FUA18" s="13"/>
      <c r="FUG18" s="4"/>
      <c r="FUH18" s="12"/>
      <c r="FUI18" s="13"/>
      <c r="FUO18" s="4"/>
      <c r="FUP18" s="12"/>
      <c r="FUQ18" s="13"/>
      <c r="FUW18" s="4"/>
      <c r="FUX18" s="12"/>
      <c r="FUY18" s="13"/>
      <c r="FVE18" s="4"/>
      <c r="FVF18" s="12"/>
      <c r="FVG18" s="13"/>
      <c r="FVM18" s="4"/>
      <c r="FVN18" s="12"/>
      <c r="FVO18" s="13"/>
      <c r="FVU18" s="4"/>
      <c r="FVV18" s="12"/>
      <c r="FVW18" s="13"/>
      <c r="FWC18" s="4"/>
      <c r="FWD18" s="12"/>
      <c r="FWE18" s="13"/>
      <c r="FWK18" s="4"/>
      <c r="FWL18" s="12"/>
      <c r="FWM18" s="13"/>
      <c r="FWS18" s="4"/>
      <c r="FWT18" s="12"/>
      <c r="FWU18" s="13"/>
      <c r="FXA18" s="4"/>
      <c r="FXB18" s="12"/>
      <c r="FXC18" s="13"/>
      <c r="FXI18" s="4"/>
      <c r="FXJ18" s="12"/>
      <c r="FXK18" s="13"/>
      <c r="FXQ18" s="4"/>
      <c r="FXR18" s="12"/>
      <c r="FXS18" s="13"/>
      <c r="FXY18" s="4"/>
      <c r="FXZ18" s="12"/>
      <c r="FYA18" s="13"/>
      <c r="FYG18" s="4"/>
      <c r="FYH18" s="12"/>
      <c r="FYI18" s="13"/>
      <c r="FYO18" s="4"/>
      <c r="FYP18" s="12"/>
      <c r="FYQ18" s="13"/>
      <c r="FYW18" s="4"/>
      <c r="FYX18" s="12"/>
      <c r="FYY18" s="13"/>
      <c r="FZE18" s="4"/>
      <c r="FZF18" s="12"/>
      <c r="FZG18" s="13"/>
      <c r="FZM18" s="4"/>
      <c r="FZN18" s="12"/>
      <c r="FZO18" s="13"/>
      <c r="FZU18" s="4"/>
      <c r="FZV18" s="12"/>
      <c r="FZW18" s="13"/>
      <c r="GAC18" s="4"/>
      <c r="GAD18" s="12"/>
      <c r="GAE18" s="13"/>
      <c r="GAK18" s="4"/>
      <c r="GAL18" s="12"/>
      <c r="GAM18" s="13"/>
      <c r="GAS18" s="4"/>
      <c r="GAT18" s="12"/>
      <c r="GAU18" s="13"/>
      <c r="GBA18" s="4"/>
      <c r="GBB18" s="12"/>
      <c r="GBC18" s="13"/>
      <c r="GBI18" s="4"/>
      <c r="GBJ18" s="12"/>
      <c r="GBK18" s="13"/>
      <c r="GBQ18" s="4"/>
      <c r="GBR18" s="12"/>
      <c r="GBS18" s="13"/>
      <c r="GBY18" s="4"/>
      <c r="GBZ18" s="12"/>
      <c r="GCA18" s="13"/>
      <c r="GCG18" s="4"/>
      <c r="GCH18" s="12"/>
      <c r="GCI18" s="13"/>
      <c r="GCO18" s="4"/>
      <c r="GCP18" s="12"/>
      <c r="GCQ18" s="13"/>
      <c r="GCW18" s="4"/>
      <c r="GCX18" s="12"/>
      <c r="GCY18" s="13"/>
      <c r="GDE18" s="4"/>
      <c r="GDF18" s="12"/>
      <c r="GDG18" s="13"/>
      <c r="GDM18" s="4"/>
      <c r="GDN18" s="12"/>
      <c r="GDO18" s="13"/>
      <c r="GDU18" s="4"/>
      <c r="GDV18" s="12"/>
      <c r="GDW18" s="13"/>
      <c r="GEC18" s="4"/>
      <c r="GED18" s="12"/>
      <c r="GEE18" s="13"/>
      <c r="GEK18" s="4"/>
      <c r="GEL18" s="12"/>
      <c r="GEM18" s="13"/>
      <c r="GES18" s="4"/>
      <c r="GET18" s="12"/>
      <c r="GEU18" s="13"/>
      <c r="GFA18" s="4"/>
      <c r="GFB18" s="12"/>
      <c r="GFC18" s="13"/>
      <c r="GFI18" s="4"/>
      <c r="GFJ18" s="12"/>
      <c r="GFK18" s="13"/>
      <c r="GFQ18" s="4"/>
      <c r="GFR18" s="12"/>
      <c r="GFS18" s="13"/>
      <c r="GFY18" s="4"/>
      <c r="GFZ18" s="12"/>
      <c r="GGA18" s="13"/>
      <c r="GGG18" s="4"/>
      <c r="GGH18" s="12"/>
      <c r="GGI18" s="13"/>
      <c r="GGO18" s="4"/>
      <c r="GGP18" s="12"/>
      <c r="GGQ18" s="13"/>
      <c r="GGW18" s="4"/>
      <c r="GGX18" s="12"/>
      <c r="GGY18" s="13"/>
      <c r="GHE18" s="4"/>
      <c r="GHF18" s="12"/>
      <c r="GHG18" s="13"/>
      <c r="GHM18" s="4"/>
      <c r="GHN18" s="12"/>
      <c r="GHO18" s="13"/>
      <c r="GHU18" s="4"/>
      <c r="GHV18" s="12"/>
      <c r="GHW18" s="13"/>
      <c r="GIC18" s="4"/>
      <c r="GID18" s="12"/>
      <c r="GIE18" s="13"/>
      <c r="GIK18" s="4"/>
      <c r="GIL18" s="12"/>
      <c r="GIM18" s="13"/>
      <c r="GIS18" s="4"/>
      <c r="GIT18" s="12"/>
      <c r="GIU18" s="13"/>
      <c r="GJA18" s="4"/>
      <c r="GJB18" s="12"/>
      <c r="GJC18" s="13"/>
      <c r="GJI18" s="4"/>
      <c r="GJJ18" s="12"/>
      <c r="GJK18" s="13"/>
      <c r="GJQ18" s="4"/>
      <c r="GJR18" s="12"/>
      <c r="GJS18" s="13"/>
      <c r="GJY18" s="4"/>
      <c r="GJZ18" s="12"/>
      <c r="GKA18" s="13"/>
      <c r="GKG18" s="4"/>
      <c r="GKH18" s="12"/>
      <c r="GKI18" s="13"/>
      <c r="GKO18" s="4"/>
      <c r="GKP18" s="12"/>
      <c r="GKQ18" s="13"/>
      <c r="GKW18" s="4"/>
      <c r="GKX18" s="12"/>
      <c r="GKY18" s="13"/>
      <c r="GLE18" s="4"/>
      <c r="GLF18" s="12"/>
      <c r="GLG18" s="13"/>
      <c r="GLM18" s="4"/>
      <c r="GLN18" s="12"/>
      <c r="GLO18" s="13"/>
      <c r="GLU18" s="4"/>
      <c r="GLV18" s="12"/>
      <c r="GLW18" s="13"/>
      <c r="GMC18" s="4"/>
      <c r="GMD18" s="12"/>
      <c r="GME18" s="13"/>
      <c r="GMK18" s="4"/>
      <c r="GML18" s="12"/>
      <c r="GMM18" s="13"/>
      <c r="GMS18" s="4"/>
      <c r="GMT18" s="12"/>
      <c r="GMU18" s="13"/>
      <c r="GNA18" s="4"/>
      <c r="GNB18" s="12"/>
      <c r="GNC18" s="13"/>
      <c r="GNI18" s="4"/>
      <c r="GNJ18" s="12"/>
      <c r="GNK18" s="13"/>
      <c r="GNQ18" s="4"/>
      <c r="GNR18" s="12"/>
      <c r="GNS18" s="13"/>
      <c r="GNY18" s="4"/>
      <c r="GNZ18" s="12"/>
      <c r="GOA18" s="13"/>
      <c r="GOG18" s="4"/>
      <c r="GOH18" s="12"/>
      <c r="GOI18" s="13"/>
      <c r="GOO18" s="4"/>
      <c r="GOP18" s="12"/>
      <c r="GOQ18" s="13"/>
      <c r="GOW18" s="4"/>
      <c r="GOX18" s="12"/>
      <c r="GOY18" s="13"/>
      <c r="GPE18" s="4"/>
      <c r="GPF18" s="12"/>
      <c r="GPG18" s="13"/>
      <c r="GPM18" s="4"/>
      <c r="GPN18" s="12"/>
      <c r="GPO18" s="13"/>
      <c r="GPU18" s="4"/>
      <c r="GPV18" s="12"/>
      <c r="GPW18" s="13"/>
      <c r="GQC18" s="4"/>
      <c r="GQD18" s="12"/>
      <c r="GQE18" s="13"/>
      <c r="GQK18" s="4"/>
      <c r="GQL18" s="12"/>
      <c r="GQM18" s="13"/>
      <c r="GQS18" s="4"/>
      <c r="GQT18" s="12"/>
      <c r="GQU18" s="13"/>
      <c r="GRA18" s="4"/>
      <c r="GRB18" s="12"/>
      <c r="GRC18" s="13"/>
      <c r="GRI18" s="4"/>
      <c r="GRJ18" s="12"/>
      <c r="GRK18" s="13"/>
      <c r="GRQ18" s="4"/>
      <c r="GRR18" s="12"/>
      <c r="GRS18" s="13"/>
      <c r="GRY18" s="4"/>
      <c r="GRZ18" s="12"/>
      <c r="GSA18" s="13"/>
      <c r="GSG18" s="4"/>
      <c r="GSH18" s="12"/>
      <c r="GSI18" s="13"/>
      <c r="GSO18" s="4"/>
      <c r="GSP18" s="12"/>
      <c r="GSQ18" s="13"/>
      <c r="GSW18" s="4"/>
      <c r="GSX18" s="12"/>
      <c r="GSY18" s="13"/>
      <c r="GTE18" s="4"/>
      <c r="GTF18" s="12"/>
      <c r="GTG18" s="13"/>
      <c r="GTM18" s="4"/>
      <c r="GTN18" s="12"/>
      <c r="GTO18" s="13"/>
      <c r="GTU18" s="4"/>
      <c r="GTV18" s="12"/>
      <c r="GTW18" s="13"/>
      <c r="GUC18" s="4"/>
      <c r="GUD18" s="12"/>
      <c r="GUE18" s="13"/>
      <c r="GUK18" s="4"/>
      <c r="GUL18" s="12"/>
      <c r="GUM18" s="13"/>
      <c r="GUS18" s="4"/>
      <c r="GUT18" s="12"/>
      <c r="GUU18" s="13"/>
      <c r="GVA18" s="4"/>
      <c r="GVB18" s="12"/>
      <c r="GVC18" s="13"/>
      <c r="GVI18" s="4"/>
      <c r="GVJ18" s="12"/>
      <c r="GVK18" s="13"/>
      <c r="GVQ18" s="4"/>
      <c r="GVR18" s="12"/>
      <c r="GVS18" s="13"/>
      <c r="GVY18" s="4"/>
      <c r="GVZ18" s="12"/>
      <c r="GWA18" s="13"/>
      <c r="GWG18" s="4"/>
      <c r="GWH18" s="12"/>
      <c r="GWI18" s="13"/>
      <c r="GWO18" s="4"/>
      <c r="GWP18" s="12"/>
      <c r="GWQ18" s="13"/>
      <c r="GWW18" s="4"/>
      <c r="GWX18" s="12"/>
      <c r="GWY18" s="13"/>
      <c r="GXE18" s="4"/>
      <c r="GXF18" s="12"/>
      <c r="GXG18" s="13"/>
      <c r="GXM18" s="4"/>
      <c r="GXN18" s="12"/>
      <c r="GXO18" s="13"/>
      <c r="GXU18" s="4"/>
      <c r="GXV18" s="12"/>
      <c r="GXW18" s="13"/>
      <c r="GYC18" s="4"/>
      <c r="GYD18" s="12"/>
      <c r="GYE18" s="13"/>
      <c r="GYK18" s="4"/>
      <c r="GYL18" s="12"/>
      <c r="GYM18" s="13"/>
      <c r="GYS18" s="4"/>
      <c r="GYT18" s="12"/>
      <c r="GYU18" s="13"/>
      <c r="GZA18" s="4"/>
      <c r="GZB18" s="12"/>
      <c r="GZC18" s="13"/>
      <c r="GZI18" s="4"/>
      <c r="GZJ18" s="12"/>
      <c r="GZK18" s="13"/>
      <c r="GZQ18" s="4"/>
      <c r="GZR18" s="12"/>
      <c r="GZS18" s="13"/>
      <c r="GZY18" s="4"/>
      <c r="GZZ18" s="12"/>
      <c r="HAA18" s="13"/>
      <c r="HAG18" s="4"/>
      <c r="HAH18" s="12"/>
      <c r="HAI18" s="13"/>
      <c r="HAO18" s="4"/>
      <c r="HAP18" s="12"/>
      <c r="HAQ18" s="13"/>
      <c r="HAW18" s="4"/>
      <c r="HAX18" s="12"/>
      <c r="HAY18" s="13"/>
      <c r="HBE18" s="4"/>
      <c r="HBF18" s="12"/>
      <c r="HBG18" s="13"/>
      <c r="HBM18" s="4"/>
      <c r="HBN18" s="12"/>
      <c r="HBO18" s="13"/>
      <c r="HBU18" s="4"/>
      <c r="HBV18" s="12"/>
      <c r="HBW18" s="13"/>
      <c r="HCC18" s="4"/>
      <c r="HCD18" s="12"/>
      <c r="HCE18" s="13"/>
      <c r="HCK18" s="4"/>
      <c r="HCL18" s="12"/>
      <c r="HCM18" s="13"/>
      <c r="HCS18" s="4"/>
      <c r="HCT18" s="12"/>
      <c r="HCU18" s="13"/>
      <c r="HDA18" s="4"/>
      <c r="HDB18" s="12"/>
      <c r="HDC18" s="13"/>
      <c r="HDI18" s="4"/>
      <c r="HDJ18" s="12"/>
      <c r="HDK18" s="13"/>
      <c r="HDQ18" s="4"/>
      <c r="HDR18" s="12"/>
      <c r="HDS18" s="13"/>
      <c r="HDY18" s="4"/>
      <c r="HDZ18" s="12"/>
      <c r="HEA18" s="13"/>
      <c r="HEG18" s="4"/>
      <c r="HEH18" s="12"/>
      <c r="HEI18" s="13"/>
      <c r="HEO18" s="4"/>
      <c r="HEP18" s="12"/>
      <c r="HEQ18" s="13"/>
      <c r="HEW18" s="4"/>
      <c r="HEX18" s="12"/>
      <c r="HEY18" s="13"/>
      <c r="HFE18" s="4"/>
      <c r="HFF18" s="12"/>
      <c r="HFG18" s="13"/>
      <c r="HFM18" s="4"/>
      <c r="HFN18" s="12"/>
      <c r="HFO18" s="13"/>
      <c r="HFU18" s="4"/>
      <c r="HFV18" s="12"/>
      <c r="HFW18" s="13"/>
      <c r="HGC18" s="4"/>
      <c r="HGD18" s="12"/>
      <c r="HGE18" s="13"/>
      <c r="HGK18" s="4"/>
      <c r="HGL18" s="12"/>
      <c r="HGM18" s="13"/>
      <c r="HGS18" s="4"/>
      <c r="HGT18" s="12"/>
      <c r="HGU18" s="13"/>
      <c r="HHA18" s="4"/>
      <c r="HHB18" s="12"/>
      <c r="HHC18" s="13"/>
      <c r="HHI18" s="4"/>
      <c r="HHJ18" s="12"/>
      <c r="HHK18" s="13"/>
      <c r="HHQ18" s="4"/>
      <c r="HHR18" s="12"/>
      <c r="HHS18" s="13"/>
      <c r="HHY18" s="4"/>
      <c r="HHZ18" s="12"/>
      <c r="HIA18" s="13"/>
      <c r="HIG18" s="4"/>
      <c r="HIH18" s="12"/>
      <c r="HII18" s="13"/>
      <c r="HIO18" s="4"/>
      <c r="HIP18" s="12"/>
      <c r="HIQ18" s="13"/>
      <c r="HIW18" s="4"/>
      <c r="HIX18" s="12"/>
      <c r="HIY18" s="13"/>
      <c r="HJE18" s="4"/>
      <c r="HJF18" s="12"/>
      <c r="HJG18" s="13"/>
      <c r="HJM18" s="4"/>
      <c r="HJN18" s="12"/>
      <c r="HJO18" s="13"/>
      <c r="HJU18" s="4"/>
      <c r="HJV18" s="12"/>
      <c r="HJW18" s="13"/>
      <c r="HKC18" s="4"/>
      <c r="HKD18" s="12"/>
      <c r="HKE18" s="13"/>
      <c r="HKK18" s="4"/>
      <c r="HKL18" s="12"/>
      <c r="HKM18" s="13"/>
      <c r="HKS18" s="4"/>
      <c r="HKT18" s="12"/>
      <c r="HKU18" s="13"/>
      <c r="HLA18" s="4"/>
      <c r="HLB18" s="12"/>
      <c r="HLC18" s="13"/>
      <c r="HLI18" s="4"/>
      <c r="HLJ18" s="12"/>
      <c r="HLK18" s="13"/>
      <c r="HLQ18" s="4"/>
      <c r="HLR18" s="12"/>
      <c r="HLS18" s="13"/>
      <c r="HLY18" s="4"/>
      <c r="HLZ18" s="12"/>
      <c r="HMA18" s="13"/>
      <c r="HMG18" s="4"/>
      <c r="HMH18" s="12"/>
      <c r="HMI18" s="13"/>
      <c r="HMO18" s="4"/>
      <c r="HMP18" s="12"/>
      <c r="HMQ18" s="13"/>
      <c r="HMW18" s="4"/>
      <c r="HMX18" s="12"/>
      <c r="HMY18" s="13"/>
      <c r="HNE18" s="4"/>
      <c r="HNF18" s="12"/>
      <c r="HNG18" s="13"/>
      <c r="HNM18" s="4"/>
      <c r="HNN18" s="12"/>
      <c r="HNO18" s="13"/>
      <c r="HNU18" s="4"/>
      <c r="HNV18" s="12"/>
      <c r="HNW18" s="13"/>
      <c r="HOC18" s="4"/>
      <c r="HOD18" s="12"/>
      <c r="HOE18" s="13"/>
      <c r="HOK18" s="4"/>
      <c r="HOL18" s="12"/>
      <c r="HOM18" s="13"/>
      <c r="HOS18" s="4"/>
      <c r="HOT18" s="12"/>
      <c r="HOU18" s="13"/>
      <c r="HPA18" s="4"/>
      <c r="HPB18" s="12"/>
      <c r="HPC18" s="13"/>
      <c r="HPI18" s="4"/>
      <c r="HPJ18" s="12"/>
      <c r="HPK18" s="13"/>
      <c r="HPQ18" s="4"/>
      <c r="HPR18" s="12"/>
      <c r="HPS18" s="13"/>
      <c r="HPY18" s="4"/>
      <c r="HPZ18" s="12"/>
      <c r="HQA18" s="13"/>
      <c r="HQG18" s="4"/>
      <c r="HQH18" s="12"/>
      <c r="HQI18" s="13"/>
      <c r="HQO18" s="4"/>
      <c r="HQP18" s="12"/>
      <c r="HQQ18" s="13"/>
      <c r="HQW18" s="4"/>
      <c r="HQX18" s="12"/>
      <c r="HQY18" s="13"/>
      <c r="HRE18" s="4"/>
      <c r="HRF18" s="12"/>
      <c r="HRG18" s="13"/>
      <c r="HRM18" s="4"/>
      <c r="HRN18" s="12"/>
      <c r="HRO18" s="13"/>
      <c r="HRU18" s="4"/>
      <c r="HRV18" s="12"/>
      <c r="HRW18" s="13"/>
      <c r="HSC18" s="4"/>
      <c r="HSD18" s="12"/>
      <c r="HSE18" s="13"/>
      <c r="HSK18" s="4"/>
      <c r="HSL18" s="12"/>
      <c r="HSM18" s="13"/>
      <c r="HSS18" s="4"/>
      <c r="HST18" s="12"/>
      <c r="HSU18" s="13"/>
      <c r="HTA18" s="4"/>
      <c r="HTB18" s="12"/>
      <c r="HTC18" s="13"/>
      <c r="HTI18" s="4"/>
      <c r="HTJ18" s="12"/>
      <c r="HTK18" s="13"/>
      <c r="HTQ18" s="4"/>
      <c r="HTR18" s="12"/>
      <c r="HTS18" s="13"/>
      <c r="HTY18" s="4"/>
      <c r="HTZ18" s="12"/>
      <c r="HUA18" s="13"/>
      <c r="HUG18" s="4"/>
      <c r="HUH18" s="12"/>
      <c r="HUI18" s="13"/>
      <c r="HUO18" s="4"/>
      <c r="HUP18" s="12"/>
      <c r="HUQ18" s="13"/>
      <c r="HUW18" s="4"/>
      <c r="HUX18" s="12"/>
      <c r="HUY18" s="13"/>
      <c r="HVE18" s="4"/>
      <c r="HVF18" s="12"/>
      <c r="HVG18" s="13"/>
      <c r="HVM18" s="4"/>
      <c r="HVN18" s="12"/>
      <c r="HVO18" s="13"/>
      <c r="HVU18" s="4"/>
      <c r="HVV18" s="12"/>
      <c r="HVW18" s="13"/>
      <c r="HWC18" s="4"/>
      <c r="HWD18" s="12"/>
      <c r="HWE18" s="13"/>
      <c r="HWK18" s="4"/>
      <c r="HWL18" s="12"/>
      <c r="HWM18" s="13"/>
      <c r="HWS18" s="4"/>
      <c r="HWT18" s="12"/>
      <c r="HWU18" s="13"/>
      <c r="HXA18" s="4"/>
      <c r="HXB18" s="12"/>
      <c r="HXC18" s="13"/>
      <c r="HXI18" s="4"/>
      <c r="HXJ18" s="12"/>
      <c r="HXK18" s="13"/>
      <c r="HXQ18" s="4"/>
      <c r="HXR18" s="12"/>
      <c r="HXS18" s="13"/>
      <c r="HXY18" s="4"/>
      <c r="HXZ18" s="12"/>
      <c r="HYA18" s="13"/>
      <c r="HYG18" s="4"/>
      <c r="HYH18" s="12"/>
      <c r="HYI18" s="13"/>
      <c r="HYO18" s="4"/>
      <c r="HYP18" s="12"/>
      <c r="HYQ18" s="13"/>
      <c r="HYW18" s="4"/>
      <c r="HYX18" s="12"/>
      <c r="HYY18" s="13"/>
      <c r="HZE18" s="4"/>
      <c r="HZF18" s="12"/>
      <c r="HZG18" s="13"/>
      <c r="HZM18" s="4"/>
      <c r="HZN18" s="12"/>
      <c r="HZO18" s="13"/>
      <c r="HZU18" s="4"/>
      <c r="HZV18" s="12"/>
      <c r="HZW18" s="13"/>
      <c r="IAC18" s="4"/>
      <c r="IAD18" s="12"/>
      <c r="IAE18" s="13"/>
      <c r="IAK18" s="4"/>
      <c r="IAL18" s="12"/>
      <c r="IAM18" s="13"/>
      <c r="IAS18" s="4"/>
      <c r="IAT18" s="12"/>
      <c r="IAU18" s="13"/>
      <c r="IBA18" s="4"/>
      <c r="IBB18" s="12"/>
      <c r="IBC18" s="13"/>
      <c r="IBI18" s="4"/>
      <c r="IBJ18" s="12"/>
      <c r="IBK18" s="13"/>
      <c r="IBQ18" s="4"/>
      <c r="IBR18" s="12"/>
      <c r="IBS18" s="13"/>
      <c r="IBY18" s="4"/>
      <c r="IBZ18" s="12"/>
      <c r="ICA18" s="13"/>
      <c r="ICG18" s="4"/>
      <c r="ICH18" s="12"/>
      <c r="ICI18" s="13"/>
      <c r="ICO18" s="4"/>
      <c r="ICP18" s="12"/>
      <c r="ICQ18" s="13"/>
      <c r="ICW18" s="4"/>
      <c r="ICX18" s="12"/>
      <c r="ICY18" s="13"/>
      <c r="IDE18" s="4"/>
      <c r="IDF18" s="12"/>
      <c r="IDG18" s="13"/>
      <c r="IDM18" s="4"/>
      <c r="IDN18" s="12"/>
      <c r="IDO18" s="13"/>
      <c r="IDU18" s="4"/>
      <c r="IDV18" s="12"/>
      <c r="IDW18" s="13"/>
      <c r="IEC18" s="4"/>
      <c r="IED18" s="12"/>
      <c r="IEE18" s="13"/>
      <c r="IEK18" s="4"/>
      <c r="IEL18" s="12"/>
      <c r="IEM18" s="13"/>
      <c r="IES18" s="4"/>
      <c r="IET18" s="12"/>
      <c r="IEU18" s="13"/>
      <c r="IFA18" s="4"/>
      <c r="IFB18" s="12"/>
      <c r="IFC18" s="13"/>
      <c r="IFI18" s="4"/>
      <c r="IFJ18" s="12"/>
      <c r="IFK18" s="13"/>
      <c r="IFQ18" s="4"/>
      <c r="IFR18" s="12"/>
      <c r="IFS18" s="13"/>
      <c r="IFY18" s="4"/>
      <c r="IFZ18" s="12"/>
      <c r="IGA18" s="13"/>
      <c r="IGG18" s="4"/>
      <c r="IGH18" s="12"/>
      <c r="IGI18" s="13"/>
      <c r="IGO18" s="4"/>
      <c r="IGP18" s="12"/>
      <c r="IGQ18" s="13"/>
      <c r="IGW18" s="4"/>
      <c r="IGX18" s="12"/>
      <c r="IGY18" s="13"/>
      <c r="IHE18" s="4"/>
      <c r="IHF18" s="12"/>
      <c r="IHG18" s="13"/>
      <c r="IHM18" s="4"/>
      <c r="IHN18" s="12"/>
      <c r="IHO18" s="13"/>
      <c r="IHU18" s="4"/>
      <c r="IHV18" s="12"/>
      <c r="IHW18" s="13"/>
      <c r="IIC18" s="4"/>
      <c r="IID18" s="12"/>
      <c r="IIE18" s="13"/>
      <c r="IIK18" s="4"/>
      <c r="IIL18" s="12"/>
      <c r="IIM18" s="13"/>
      <c r="IIS18" s="4"/>
      <c r="IIT18" s="12"/>
      <c r="IIU18" s="13"/>
      <c r="IJA18" s="4"/>
      <c r="IJB18" s="12"/>
      <c r="IJC18" s="13"/>
      <c r="IJI18" s="4"/>
      <c r="IJJ18" s="12"/>
      <c r="IJK18" s="13"/>
      <c r="IJQ18" s="4"/>
      <c r="IJR18" s="12"/>
      <c r="IJS18" s="13"/>
      <c r="IJY18" s="4"/>
      <c r="IJZ18" s="12"/>
      <c r="IKA18" s="13"/>
      <c r="IKG18" s="4"/>
      <c r="IKH18" s="12"/>
      <c r="IKI18" s="13"/>
      <c r="IKO18" s="4"/>
      <c r="IKP18" s="12"/>
      <c r="IKQ18" s="13"/>
      <c r="IKW18" s="4"/>
      <c r="IKX18" s="12"/>
      <c r="IKY18" s="13"/>
      <c r="ILE18" s="4"/>
      <c r="ILF18" s="12"/>
      <c r="ILG18" s="13"/>
      <c r="ILM18" s="4"/>
      <c r="ILN18" s="12"/>
      <c r="ILO18" s="13"/>
      <c r="ILU18" s="4"/>
      <c r="ILV18" s="12"/>
      <c r="ILW18" s="13"/>
      <c r="IMC18" s="4"/>
      <c r="IMD18" s="12"/>
      <c r="IME18" s="13"/>
      <c r="IMK18" s="4"/>
      <c r="IML18" s="12"/>
      <c r="IMM18" s="13"/>
      <c r="IMS18" s="4"/>
      <c r="IMT18" s="12"/>
      <c r="IMU18" s="13"/>
      <c r="INA18" s="4"/>
      <c r="INB18" s="12"/>
      <c r="INC18" s="13"/>
      <c r="INI18" s="4"/>
      <c r="INJ18" s="12"/>
      <c r="INK18" s="13"/>
      <c r="INQ18" s="4"/>
      <c r="INR18" s="12"/>
      <c r="INS18" s="13"/>
      <c r="INY18" s="4"/>
      <c r="INZ18" s="12"/>
      <c r="IOA18" s="13"/>
      <c r="IOG18" s="4"/>
      <c r="IOH18" s="12"/>
      <c r="IOI18" s="13"/>
      <c r="IOO18" s="4"/>
      <c r="IOP18" s="12"/>
      <c r="IOQ18" s="13"/>
      <c r="IOW18" s="4"/>
      <c r="IOX18" s="12"/>
      <c r="IOY18" s="13"/>
      <c r="IPE18" s="4"/>
      <c r="IPF18" s="12"/>
      <c r="IPG18" s="13"/>
      <c r="IPM18" s="4"/>
      <c r="IPN18" s="12"/>
      <c r="IPO18" s="13"/>
      <c r="IPU18" s="4"/>
      <c r="IPV18" s="12"/>
      <c r="IPW18" s="13"/>
      <c r="IQC18" s="4"/>
      <c r="IQD18" s="12"/>
      <c r="IQE18" s="13"/>
      <c r="IQK18" s="4"/>
      <c r="IQL18" s="12"/>
      <c r="IQM18" s="13"/>
      <c r="IQS18" s="4"/>
      <c r="IQT18" s="12"/>
      <c r="IQU18" s="13"/>
      <c r="IRA18" s="4"/>
      <c r="IRB18" s="12"/>
      <c r="IRC18" s="13"/>
      <c r="IRI18" s="4"/>
      <c r="IRJ18" s="12"/>
      <c r="IRK18" s="13"/>
      <c r="IRQ18" s="4"/>
      <c r="IRR18" s="12"/>
      <c r="IRS18" s="13"/>
      <c r="IRY18" s="4"/>
      <c r="IRZ18" s="12"/>
      <c r="ISA18" s="13"/>
      <c r="ISG18" s="4"/>
      <c r="ISH18" s="12"/>
      <c r="ISI18" s="13"/>
      <c r="ISO18" s="4"/>
      <c r="ISP18" s="12"/>
      <c r="ISQ18" s="13"/>
      <c r="ISW18" s="4"/>
      <c r="ISX18" s="12"/>
      <c r="ISY18" s="13"/>
      <c r="ITE18" s="4"/>
      <c r="ITF18" s="12"/>
      <c r="ITG18" s="13"/>
      <c r="ITM18" s="4"/>
      <c r="ITN18" s="12"/>
      <c r="ITO18" s="13"/>
      <c r="ITU18" s="4"/>
      <c r="ITV18" s="12"/>
      <c r="ITW18" s="13"/>
      <c r="IUC18" s="4"/>
      <c r="IUD18" s="12"/>
      <c r="IUE18" s="13"/>
      <c r="IUK18" s="4"/>
      <c r="IUL18" s="12"/>
      <c r="IUM18" s="13"/>
      <c r="IUS18" s="4"/>
      <c r="IUT18" s="12"/>
      <c r="IUU18" s="13"/>
      <c r="IVA18" s="4"/>
      <c r="IVB18" s="12"/>
      <c r="IVC18" s="13"/>
      <c r="IVI18" s="4"/>
      <c r="IVJ18" s="12"/>
      <c r="IVK18" s="13"/>
      <c r="IVQ18" s="4"/>
      <c r="IVR18" s="12"/>
      <c r="IVS18" s="13"/>
      <c r="IVY18" s="4"/>
      <c r="IVZ18" s="12"/>
      <c r="IWA18" s="13"/>
      <c r="IWG18" s="4"/>
      <c r="IWH18" s="12"/>
      <c r="IWI18" s="13"/>
      <c r="IWO18" s="4"/>
      <c r="IWP18" s="12"/>
      <c r="IWQ18" s="13"/>
      <c r="IWW18" s="4"/>
      <c r="IWX18" s="12"/>
      <c r="IWY18" s="13"/>
      <c r="IXE18" s="4"/>
      <c r="IXF18" s="12"/>
      <c r="IXG18" s="13"/>
      <c r="IXM18" s="4"/>
      <c r="IXN18" s="12"/>
      <c r="IXO18" s="13"/>
      <c r="IXU18" s="4"/>
      <c r="IXV18" s="12"/>
      <c r="IXW18" s="13"/>
      <c r="IYC18" s="4"/>
      <c r="IYD18" s="12"/>
      <c r="IYE18" s="13"/>
      <c r="IYK18" s="4"/>
      <c r="IYL18" s="12"/>
      <c r="IYM18" s="13"/>
      <c r="IYS18" s="4"/>
      <c r="IYT18" s="12"/>
      <c r="IYU18" s="13"/>
      <c r="IZA18" s="4"/>
      <c r="IZB18" s="12"/>
      <c r="IZC18" s="13"/>
      <c r="IZI18" s="4"/>
      <c r="IZJ18" s="12"/>
      <c r="IZK18" s="13"/>
      <c r="IZQ18" s="4"/>
      <c r="IZR18" s="12"/>
      <c r="IZS18" s="13"/>
      <c r="IZY18" s="4"/>
      <c r="IZZ18" s="12"/>
      <c r="JAA18" s="13"/>
      <c r="JAG18" s="4"/>
      <c r="JAH18" s="12"/>
      <c r="JAI18" s="13"/>
      <c r="JAO18" s="4"/>
      <c r="JAP18" s="12"/>
      <c r="JAQ18" s="13"/>
      <c r="JAW18" s="4"/>
      <c r="JAX18" s="12"/>
      <c r="JAY18" s="13"/>
      <c r="JBE18" s="4"/>
      <c r="JBF18" s="12"/>
      <c r="JBG18" s="13"/>
      <c r="JBM18" s="4"/>
      <c r="JBN18" s="12"/>
      <c r="JBO18" s="13"/>
      <c r="JBU18" s="4"/>
      <c r="JBV18" s="12"/>
      <c r="JBW18" s="13"/>
      <c r="JCC18" s="4"/>
      <c r="JCD18" s="12"/>
      <c r="JCE18" s="13"/>
      <c r="JCK18" s="4"/>
      <c r="JCL18" s="12"/>
      <c r="JCM18" s="13"/>
      <c r="JCS18" s="4"/>
      <c r="JCT18" s="12"/>
      <c r="JCU18" s="13"/>
      <c r="JDA18" s="4"/>
      <c r="JDB18" s="12"/>
      <c r="JDC18" s="13"/>
      <c r="JDI18" s="4"/>
      <c r="JDJ18" s="12"/>
      <c r="JDK18" s="13"/>
      <c r="JDQ18" s="4"/>
      <c r="JDR18" s="12"/>
      <c r="JDS18" s="13"/>
      <c r="JDY18" s="4"/>
      <c r="JDZ18" s="12"/>
      <c r="JEA18" s="13"/>
      <c r="JEG18" s="4"/>
      <c r="JEH18" s="12"/>
      <c r="JEI18" s="13"/>
      <c r="JEO18" s="4"/>
      <c r="JEP18" s="12"/>
      <c r="JEQ18" s="13"/>
      <c r="JEW18" s="4"/>
      <c r="JEX18" s="12"/>
      <c r="JEY18" s="13"/>
      <c r="JFE18" s="4"/>
      <c r="JFF18" s="12"/>
      <c r="JFG18" s="13"/>
      <c r="JFM18" s="4"/>
      <c r="JFN18" s="12"/>
      <c r="JFO18" s="13"/>
      <c r="JFU18" s="4"/>
      <c r="JFV18" s="12"/>
      <c r="JFW18" s="13"/>
      <c r="JGC18" s="4"/>
      <c r="JGD18" s="12"/>
      <c r="JGE18" s="13"/>
      <c r="JGK18" s="4"/>
      <c r="JGL18" s="12"/>
      <c r="JGM18" s="13"/>
      <c r="JGS18" s="4"/>
      <c r="JGT18" s="12"/>
      <c r="JGU18" s="13"/>
      <c r="JHA18" s="4"/>
      <c r="JHB18" s="12"/>
      <c r="JHC18" s="13"/>
      <c r="JHI18" s="4"/>
      <c r="JHJ18" s="12"/>
      <c r="JHK18" s="13"/>
      <c r="JHQ18" s="4"/>
      <c r="JHR18" s="12"/>
      <c r="JHS18" s="13"/>
      <c r="JHY18" s="4"/>
      <c r="JHZ18" s="12"/>
      <c r="JIA18" s="13"/>
      <c r="JIG18" s="4"/>
      <c r="JIH18" s="12"/>
      <c r="JII18" s="13"/>
      <c r="JIO18" s="4"/>
      <c r="JIP18" s="12"/>
      <c r="JIQ18" s="13"/>
      <c r="JIW18" s="4"/>
      <c r="JIX18" s="12"/>
      <c r="JIY18" s="13"/>
      <c r="JJE18" s="4"/>
      <c r="JJF18" s="12"/>
      <c r="JJG18" s="13"/>
      <c r="JJM18" s="4"/>
      <c r="JJN18" s="12"/>
      <c r="JJO18" s="13"/>
      <c r="JJU18" s="4"/>
      <c r="JJV18" s="12"/>
      <c r="JJW18" s="13"/>
      <c r="JKC18" s="4"/>
      <c r="JKD18" s="12"/>
      <c r="JKE18" s="13"/>
      <c r="JKK18" s="4"/>
      <c r="JKL18" s="12"/>
      <c r="JKM18" s="13"/>
      <c r="JKS18" s="4"/>
      <c r="JKT18" s="12"/>
      <c r="JKU18" s="13"/>
      <c r="JLA18" s="4"/>
      <c r="JLB18" s="12"/>
      <c r="JLC18" s="13"/>
      <c r="JLI18" s="4"/>
      <c r="JLJ18" s="12"/>
      <c r="JLK18" s="13"/>
      <c r="JLQ18" s="4"/>
      <c r="JLR18" s="12"/>
      <c r="JLS18" s="13"/>
      <c r="JLY18" s="4"/>
      <c r="JLZ18" s="12"/>
      <c r="JMA18" s="13"/>
      <c r="JMG18" s="4"/>
      <c r="JMH18" s="12"/>
      <c r="JMI18" s="13"/>
      <c r="JMO18" s="4"/>
      <c r="JMP18" s="12"/>
      <c r="JMQ18" s="13"/>
      <c r="JMW18" s="4"/>
      <c r="JMX18" s="12"/>
      <c r="JMY18" s="13"/>
      <c r="JNE18" s="4"/>
      <c r="JNF18" s="12"/>
      <c r="JNG18" s="13"/>
      <c r="JNM18" s="4"/>
      <c r="JNN18" s="12"/>
      <c r="JNO18" s="13"/>
      <c r="JNU18" s="4"/>
      <c r="JNV18" s="12"/>
      <c r="JNW18" s="13"/>
      <c r="JOC18" s="4"/>
      <c r="JOD18" s="12"/>
      <c r="JOE18" s="13"/>
      <c r="JOK18" s="4"/>
      <c r="JOL18" s="12"/>
      <c r="JOM18" s="13"/>
      <c r="JOS18" s="4"/>
      <c r="JOT18" s="12"/>
      <c r="JOU18" s="13"/>
      <c r="JPA18" s="4"/>
      <c r="JPB18" s="12"/>
      <c r="JPC18" s="13"/>
      <c r="JPI18" s="4"/>
      <c r="JPJ18" s="12"/>
      <c r="JPK18" s="13"/>
      <c r="JPQ18" s="4"/>
      <c r="JPR18" s="12"/>
      <c r="JPS18" s="13"/>
      <c r="JPY18" s="4"/>
      <c r="JPZ18" s="12"/>
      <c r="JQA18" s="13"/>
      <c r="JQG18" s="4"/>
      <c r="JQH18" s="12"/>
      <c r="JQI18" s="13"/>
      <c r="JQO18" s="4"/>
      <c r="JQP18" s="12"/>
      <c r="JQQ18" s="13"/>
      <c r="JQW18" s="4"/>
      <c r="JQX18" s="12"/>
      <c r="JQY18" s="13"/>
      <c r="JRE18" s="4"/>
      <c r="JRF18" s="12"/>
      <c r="JRG18" s="13"/>
      <c r="JRM18" s="4"/>
      <c r="JRN18" s="12"/>
      <c r="JRO18" s="13"/>
      <c r="JRU18" s="4"/>
      <c r="JRV18" s="12"/>
      <c r="JRW18" s="13"/>
      <c r="JSC18" s="4"/>
      <c r="JSD18" s="12"/>
      <c r="JSE18" s="13"/>
      <c r="JSK18" s="4"/>
      <c r="JSL18" s="12"/>
      <c r="JSM18" s="13"/>
      <c r="JSS18" s="4"/>
      <c r="JST18" s="12"/>
      <c r="JSU18" s="13"/>
      <c r="JTA18" s="4"/>
      <c r="JTB18" s="12"/>
      <c r="JTC18" s="13"/>
      <c r="JTI18" s="4"/>
      <c r="JTJ18" s="12"/>
      <c r="JTK18" s="13"/>
      <c r="JTQ18" s="4"/>
      <c r="JTR18" s="12"/>
      <c r="JTS18" s="13"/>
      <c r="JTY18" s="4"/>
      <c r="JTZ18" s="12"/>
      <c r="JUA18" s="13"/>
      <c r="JUG18" s="4"/>
      <c r="JUH18" s="12"/>
      <c r="JUI18" s="13"/>
      <c r="JUO18" s="4"/>
      <c r="JUP18" s="12"/>
      <c r="JUQ18" s="13"/>
      <c r="JUW18" s="4"/>
      <c r="JUX18" s="12"/>
      <c r="JUY18" s="13"/>
      <c r="JVE18" s="4"/>
      <c r="JVF18" s="12"/>
      <c r="JVG18" s="13"/>
      <c r="JVM18" s="4"/>
      <c r="JVN18" s="12"/>
      <c r="JVO18" s="13"/>
      <c r="JVU18" s="4"/>
      <c r="JVV18" s="12"/>
      <c r="JVW18" s="13"/>
      <c r="JWC18" s="4"/>
      <c r="JWD18" s="12"/>
      <c r="JWE18" s="13"/>
      <c r="JWK18" s="4"/>
      <c r="JWL18" s="12"/>
      <c r="JWM18" s="13"/>
      <c r="JWS18" s="4"/>
      <c r="JWT18" s="12"/>
      <c r="JWU18" s="13"/>
      <c r="JXA18" s="4"/>
      <c r="JXB18" s="12"/>
      <c r="JXC18" s="13"/>
      <c r="JXI18" s="4"/>
      <c r="JXJ18" s="12"/>
      <c r="JXK18" s="13"/>
      <c r="JXQ18" s="4"/>
      <c r="JXR18" s="12"/>
      <c r="JXS18" s="13"/>
      <c r="JXY18" s="4"/>
      <c r="JXZ18" s="12"/>
      <c r="JYA18" s="13"/>
      <c r="JYG18" s="4"/>
      <c r="JYH18" s="12"/>
      <c r="JYI18" s="13"/>
      <c r="JYO18" s="4"/>
      <c r="JYP18" s="12"/>
      <c r="JYQ18" s="13"/>
      <c r="JYW18" s="4"/>
      <c r="JYX18" s="12"/>
      <c r="JYY18" s="13"/>
      <c r="JZE18" s="4"/>
      <c r="JZF18" s="12"/>
      <c r="JZG18" s="13"/>
      <c r="JZM18" s="4"/>
      <c r="JZN18" s="12"/>
      <c r="JZO18" s="13"/>
      <c r="JZU18" s="4"/>
      <c r="JZV18" s="12"/>
      <c r="JZW18" s="13"/>
      <c r="KAC18" s="4"/>
      <c r="KAD18" s="12"/>
      <c r="KAE18" s="13"/>
      <c r="KAK18" s="4"/>
      <c r="KAL18" s="12"/>
      <c r="KAM18" s="13"/>
      <c r="KAS18" s="4"/>
      <c r="KAT18" s="12"/>
      <c r="KAU18" s="13"/>
      <c r="KBA18" s="4"/>
      <c r="KBB18" s="12"/>
      <c r="KBC18" s="13"/>
      <c r="KBI18" s="4"/>
      <c r="KBJ18" s="12"/>
      <c r="KBK18" s="13"/>
      <c r="KBQ18" s="4"/>
      <c r="KBR18" s="12"/>
      <c r="KBS18" s="13"/>
      <c r="KBY18" s="4"/>
      <c r="KBZ18" s="12"/>
      <c r="KCA18" s="13"/>
      <c r="KCG18" s="4"/>
      <c r="KCH18" s="12"/>
      <c r="KCI18" s="13"/>
      <c r="KCO18" s="4"/>
      <c r="KCP18" s="12"/>
      <c r="KCQ18" s="13"/>
      <c r="KCW18" s="4"/>
      <c r="KCX18" s="12"/>
      <c r="KCY18" s="13"/>
      <c r="KDE18" s="4"/>
      <c r="KDF18" s="12"/>
      <c r="KDG18" s="13"/>
      <c r="KDM18" s="4"/>
      <c r="KDN18" s="12"/>
      <c r="KDO18" s="13"/>
      <c r="KDU18" s="4"/>
      <c r="KDV18" s="12"/>
      <c r="KDW18" s="13"/>
      <c r="KEC18" s="4"/>
      <c r="KED18" s="12"/>
      <c r="KEE18" s="13"/>
      <c r="KEK18" s="4"/>
      <c r="KEL18" s="12"/>
      <c r="KEM18" s="13"/>
      <c r="KES18" s="4"/>
      <c r="KET18" s="12"/>
      <c r="KEU18" s="13"/>
      <c r="KFA18" s="4"/>
      <c r="KFB18" s="12"/>
      <c r="KFC18" s="13"/>
      <c r="KFI18" s="4"/>
      <c r="KFJ18" s="12"/>
      <c r="KFK18" s="13"/>
      <c r="KFQ18" s="4"/>
      <c r="KFR18" s="12"/>
      <c r="KFS18" s="13"/>
      <c r="KFY18" s="4"/>
      <c r="KFZ18" s="12"/>
      <c r="KGA18" s="13"/>
      <c r="KGG18" s="4"/>
      <c r="KGH18" s="12"/>
      <c r="KGI18" s="13"/>
      <c r="KGO18" s="4"/>
      <c r="KGP18" s="12"/>
      <c r="KGQ18" s="13"/>
      <c r="KGW18" s="4"/>
      <c r="KGX18" s="12"/>
      <c r="KGY18" s="13"/>
      <c r="KHE18" s="4"/>
      <c r="KHF18" s="12"/>
      <c r="KHG18" s="13"/>
      <c r="KHM18" s="4"/>
      <c r="KHN18" s="12"/>
      <c r="KHO18" s="13"/>
      <c r="KHU18" s="4"/>
      <c r="KHV18" s="12"/>
      <c r="KHW18" s="13"/>
      <c r="KIC18" s="4"/>
      <c r="KID18" s="12"/>
      <c r="KIE18" s="13"/>
      <c r="KIK18" s="4"/>
      <c r="KIL18" s="12"/>
      <c r="KIM18" s="13"/>
      <c r="KIS18" s="4"/>
      <c r="KIT18" s="12"/>
      <c r="KIU18" s="13"/>
      <c r="KJA18" s="4"/>
      <c r="KJB18" s="12"/>
      <c r="KJC18" s="13"/>
      <c r="KJI18" s="4"/>
      <c r="KJJ18" s="12"/>
      <c r="KJK18" s="13"/>
      <c r="KJQ18" s="4"/>
      <c r="KJR18" s="12"/>
      <c r="KJS18" s="13"/>
      <c r="KJY18" s="4"/>
      <c r="KJZ18" s="12"/>
      <c r="KKA18" s="13"/>
      <c r="KKG18" s="4"/>
      <c r="KKH18" s="12"/>
      <c r="KKI18" s="13"/>
      <c r="KKO18" s="4"/>
      <c r="KKP18" s="12"/>
      <c r="KKQ18" s="13"/>
      <c r="KKW18" s="4"/>
      <c r="KKX18" s="12"/>
      <c r="KKY18" s="13"/>
      <c r="KLE18" s="4"/>
      <c r="KLF18" s="12"/>
      <c r="KLG18" s="13"/>
      <c r="KLM18" s="4"/>
      <c r="KLN18" s="12"/>
      <c r="KLO18" s="13"/>
      <c r="KLU18" s="4"/>
      <c r="KLV18" s="12"/>
      <c r="KLW18" s="13"/>
      <c r="KMC18" s="4"/>
      <c r="KMD18" s="12"/>
      <c r="KME18" s="13"/>
      <c r="KMK18" s="4"/>
      <c r="KML18" s="12"/>
      <c r="KMM18" s="13"/>
      <c r="KMS18" s="4"/>
      <c r="KMT18" s="12"/>
      <c r="KMU18" s="13"/>
      <c r="KNA18" s="4"/>
      <c r="KNB18" s="12"/>
      <c r="KNC18" s="13"/>
      <c r="KNI18" s="4"/>
      <c r="KNJ18" s="12"/>
      <c r="KNK18" s="13"/>
      <c r="KNQ18" s="4"/>
      <c r="KNR18" s="12"/>
      <c r="KNS18" s="13"/>
      <c r="KNY18" s="4"/>
      <c r="KNZ18" s="12"/>
      <c r="KOA18" s="13"/>
      <c r="KOG18" s="4"/>
      <c r="KOH18" s="12"/>
      <c r="KOI18" s="13"/>
      <c r="KOO18" s="4"/>
      <c r="KOP18" s="12"/>
      <c r="KOQ18" s="13"/>
      <c r="KOW18" s="4"/>
      <c r="KOX18" s="12"/>
      <c r="KOY18" s="13"/>
      <c r="KPE18" s="4"/>
      <c r="KPF18" s="12"/>
      <c r="KPG18" s="13"/>
      <c r="KPM18" s="4"/>
      <c r="KPN18" s="12"/>
      <c r="KPO18" s="13"/>
      <c r="KPU18" s="4"/>
      <c r="KPV18" s="12"/>
      <c r="KPW18" s="13"/>
      <c r="KQC18" s="4"/>
      <c r="KQD18" s="12"/>
      <c r="KQE18" s="13"/>
      <c r="KQK18" s="4"/>
      <c r="KQL18" s="12"/>
      <c r="KQM18" s="13"/>
      <c r="KQS18" s="4"/>
      <c r="KQT18" s="12"/>
      <c r="KQU18" s="13"/>
      <c r="KRA18" s="4"/>
      <c r="KRB18" s="12"/>
      <c r="KRC18" s="13"/>
      <c r="KRI18" s="4"/>
      <c r="KRJ18" s="12"/>
      <c r="KRK18" s="13"/>
      <c r="KRQ18" s="4"/>
      <c r="KRR18" s="12"/>
      <c r="KRS18" s="13"/>
      <c r="KRY18" s="4"/>
      <c r="KRZ18" s="12"/>
      <c r="KSA18" s="13"/>
      <c r="KSG18" s="4"/>
      <c r="KSH18" s="12"/>
      <c r="KSI18" s="13"/>
      <c r="KSO18" s="4"/>
      <c r="KSP18" s="12"/>
      <c r="KSQ18" s="13"/>
      <c r="KSW18" s="4"/>
      <c r="KSX18" s="12"/>
      <c r="KSY18" s="13"/>
      <c r="KTE18" s="4"/>
      <c r="KTF18" s="12"/>
      <c r="KTG18" s="13"/>
      <c r="KTM18" s="4"/>
      <c r="KTN18" s="12"/>
      <c r="KTO18" s="13"/>
      <c r="KTU18" s="4"/>
      <c r="KTV18" s="12"/>
      <c r="KTW18" s="13"/>
      <c r="KUC18" s="4"/>
      <c r="KUD18" s="12"/>
      <c r="KUE18" s="13"/>
      <c r="KUK18" s="4"/>
      <c r="KUL18" s="12"/>
      <c r="KUM18" s="13"/>
      <c r="KUS18" s="4"/>
      <c r="KUT18" s="12"/>
      <c r="KUU18" s="13"/>
      <c r="KVA18" s="4"/>
      <c r="KVB18" s="12"/>
      <c r="KVC18" s="13"/>
      <c r="KVI18" s="4"/>
      <c r="KVJ18" s="12"/>
      <c r="KVK18" s="13"/>
      <c r="KVQ18" s="4"/>
      <c r="KVR18" s="12"/>
      <c r="KVS18" s="13"/>
      <c r="KVY18" s="4"/>
      <c r="KVZ18" s="12"/>
      <c r="KWA18" s="13"/>
      <c r="KWG18" s="4"/>
      <c r="KWH18" s="12"/>
      <c r="KWI18" s="13"/>
      <c r="KWO18" s="4"/>
      <c r="KWP18" s="12"/>
      <c r="KWQ18" s="13"/>
      <c r="KWW18" s="4"/>
      <c r="KWX18" s="12"/>
      <c r="KWY18" s="13"/>
      <c r="KXE18" s="4"/>
      <c r="KXF18" s="12"/>
      <c r="KXG18" s="13"/>
      <c r="KXM18" s="4"/>
      <c r="KXN18" s="12"/>
      <c r="KXO18" s="13"/>
      <c r="KXU18" s="4"/>
      <c r="KXV18" s="12"/>
      <c r="KXW18" s="13"/>
      <c r="KYC18" s="4"/>
      <c r="KYD18" s="12"/>
      <c r="KYE18" s="13"/>
      <c r="KYK18" s="4"/>
      <c r="KYL18" s="12"/>
      <c r="KYM18" s="13"/>
      <c r="KYS18" s="4"/>
      <c r="KYT18" s="12"/>
      <c r="KYU18" s="13"/>
      <c r="KZA18" s="4"/>
      <c r="KZB18" s="12"/>
      <c r="KZC18" s="13"/>
      <c r="KZI18" s="4"/>
      <c r="KZJ18" s="12"/>
      <c r="KZK18" s="13"/>
      <c r="KZQ18" s="4"/>
      <c r="KZR18" s="12"/>
      <c r="KZS18" s="13"/>
      <c r="KZY18" s="4"/>
      <c r="KZZ18" s="12"/>
      <c r="LAA18" s="13"/>
      <c r="LAG18" s="4"/>
      <c r="LAH18" s="12"/>
      <c r="LAI18" s="13"/>
      <c r="LAO18" s="4"/>
      <c r="LAP18" s="12"/>
      <c r="LAQ18" s="13"/>
      <c r="LAW18" s="4"/>
      <c r="LAX18" s="12"/>
      <c r="LAY18" s="13"/>
      <c r="LBE18" s="4"/>
      <c r="LBF18" s="12"/>
      <c r="LBG18" s="13"/>
      <c r="LBM18" s="4"/>
      <c r="LBN18" s="12"/>
      <c r="LBO18" s="13"/>
      <c r="LBU18" s="4"/>
      <c r="LBV18" s="12"/>
      <c r="LBW18" s="13"/>
      <c r="LCC18" s="4"/>
      <c r="LCD18" s="12"/>
      <c r="LCE18" s="13"/>
      <c r="LCK18" s="4"/>
      <c r="LCL18" s="12"/>
      <c r="LCM18" s="13"/>
      <c r="LCS18" s="4"/>
      <c r="LCT18" s="12"/>
      <c r="LCU18" s="13"/>
      <c r="LDA18" s="4"/>
      <c r="LDB18" s="12"/>
      <c r="LDC18" s="13"/>
      <c r="LDI18" s="4"/>
      <c r="LDJ18" s="12"/>
      <c r="LDK18" s="13"/>
      <c r="LDQ18" s="4"/>
      <c r="LDR18" s="12"/>
      <c r="LDS18" s="13"/>
      <c r="LDY18" s="4"/>
      <c r="LDZ18" s="12"/>
      <c r="LEA18" s="13"/>
      <c r="LEG18" s="4"/>
      <c r="LEH18" s="12"/>
      <c r="LEI18" s="13"/>
      <c r="LEO18" s="4"/>
      <c r="LEP18" s="12"/>
      <c r="LEQ18" s="13"/>
      <c r="LEW18" s="4"/>
      <c r="LEX18" s="12"/>
      <c r="LEY18" s="13"/>
      <c r="LFE18" s="4"/>
      <c r="LFF18" s="12"/>
      <c r="LFG18" s="13"/>
      <c r="LFM18" s="4"/>
      <c r="LFN18" s="12"/>
      <c r="LFO18" s="13"/>
      <c r="LFU18" s="4"/>
      <c r="LFV18" s="12"/>
      <c r="LFW18" s="13"/>
      <c r="LGC18" s="4"/>
      <c r="LGD18" s="12"/>
      <c r="LGE18" s="13"/>
      <c r="LGK18" s="4"/>
      <c r="LGL18" s="12"/>
      <c r="LGM18" s="13"/>
      <c r="LGS18" s="4"/>
      <c r="LGT18" s="12"/>
      <c r="LGU18" s="13"/>
      <c r="LHA18" s="4"/>
      <c r="LHB18" s="12"/>
      <c r="LHC18" s="13"/>
      <c r="LHI18" s="4"/>
      <c r="LHJ18" s="12"/>
      <c r="LHK18" s="13"/>
      <c r="LHQ18" s="4"/>
      <c r="LHR18" s="12"/>
      <c r="LHS18" s="13"/>
      <c r="LHY18" s="4"/>
      <c r="LHZ18" s="12"/>
      <c r="LIA18" s="13"/>
      <c r="LIG18" s="4"/>
      <c r="LIH18" s="12"/>
      <c r="LII18" s="13"/>
      <c r="LIO18" s="4"/>
      <c r="LIP18" s="12"/>
      <c r="LIQ18" s="13"/>
      <c r="LIW18" s="4"/>
      <c r="LIX18" s="12"/>
      <c r="LIY18" s="13"/>
      <c r="LJE18" s="4"/>
      <c r="LJF18" s="12"/>
      <c r="LJG18" s="13"/>
      <c r="LJM18" s="4"/>
      <c r="LJN18" s="12"/>
      <c r="LJO18" s="13"/>
      <c r="LJU18" s="4"/>
      <c r="LJV18" s="12"/>
      <c r="LJW18" s="13"/>
      <c r="LKC18" s="4"/>
      <c r="LKD18" s="12"/>
      <c r="LKE18" s="13"/>
      <c r="LKK18" s="4"/>
      <c r="LKL18" s="12"/>
      <c r="LKM18" s="13"/>
      <c r="LKS18" s="4"/>
      <c r="LKT18" s="12"/>
      <c r="LKU18" s="13"/>
      <c r="LLA18" s="4"/>
      <c r="LLB18" s="12"/>
      <c r="LLC18" s="13"/>
      <c r="LLI18" s="4"/>
      <c r="LLJ18" s="12"/>
      <c r="LLK18" s="13"/>
      <c r="LLQ18" s="4"/>
      <c r="LLR18" s="12"/>
      <c r="LLS18" s="13"/>
      <c r="LLY18" s="4"/>
      <c r="LLZ18" s="12"/>
      <c r="LMA18" s="13"/>
      <c r="LMG18" s="4"/>
      <c r="LMH18" s="12"/>
      <c r="LMI18" s="13"/>
      <c r="LMO18" s="4"/>
      <c r="LMP18" s="12"/>
      <c r="LMQ18" s="13"/>
      <c r="LMW18" s="4"/>
      <c r="LMX18" s="12"/>
      <c r="LMY18" s="13"/>
      <c r="LNE18" s="4"/>
      <c r="LNF18" s="12"/>
      <c r="LNG18" s="13"/>
      <c r="LNM18" s="4"/>
      <c r="LNN18" s="12"/>
      <c r="LNO18" s="13"/>
      <c r="LNU18" s="4"/>
      <c r="LNV18" s="12"/>
      <c r="LNW18" s="13"/>
      <c r="LOC18" s="4"/>
      <c r="LOD18" s="12"/>
      <c r="LOE18" s="13"/>
      <c r="LOK18" s="4"/>
      <c r="LOL18" s="12"/>
      <c r="LOM18" s="13"/>
      <c r="LOS18" s="4"/>
      <c r="LOT18" s="12"/>
      <c r="LOU18" s="13"/>
      <c r="LPA18" s="4"/>
      <c r="LPB18" s="12"/>
      <c r="LPC18" s="13"/>
      <c r="LPI18" s="4"/>
      <c r="LPJ18" s="12"/>
      <c r="LPK18" s="13"/>
      <c r="LPQ18" s="4"/>
      <c r="LPR18" s="12"/>
      <c r="LPS18" s="13"/>
      <c r="LPY18" s="4"/>
      <c r="LPZ18" s="12"/>
      <c r="LQA18" s="13"/>
      <c r="LQG18" s="4"/>
      <c r="LQH18" s="12"/>
      <c r="LQI18" s="13"/>
      <c r="LQO18" s="4"/>
      <c r="LQP18" s="12"/>
      <c r="LQQ18" s="13"/>
      <c r="LQW18" s="4"/>
      <c r="LQX18" s="12"/>
      <c r="LQY18" s="13"/>
      <c r="LRE18" s="4"/>
      <c r="LRF18" s="12"/>
      <c r="LRG18" s="13"/>
      <c r="LRM18" s="4"/>
      <c r="LRN18" s="12"/>
      <c r="LRO18" s="13"/>
      <c r="LRU18" s="4"/>
      <c r="LRV18" s="12"/>
      <c r="LRW18" s="13"/>
      <c r="LSC18" s="4"/>
      <c r="LSD18" s="12"/>
      <c r="LSE18" s="13"/>
      <c r="LSK18" s="4"/>
      <c r="LSL18" s="12"/>
      <c r="LSM18" s="13"/>
      <c r="LSS18" s="4"/>
      <c r="LST18" s="12"/>
      <c r="LSU18" s="13"/>
      <c r="LTA18" s="4"/>
      <c r="LTB18" s="12"/>
      <c r="LTC18" s="13"/>
      <c r="LTI18" s="4"/>
      <c r="LTJ18" s="12"/>
      <c r="LTK18" s="13"/>
      <c r="LTQ18" s="4"/>
      <c r="LTR18" s="12"/>
      <c r="LTS18" s="13"/>
      <c r="LTY18" s="4"/>
      <c r="LTZ18" s="12"/>
      <c r="LUA18" s="13"/>
      <c r="LUG18" s="4"/>
      <c r="LUH18" s="12"/>
      <c r="LUI18" s="13"/>
      <c r="LUO18" s="4"/>
      <c r="LUP18" s="12"/>
      <c r="LUQ18" s="13"/>
      <c r="LUW18" s="4"/>
      <c r="LUX18" s="12"/>
      <c r="LUY18" s="13"/>
      <c r="LVE18" s="4"/>
      <c r="LVF18" s="12"/>
      <c r="LVG18" s="13"/>
      <c r="LVM18" s="4"/>
      <c r="LVN18" s="12"/>
      <c r="LVO18" s="13"/>
      <c r="LVU18" s="4"/>
      <c r="LVV18" s="12"/>
      <c r="LVW18" s="13"/>
      <c r="LWC18" s="4"/>
      <c r="LWD18" s="12"/>
      <c r="LWE18" s="13"/>
      <c r="LWK18" s="4"/>
      <c r="LWL18" s="12"/>
      <c r="LWM18" s="13"/>
      <c r="LWS18" s="4"/>
      <c r="LWT18" s="12"/>
      <c r="LWU18" s="13"/>
      <c r="LXA18" s="4"/>
      <c r="LXB18" s="12"/>
      <c r="LXC18" s="13"/>
      <c r="LXI18" s="4"/>
      <c r="LXJ18" s="12"/>
      <c r="LXK18" s="13"/>
      <c r="LXQ18" s="4"/>
      <c r="LXR18" s="12"/>
      <c r="LXS18" s="13"/>
      <c r="LXY18" s="4"/>
      <c r="LXZ18" s="12"/>
      <c r="LYA18" s="13"/>
      <c r="LYG18" s="4"/>
      <c r="LYH18" s="12"/>
      <c r="LYI18" s="13"/>
      <c r="LYO18" s="4"/>
      <c r="LYP18" s="12"/>
      <c r="LYQ18" s="13"/>
      <c r="LYW18" s="4"/>
      <c r="LYX18" s="12"/>
      <c r="LYY18" s="13"/>
      <c r="LZE18" s="4"/>
      <c r="LZF18" s="12"/>
      <c r="LZG18" s="13"/>
      <c r="LZM18" s="4"/>
      <c r="LZN18" s="12"/>
      <c r="LZO18" s="13"/>
      <c r="LZU18" s="4"/>
      <c r="LZV18" s="12"/>
      <c r="LZW18" s="13"/>
      <c r="MAC18" s="4"/>
      <c r="MAD18" s="12"/>
      <c r="MAE18" s="13"/>
      <c r="MAK18" s="4"/>
      <c r="MAL18" s="12"/>
      <c r="MAM18" s="13"/>
      <c r="MAS18" s="4"/>
      <c r="MAT18" s="12"/>
      <c r="MAU18" s="13"/>
      <c r="MBA18" s="4"/>
      <c r="MBB18" s="12"/>
      <c r="MBC18" s="13"/>
      <c r="MBI18" s="4"/>
      <c r="MBJ18" s="12"/>
      <c r="MBK18" s="13"/>
      <c r="MBQ18" s="4"/>
      <c r="MBR18" s="12"/>
      <c r="MBS18" s="13"/>
      <c r="MBY18" s="4"/>
      <c r="MBZ18" s="12"/>
      <c r="MCA18" s="13"/>
      <c r="MCG18" s="4"/>
      <c r="MCH18" s="12"/>
      <c r="MCI18" s="13"/>
      <c r="MCO18" s="4"/>
      <c r="MCP18" s="12"/>
      <c r="MCQ18" s="13"/>
      <c r="MCW18" s="4"/>
      <c r="MCX18" s="12"/>
      <c r="MCY18" s="13"/>
      <c r="MDE18" s="4"/>
      <c r="MDF18" s="12"/>
      <c r="MDG18" s="13"/>
      <c r="MDM18" s="4"/>
      <c r="MDN18" s="12"/>
      <c r="MDO18" s="13"/>
      <c r="MDU18" s="4"/>
      <c r="MDV18" s="12"/>
      <c r="MDW18" s="13"/>
      <c r="MEC18" s="4"/>
      <c r="MED18" s="12"/>
      <c r="MEE18" s="13"/>
      <c r="MEK18" s="4"/>
      <c r="MEL18" s="12"/>
      <c r="MEM18" s="13"/>
      <c r="MES18" s="4"/>
      <c r="MET18" s="12"/>
      <c r="MEU18" s="13"/>
      <c r="MFA18" s="4"/>
      <c r="MFB18" s="12"/>
      <c r="MFC18" s="13"/>
      <c r="MFI18" s="4"/>
      <c r="MFJ18" s="12"/>
      <c r="MFK18" s="13"/>
      <c r="MFQ18" s="4"/>
      <c r="MFR18" s="12"/>
      <c r="MFS18" s="13"/>
      <c r="MFY18" s="4"/>
      <c r="MFZ18" s="12"/>
      <c r="MGA18" s="13"/>
      <c r="MGG18" s="4"/>
      <c r="MGH18" s="12"/>
      <c r="MGI18" s="13"/>
      <c r="MGO18" s="4"/>
      <c r="MGP18" s="12"/>
      <c r="MGQ18" s="13"/>
      <c r="MGW18" s="4"/>
      <c r="MGX18" s="12"/>
      <c r="MGY18" s="13"/>
      <c r="MHE18" s="4"/>
      <c r="MHF18" s="12"/>
      <c r="MHG18" s="13"/>
      <c r="MHM18" s="4"/>
      <c r="MHN18" s="12"/>
      <c r="MHO18" s="13"/>
      <c r="MHU18" s="4"/>
      <c r="MHV18" s="12"/>
      <c r="MHW18" s="13"/>
      <c r="MIC18" s="4"/>
      <c r="MID18" s="12"/>
      <c r="MIE18" s="13"/>
      <c r="MIK18" s="4"/>
      <c r="MIL18" s="12"/>
      <c r="MIM18" s="13"/>
      <c r="MIS18" s="4"/>
      <c r="MIT18" s="12"/>
      <c r="MIU18" s="13"/>
      <c r="MJA18" s="4"/>
      <c r="MJB18" s="12"/>
      <c r="MJC18" s="13"/>
      <c r="MJI18" s="4"/>
      <c r="MJJ18" s="12"/>
      <c r="MJK18" s="13"/>
      <c r="MJQ18" s="4"/>
      <c r="MJR18" s="12"/>
      <c r="MJS18" s="13"/>
      <c r="MJY18" s="4"/>
      <c r="MJZ18" s="12"/>
      <c r="MKA18" s="13"/>
      <c r="MKG18" s="4"/>
      <c r="MKH18" s="12"/>
      <c r="MKI18" s="13"/>
      <c r="MKO18" s="4"/>
      <c r="MKP18" s="12"/>
      <c r="MKQ18" s="13"/>
      <c r="MKW18" s="4"/>
      <c r="MKX18" s="12"/>
      <c r="MKY18" s="13"/>
      <c r="MLE18" s="4"/>
      <c r="MLF18" s="12"/>
      <c r="MLG18" s="13"/>
      <c r="MLM18" s="4"/>
      <c r="MLN18" s="12"/>
      <c r="MLO18" s="13"/>
      <c r="MLU18" s="4"/>
      <c r="MLV18" s="12"/>
      <c r="MLW18" s="13"/>
      <c r="MMC18" s="4"/>
      <c r="MMD18" s="12"/>
      <c r="MME18" s="13"/>
      <c r="MMK18" s="4"/>
      <c r="MML18" s="12"/>
      <c r="MMM18" s="13"/>
      <c r="MMS18" s="4"/>
      <c r="MMT18" s="12"/>
      <c r="MMU18" s="13"/>
      <c r="MNA18" s="4"/>
      <c r="MNB18" s="12"/>
      <c r="MNC18" s="13"/>
      <c r="MNI18" s="4"/>
      <c r="MNJ18" s="12"/>
      <c r="MNK18" s="13"/>
      <c r="MNQ18" s="4"/>
      <c r="MNR18" s="12"/>
      <c r="MNS18" s="13"/>
      <c r="MNY18" s="4"/>
      <c r="MNZ18" s="12"/>
      <c r="MOA18" s="13"/>
      <c r="MOG18" s="4"/>
      <c r="MOH18" s="12"/>
      <c r="MOI18" s="13"/>
      <c r="MOO18" s="4"/>
      <c r="MOP18" s="12"/>
      <c r="MOQ18" s="13"/>
      <c r="MOW18" s="4"/>
      <c r="MOX18" s="12"/>
      <c r="MOY18" s="13"/>
      <c r="MPE18" s="4"/>
      <c r="MPF18" s="12"/>
      <c r="MPG18" s="13"/>
      <c r="MPM18" s="4"/>
      <c r="MPN18" s="12"/>
      <c r="MPO18" s="13"/>
      <c r="MPU18" s="4"/>
      <c r="MPV18" s="12"/>
      <c r="MPW18" s="13"/>
      <c r="MQC18" s="4"/>
      <c r="MQD18" s="12"/>
      <c r="MQE18" s="13"/>
      <c r="MQK18" s="4"/>
      <c r="MQL18" s="12"/>
      <c r="MQM18" s="13"/>
      <c r="MQS18" s="4"/>
      <c r="MQT18" s="12"/>
      <c r="MQU18" s="13"/>
      <c r="MRA18" s="4"/>
      <c r="MRB18" s="12"/>
      <c r="MRC18" s="13"/>
      <c r="MRI18" s="4"/>
      <c r="MRJ18" s="12"/>
      <c r="MRK18" s="13"/>
      <c r="MRQ18" s="4"/>
      <c r="MRR18" s="12"/>
      <c r="MRS18" s="13"/>
      <c r="MRY18" s="4"/>
      <c r="MRZ18" s="12"/>
      <c r="MSA18" s="13"/>
      <c r="MSG18" s="4"/>
      <c r="MSH18" s="12"/>
      <c r="MSI18" s="13"/>
      <c r="MSO18" s="4"/>
      <c r="MSP18" s="12"/>
      <c r="MSQ18" s="13"/>
      <c r="MSW18" s="4"/>
      <c r="MSX18" s="12"/>
      <c r="MSY18" s="13"/>
      <c r="MTE18" s="4"/>
      <c r="MTF18" s="12"/>
      <c r="MTG18" s="13"/>
      <c r="MTM18" s="4"/>
      <c r="MTN18" s="12"/>
      <c r="MTO18" s="13"/>
      <c r="MTU18" s="4"/>
      <c r="MTV18" s="12"/>
      <c r="MTW18" s="13"/>
      <c r="MUC18" s="4"/>
      <c r="MUD18" s="12"/>
      <c r="MUE18" s="13"/>
      <c r="MUK18" s="4"/>
      <c r="MUL18" s="12"/>
      <c r="MUM18" s="13"/>
      <c r="MUS18" s="4"/>
      <c r="MUT18" s="12"/>
      <c r="MUU18" s="13"/>
      <c r="MVA18" s="4"/>
      <c r="MVB18" s="12"/>
      <c r="MVC18" s="13"/>
      <c r="MVI18" s="4"/>
      <c r="MVJ18" s="12"/>
      <c r="MVK18" s="13"/>
      <c r="MVQ18" s="4"/>
      <c r="MVR18" s="12"/>
      <c r="MVS18" s="13"/>
      <c r="MVY18" s="4"/>
      <c r="MVZ18" s="12"/>
      <c r="MWA18" s="13"/>
      <c r="MWG18" s="4"/>
      <c r="MWH18" s="12"/>
      <c r="MWI18" s="13"/>
      <c r="MWO18" s="4"/>
      <c r="MWP18" s="12"/>
      <c r="MWQ18" s="13"/>
      <c r="MWW18" s="4"/>
      <c r="MWX18" s="12"/>
      <c r="MWY18" s="13"/>
      <c r="MXE18" s="4"/>
      <c r="MXF18" s="12"/>
      <c r="MXG18" s="13"/>
      <c r="MXM18" s="4"/>
      <c r="MXN18" s="12"/>
      <c r="MXO18" s="13"/>
      <c r="MXU18" s="4"/>
      <c r="MXV18" s="12"/>
      <c r="MXW18" s="13"/>
      <c r="MYC18" s="4"/>
      <c r="MYD18" s="12"/>
      <c r="MYE18" s="13"/>
      <c r="MYK18" s="4"/>
      <c r="MYL18" s="12"/>
      <c r="MYM18" s="13"/>
      <c r="MYS18" s="4"/>
      <c r="MYT18" s="12"/>
      <c r="MYU18" s="13"/>
      <c r="MZA18" s="4"/>
      <c r="MZB18" s="12"/>
      <c r="MZC18" s="13"/>
      <c r="MZI18" s="4"/>
      <c r="MZJ18" s="12"/>
      <c r="MZK18" s="13"/>
      <c r="MZQ18" s="4"/>
      <c r="MZR18" s="12"/>
      <c r="MZS18" s="13"/>
      <c r="MZY18" s="4"/>
      <c r="MZZ18" s="12"/>
      <c r="NAA18" s="13"/>
      <c r="NAG18" s="4"/>
      <c r="NAH18" s="12"/>
      <c r="NAI18" s="13"/>
      <c r="NAO18" s="4"/>
      <c r="NAP18" s="12"/>
      <c r="NAQ18" s="13"/>
      <c r="NAW18" s="4"/>
      <c r="NAX18" s="12"/>
      <c r="NAY18" s="13"/>
      <c r="NBE18" s="4"/>
      <c r="NBF18" s="12"/>
      <c r="NBG18" s="13"/>
      <c r="NBM18" s="4"/>
      <c r="NBN18" s="12"/>
      <c r="NBO18" s="13"/>
      <c r="NBU18" s="4"/>
      <c r="NBV18" s="12"/>
      <c r="NBW18" s="13"/>
      <c r="NCC18" s="4"/>
      <c r="NCD18" s="12"/>
      <c r="NCE18" s="13"/>
      <c r="NCK18" s="4"/>
      <c r="NCL18" s="12"/>
      <c r="NCM18" s="13"/>
      <c r="NCS18" s="4"/>
      <c r="NCT18" s="12"/>
      <c r="NCU18" s="13"/>
      <c r="NDA18" s="4"/>
      <c r="NDB18" s="12"/>
      <c r="NDC18" s="13"/>
      <c r="NDI18" s="4"/>
      <c r="NDJ18" s="12"/>
      <c r="NDK18" s="13"/>
      <c r="NDQ18" s="4"/>
      <c r="NDR18" s="12"/>
      <c r="NDS18" s="13"/>
      <c r="NDY18" s="4"/>
      <c r="NDZ18" s="12"/>
      <c r="NEA18" s="13"/>
      <c r="NEG18" s="4"/>
      <c r="NEH18" s="12"/>
      <c r="NEI18" s="13"/>
      <c r="NEO18" s="4"/>
      <c r="NEP18" s="12"/>
      <c r="NEQ18" s="13"/>
      <c r="NEW18" s="4"/>
      <c r="NEX18" s="12"/>
      <c r="NEY18" s="13"/>
      <c r="NFE18" s="4"/>
      <c r="NFF18" s="12"/>
      <c r="NFG18" s="13"/>
      <c r="NFM18" s="4"/>
      <c r="NFN18" s="12"/>
      <c r="NFO18" s="13"/>
      <c r="NFU18" s="4"/>
      <c r="NFV18" s="12"/>
      <c r="NFW18" s="13"/>
      <c r="NGC18" s="4"/>
      <c r="NGD18" s="12"/>
      <c r="NGE18" s="13"/>
      <c r="NGK18" s="4"/>
      <c r="NGL18" s="12"/>
      <c r="NGM18" s="13"/>
      <c r="NGS18" s="4"/>
      <c r="NGT18" s="12"/>
      <c r="NGU18" s="13"/>
      <c r="NHA18" s="4"/>
      <c r="NHB18" s="12"/>
      <c r="NHC18" s="13"/>
      <c r="NHI18" s="4"/>
      <c r="NHJ18" s="12"/>
      <c r="NHK18" s="13"/>
      <c r="NHQ18" s="4"/>
      <c r="NHR18" s="12"/>
      <c r="NHS18" s="13"/>
      <c r="NHY18" s="4"/>
      <c r="NHZ18" s="12"/>
      <c r="NIA18" s="13"/>
      <c r="NIG18" s="4"/>
      <c r="NIH18" s="12"/>
      <c r="NII18" s="13"/>
      <c r="NIO18" s="4"/>
      <c r="NIP18" s="12"/>
      <c r="NIQ18" s="13"/>
      <c r="NIW18" s="4"/>
      <c r="NIX18" s="12"/>
      <c r="NIY18" s="13"/>
      <c r="NJE18" s="4"/>
      <c r="NJF18" s="12"/>
      <c r="NJG18" s="13"/>
      <c r="NJM18" s="4"/>
      <c r="NJN18" s="12"/>
      <c r="NJO18" s="13"/>
      <c r="NJU18" s="4"/>
      <c r="NJV18" s="12"/>
      <c r="NJW18" s="13"/>
      <c r="NKC18" s="4"/>
      <c r="NKD18" s="12"/>
      <c r="NKE18" s="13"/>
      <c r="NKK18" s="4"/>
      <c r="NKL18" s="12"/>
      <c r="NKM18" s="13"/>
      <c r="NKS18" s="4"/>
      <c r="NKT18" s="12"/>
      <c r="NKU18" s="13"/>
      <c r="NLA18" s="4"/>
      <c r="NLB18" s="12"/>
      <c r="NLC18" s="13"/>
      <c r="NLI18" s="4"/>
      <c r="NLJ18" s="12"/>
      <c r="NLK18" s="13"/>
      <c r="NLQ18" s="4"/>
      <c r="NLR18" s="12"/>
      <c r="NLS18" s="13"/>
      <c r="NLY18" s="4"/>
      <c r="NLZ18" s="12"/>
      <c r="NMA18" s="13"/>
      <c r="NMG18" s="4"/>
      <c r="NMH18" s="12"/>
      <c r="NMI18" s="13"/>
      <c r="NMO18" s="4"/>
      <c r="NMP18" s="12"/>
      <c r="NMQ18" s="13"/>
      <c r="NMW18" s="4"/>
      <c r="NMX18" s="12"/>
      <c r="NMY18" s="13"/>
      <c r="NNE18" s="4"/>
      <c r="NNF18" s="12"/>
      <c r="NNG18" s="13"/>
      <c r="NNM18" s="4"/>
      <c r="NNN18" s="12"/>
      <c r="NNO18" s="13"/>
      <c r="NNU18" s="4"/>
      <c r="NNV18" s="12"/>
      <c r="NNW18" s="13"/>
      <c r="NOC18" s="4"/>
      <c r="NOD18" s="12"/>
      <c r="NOE18" s="13"/>
      <c r="NOK18" s="4"/>
      <c r="NOL18" s="12"/>
      <c r="NOM18" s="13"/>
      <c r="NOS18" s="4"/>
      <c r="NOT18" s="12"/>
      <c r="NOU18" s="13"/>
      <c r="NPA18" s="4"/>
      <c r="NPB18" s="12"/>
      <c r="NPC18" s="13"/>
      <c r="NPI18" s="4"/>
      <c r="NPJ18" s="12"/>
      <c r="NPK18" s="13"/>
      <c r="NPQ18" s="4"/>
      <c r="NPR18" s="12"/>
      <c r="NPS18" s="13"/>
      <c r="NPY18" s="4"/>
      <c r="NPZ18" s="12"/>
      <c r="NQA18" s="13"/>
      <c r="NQG18" s="4"/>
      <c r="NQH18" s="12"/>
      <c r="NQI18" s="13"/>
      <c r="NQO18" s="4"/>
      <c r="NQP18" s="12"/>
      <c r="NQQ18" s="13"/>
      <c r="NQW18" s="4"/>
      <c r="NQX18" s="12"/>
      <c r="NQY18" s="13"/>
      <c r="NRE18" s="4"/>
      <c r="NRF18" s="12"/>
      <c r="NRG18" s="13"/>
      <c r="NRM18" s="4"/>
      <c r="NRN18" s="12"/>
      <c r="NRO18" s="13"/>
      <c r="NRU18" s="4"/>
      <c r="NRV18" s="12"/>
      <c r="NRW18" s="13"/>
      <c r="NSC18" s="4"/>
      <c r="NSD18" s="12"/>
      <c r="NSE18" s="13"/>
      <c r="NSK18" s="4"/>
      <c r="NSL18" s="12"/>
      <c r="NSM18" s="13"/>
      <c r="NSS18" s="4"/>
      <c r="NST18" s="12"/>
      <c r="NSU18" s="13"/>
      <c r="NTA18" s="4"/>
      <c r="NTB18" s="12"/>
      <c r="NTC18" s="13"/>
      <c r="NTI18" s="4"/>
      <c r="NTJ18" s="12"/>
      <c r="NTK18" s="13"/>
      <c r="NTQ18" s="4"/>
      <c r="NTR18" s="12"/>
      <c r="NTS18" s="13"/>
      <c r="NTY18" s="4"/>
      <c r="NTZ18" s="12"/>
      <c r="NUA18" s="13"/>
      <c r="NUG18" s="4"/>
      <c r="NUH18" s="12"/>
      <c r="NUI18" s="13"/>
      <c r="NUO18" s="4"/>
      <c r="NUP18" s="12"/>
      <c r="NUQ18" s="13"/>
      <c r="NUW18" s="4"/>
      <c r="NUX18" s="12"/>
      <c r="NUY18" s="13"/>
      <c r="NVE18" s="4"/>
      <c r="NVF18" s="12"/>
      <c r="NVG18" s="13"/>
      <c r="NVM18" s="4"/>
      <c r="NVN18" s="12"/>
      <c r="NVO18" s="13"/>
      <c r="NVU18" s="4"/>
      <c r="NVV18" s="12"/>
      <c r="NVW18" s="13"/>
      <c r="NWC18" s="4"/>
      <c r="NWD18" s="12"/>
      <c r="NWE18" s="13"/>
      <c r="NWK18" s="4"/>
      <c r="NWL18" s="12"/>
      <c r="NWM18" s="13"/>
      <c r="NWS18" s="4"/>
      <c r="NWT18" s="12"/>
      <c r="NWU18" s="13"/>
      <c r="NXA18" s="4"/>
      <c r="NXB18" s="12"/>
      <c r="NXC18" s="13"/>
      <c r="NXI18" s="4"/>
      <c r="NXJ18" s="12"/>
      <c r="NXK18" s="13"/>
      <c r="NXQ18" s="4"/>
      <c r="NXR18" s="12"/>
      <c r="NXS18" s="13"/>
      <c r="NXY18" s="4"/>
      <c r="NXZ18" s="12"/>
      <c r="NYA18" s="13"/>
      <c r="NYG18" s="4"/>
      <c r="NYH18" s="12"/>
      <c r="NYI18" s="13"/>
      <c r="NYO18" s="4"/>
      <c r="NYP18" s="12"/>
      <c r="NYQ18" s="13"/>
      <c r="NYW18" s="4"/>
      <c r="NYX18" s="12"/>
      <c r="NYY18" s="13"/>
      <c r="NZE18" s="4"/>
      <c r="NZF18" s="12"/>
      <c r="NZG18" s="13"/>
      <c r="NZM18" s="4"/>
      <c r="NZN18" s="12"/>
      <c r="NZO18" s="13"/>
      <c r="NZU18" s="4"/>
      <c r="NZV18" s="12"/>
      <c r="NZW18" s="13"/>
      <c r="OAC18" s="4"/>
      <c r="OAD18" s="12"/>
      <c r="OAE18" s="13"/>
      <c r="OAK18" s="4"/>
      <c r="OAL18" s="12"/>
      <c r="OAM18" s="13"/>
      <c r="OAS18" s="4"/>
      <c r="OAT18" s="12"/>
      <c r="OAU18" s="13"/>
      <c r="OBA18" s="4"/>
      <c r="OBB18" s="12"/>
      <c r="OBC18" s="13"/>
      <c r="OBI18" s="4"/>
      <c r="OBJ18" s="12"/>
      <c r="OBK18" s="13"/>
      <c r="OBQ18" s="4"/>
      <c r="OBR18" s="12"/>
      <c r="OBS18" s="13"/>
      <c r="OBY18" s="4"/>
      <c r="OBZ18" s="12"/>
      <c r="OCA18" s="13"/>
      <c r="OCG18" s="4"/>
      <c r="OCH18" s="12"/>
      <c r="OCI18" s="13"/>
      <c r="OCO18" s="4"/>
      <c r="OCP18" s="12"/>
      <c r="OCQ18" s="13"/>
      <c r="OCW18" s="4"/>
      <c r="OCX18" s="12"/>
      <c r="OCY18" s="13"/>
      <c r="ODE18" s="4"/>
      <c r="ODF18" s="12"/>
      <c r="ODG18" s="13"/>
      <c r="ODM18" s="4"/>
      <c r="ODN18" s="12"/>
      <c r="ODO18" s="13"/>
      <c r="ODU18" s="4"/>
      <c r="ODV18" s="12"/>
      <c r="ODW18" s="13"/>
      <c r="OEC18" s="4"/>
      <c r="OED18" s="12"/>
      <c r="OEE18" s="13"/>
      <c r="OEK18" s="4"/>
      <c r="OEL18" s="12"/>
      <c r="OEM18" s="13"/>
      <c r="OES18" s="4"/>
      <c r="OET18" s="12"/>
      <c r="OEU18" s="13"/>
      <c r="OFA18" s="4"/>
      <c r="OFB18" s="12"/>
      <c r="OFC18" s="13"/>
      <c r="OFI18" s="4"/>
      <c r="OFJ18" s="12"/>
      <c r="OFK18" s="13"/>
      <c r="OFQ18" s="4"/>
      <c r="OFR18" s="12"/>
      <c r="OFS18" s="13"/>
      <c r="OFY18" s="4"/>
      <c r="OFZ18" s="12"/>
      <c r="OGA18" s="13"/>
      <c r="OGG18" s="4"/>
      <c r="OGH18" s="12"/>
      <c r="OGI18" s="13"/>
      <c r="OGO18" s="4"/>
      <c r="OGP18" s="12"/>
      <c r="OGQ18" s="13"/>
      <c r="OGW18" s="4"/>
      <c r="OGX18" s="12"/>
      <c r="OGY18" s="13"/>
      <c r="OHE18" s="4"/>
      <c r="OHF18" s="12"/>
      <c r="OHG18" s="13"/>
      <c r="OHM18" s="4"/>
      <c r="OHN18" s="12"/>
      <c r="OHO18" s="13"/>
      <c r="OHU18" s="4"/>
      <c r="OHV18" s="12"/>
      <c r="OHW18" s="13"/>
      <c r="OIC18" s="4"/>
      <c r="OID18" s="12"/>
      <c r="OIE18" s="13"/>
      <c r="OIK18" s="4"/>
      <c r="OIL18" s="12"/>
      <c r="OIM18" s="13"/>
      <c r="OIS18" s="4"/>
      <c r="OIT18" s="12"/>
      <c r="OIU18" s="13"/>
      <c r="OJA18" s="4"/>
      <c r="OJB18" s="12"/>
      <c r="OJC18" s="13"/>
      <c r="OJI18" s="4"/>
      <c r="OJJ18" s="12"/>
      <c r="OJK18" s="13"/>
      <c r="OJQ18" s="4"/>
      <c r="OJR18" s="12"/>
      <c r="OJS18" s="13"/>
      <c r="OJY18" s="4"/>
      <c r="OJZ18" s="12"/>
      <c r="OKA18" s="13"/>
      <c r="OKG18" s="4"/>
      <c r="OKH18" s="12"/>
      <c r="OKI18" s="13"/>
      <c r="OKO18" s="4"/>
      <c r="OKP18" s="12"/>
      <c r="OKQ18" s="13"/>
      <c r="OKW18" s="4"/>
      <c r="OKX18" s="12"/>
      <c r="OKY18" s="13"/>
      <c r="OLE18" s="4"/>
      <c r="OLF18" s="12"/>
      <c r="OLG18" s="13"/>
      <c r="OLM18" s="4"/>
      <c r="OLN18" s="12"/>
      <c r="OLO18" s="13"/>
      <c r="OLU18" s="4"/>
      <c r="OLV18" s="12"/>
      <c r="OLW18" s="13"/>
      <c r="OMC18" s="4"/>
      <c r="OMD18" s="12"/>
      <c r="OME18" s="13"/>
      <c r="OMK18" s="4"/>
      <c r="OML18" s="12"/>
      <c r="OMM18" s="13"/>
      <c r="OMS18" s="4"/>
      <c r="OMT18" s="12"/>
      <c r="OMU18" s="13"/>
      <c r="ONA18" s="4"/>
      <c r="ONB18" s="12"/>
      <c r="ONC18" s="13"/>
      <c r="ONI18" s="4"/>
      <c r="ONJ18" s="12"/>
      <c r="ONK18" s="13"/>
      <c r="ONQ18" s="4"/>
      <c r="ONR18" s="12"/>
      <c r="ONS18" s="13"/>
      <c r="ONY18" s="4"/>
      <c r="ONZ18" s="12"/>
      <c r="OOA18" s="13"/>
      <c r="OOG18" s="4"/>
      <c r="OOH18" s="12"/>
      <c r="OOI18" s="13"/>
      <c r="OOO18" s="4"/>
      <c r="OOP18" s="12"/>
      <c r="OOQ18" s="13"/>
      <c r="OOW18" s="4"/>
      <c r="OOX18" s="12"/>
      <c r="OOY18" s="13"/>
      <c r="OPE18" s="4"/>
      <c r="OPF18" s="12"/>
      <c r="OPG18" s="13"/>
      <c r="OPM18" s="4"/>
      <c r="OPN18" s="12"/>
      <c r="OPO18" s="13"/>
      <c r="OPU18" s="4"/>
      <c r="OPV18" s="12"/>
      <c r="OPW18" s="13"/>
      <c r="OQC18" s="4"/>
      <c r="OQD18" s="12"/>
      <c r="OQE18" s="13"/>
      <c r="OQK18" s="4"/>
      <c r="OQL18" s="12"/>
      <c r="OQM18" s="13"/>
      <c r="OQS18" s="4"/>
      <c r="OQT18" s="12"/>
      <c r="OQU18" s="13"/>
      <c r="ORA18" s="4"/>
      <c r="ORB18" s="12"/>
      <c r="ORC18" s="13"/>
      <c r="ORI18" s="4"/>
      <c r="ORJ18" s="12"/>
      <c r="ORK18" s="13"/>
      <c r="ORQ18" s="4"/>
      <c r="ORR18" s="12"/>
      <c r="ORS18" s="13"/>
      <c r="ORY18" s="4"/>
      <c r="ORZ18" s="12"/>
      <c r="OSA18" s="13"/>
      <c r="OSG18" s="4"/>
      <c r="OSH18" s="12"/>
      <c r="OSI18" s="13"/>
      <c r="OSO18" s="4"/>
      <c r="OSP18" s="12"/>
      <c r="OSQ18" s="13"/>
      <c r="OSW18" s="4"/>
      <c r="OSX18" s="12"/>
      <c r="OSY18" s="13"/>
      <c r="OTE18" s="4"/>
      <c r="OTF18" s="12"/>
      <c r="OTG18" s="13"/>
      <c r="OTM18" s="4"/>
      <c r="OTN18" s="12"/>
      <c r="OTO18" s="13"/>
      <c r="OTU18" s="4"/>
      <c r="OTV18" s="12"/>
      <c r="OTW18" s="13"/>
      <c r="OUC18" s="4"/>
      <c r="OUD18" s="12"/>
      <c r="OUE18" s="13"/>
      <c r="OUK18" s="4"/>
      <c r="OUL18" s="12"/>
      <c r="OUM18" s="13"/>
      <c r="OUS18" s="4"/>
      <c r="OUT18" s="12"/>
      <c r="OUU18" s="13"/>
      <c r="OVA18" s="4"/>
      <c r="OVB18" s="12"/>
      <c r="OVC18" s="13"/>
      <c r="OVI18" s="4"/>
      <c r="OVJ18" s="12"/>
      <c r="OVK18" s="13"/>
      <c r="OVQ18" s="4"/>
      <c r="OVR18" s="12"/>
      <c r="OVS18" s="13"/>
      <c r="OVY18" s="4"/>
      <c r="OVZ18" s="12"/>
      <c r="OWA18" s="13"/>
      <c r="OWG18" s="4"/>
      <c r="OWH18" s="12"/>
      <c r="OWI18" s="13"/>
      <c r="OWO18" s="4"/>
      <c r="OWP18" s="12"/>
      <c r="OWQ18" s="13"/>
      <c r="OWW18" s="4"/>
      <c r="OWX18" s="12"/>
      <c r="OWY18" s="13"/>
      <c r="OXE18" s="4"/>
      <c r="OXF18" s="12"/>
      <c r="OXG18" s="13"/>
      <c r="OXM18" s="4"/>
      <c r="OXN18" s="12"/>
      <c r="OXO18" s="13"/>
      <c r="OXU18" s="4"/>
      <c r="OXV18" s="12"/>
      <c r="OXW18" s="13"/>
      <c r="OYC18" s="4"/>
      <c r="OYD18" s="12"/>
      <c r="OYE18" s="13"/>
      <c r="OYK18" s="4"/>
      <c r="OYL18" s="12"/>
      <c r="OYM18" s="13"/>
      <c r="OYS18" s="4"/>
      <c r="OYT18" s="12"/>
      <c r="OYU18" s="13"/>
      <c r="OZA18" s="4"/>
      <c r="OZB18" s="12"/>
      <c r="OZC18" s="13"/>
      <c r="OZI18" s="4"/>
      <c r="OZJ18" s="12"/>
      <c r="OZK18" s="13"/>
      <c r="OZQ18" s="4"/>
      <c r="OZR18" s="12"/>
      <c r="OZS18" s="13"/>
      <c r="OZY18" s="4"/>
      <c r="OZZ18" s="12"/>
      <c r="PAA18" s="13"/>
      <c r="PAG18" s="4"/>
      <c r="PAH18" s="12"/>
      <c r="PAI18" s="13"/>
      <c r="PAO18" s="4"/>
      <c r="PAP18" s="12"/>
      <c r="PAQ18" s="13"/>
      <c r="PAW18" s="4"/>
      <c r="PAX18" s="12"/>
      <c r="PAY18" s="13"/>
      <c r="PBE18" s="4"/>
      <c r="PBF18" s="12"/>
      <c r="PBG18" s="13"/>
      <c r="PBM18" s="4"/>
      <c r="PBN18" s="12"/>
      <c r="PBO18" s="13"/>
      <c r="PBU18" s="4"/>
      <c r="PBV18" s="12"/>
      <c r="PBW18" s="13"/>
      <c r="PCC18" s="4"/>
      <c r="PCD18" s="12"/>
      <c r="PCE18" s="13"/>
      <c r="PCK18" s="4"/>
      <c r="PCL18" s="12"/>
      <c r="PCM18" s="13"/>
      <c r="PCS18" s="4"/>
      <c r="PCT18" s="12"/>
      <c r="PCU18" s="13"/>
      <c r="PDA18" s="4"/>
      <c r="PDB18" s="12"/>
      <c r="PDC18" s="13"/>
      <c r="PDI18" s="4"/>
      <c r="PDJ18" s="12"/>
      <c r="PDK18" s="13"/>
      <c r="PDQ18" s="4"/>
      <c r="PDR18" s="12"/>
      <c r="PDS18" s="13"/>
      <c r="PDY18" s="4"/>
      <c r="PDZ18" s="12"/>
      <c r="PEA18" s="13"/>
      <c r="PEG18" s="4"/>
      <c r="PEH18" s="12"/>
      <c r="PEI18" s="13"/>
      <c r="PEO18" s="4"/>
      <c r="PEP18" s="12"/>
      <c r="PEQ18" s="13"/>
      <c r="PEW18" s="4"/>
      <c r="PEX18" s="12"/>
      <c r="PEY18" s="13"/>
      <c r="PFE18" s="4"/>
      <c r="PFF18" s="12"/>
      <c r="PFG18" s="13"/>
      <c r="PFM18" s="4"/>
      <c r="PFN18" s="12"/>
      <c r="PFO18" s="13"/>
      <c r="PFU18" s="4"/>
      <c r="PFV18" s="12"/>
      <c r="PFW18" s="13"/>
      <c r="PGC18" s="4"/>
      <c r="PGD18" s="12"/>
      <c r="PGE18" s="13"/>
      <c r="PGK18" s="4"/>
      <c r="PGL18" s="12"/>
      <c r="PGM18" s="13"/>
      <c r="PGS18" s="4"/>
      <c r="PGT18" s="12"/>
      <c r="PGU18" s="13"/>
      <c r="PHA18" s="4"/>
      <c r="PHB18" s="12"/>
      <c r="PHC18" s="13"/>
      <c r="PHI18" s="4"/>
      <c r="PHJ18" s="12"/>
      <c r="PHK18" s="13"/>
      <c r="PHQ18" s="4"/>
      <c r="PHR18" s="12"/>
      <c r="PHS18" s="13"/>
      <c r="PHY18" s="4"/>
      <c r="PHZ18" s="12"/>
      <c r="PIA18" s="13"/>
      <c r="PIG18" s="4"/>
      <c r="PIH18" s="12"/>
      <c r="PII18" s="13"/>
      <c r="PIO18" s="4"/>
      <c r="PIP18" s="12"/>
      <c r="PIQ18" s="13"/>
      <c r="PIW18" s="4"/>
      <c r="PIX18" s="12"/>
      <c r="PIY18" s="13"/>
      <c r="PJE18" s="4"/>
      <c r="PJF18" s="12"/>
      <c r="PJG18" s="13"/>
      <c r="PJM18" s="4"/>
      <c r="PJN18" s="12"/>
      <c r="PJO18" s="13"/>
      <c r="PJU18" s="4"/>
      <c r="PJV18" s="12"/>
      <c r="PJW18" s="13"/>
      <c r="PKC18" s="4"/>
      <c r="PKD18" s="12"/>
      <c r="PKE18" s="13"/>
      <c r="PKK18" s="4"/>
      <c r="PKL18" s="12"/>
      <c r="PKM18" s="13"/>
      <c r="PKS18" s="4"/>
      <c r="PKT18" s="12"/>
      <c r="PKU18" s="13"/>
      <c r="PLA18" s="4"/>
      <c r="PLB18" s="12"/>
      <c r="PLC18" s="13"/>
      <c r="PLI18" s="4"/>
      <c r="PLJ18" s="12"/>
      <c r="PLK18" s="13"/>
      <c r="PLQ18" s="4"/>
      <c r="PLR18" s="12"/>
      <c r="PLS18" s="13"/>
      <c r="PLY18" s="4"/>
      <c r="PLZ18" s="12"/>
      <c r="PMA18" s="13"/>
      <c r="PMG18" s="4"/>
      <c r="PMH18" s="12"/>
      <c r="PMI18" s="13"/>
      <c r="PMO18" s="4"/>
      <c r="PMP18" s="12"/>
      <c r="PMQ18" s="13"/>
      <c r="PMW18" s="4"/>
      <c r="PMX18" s="12"/>
      <c r="PMY18" s="13"/>
      <c r="PNE18" s="4"/>
      <c r="PNF18" s="12"/>
      <c r="PNG18" s="13"/>
      <c r="PNM18" s="4"/>
      <c r="PNN18" s="12"/>
      <c r="PNO18" s="13"/>
      <c r="PNU18" s="4"/>
      <c r="PNV18" s="12"/>
      <c r="PNW18" s="13"/>
      <c r="POC18" s="4"/>
      <c r="POD18" s="12"/>
      <c r="POE18" s="13"/>
      <c r="POK18" s="4"/>
      <c r="POL18" s="12"/>
      <c r="POM18" s="13"/>
      <c r="POS18" s="4"/>
      <c r="POT18" s="12"/>
      <c r="POU18" s="13"/>
      <c r="PPA18" s="4"/>
      <c r="PPB18" s="12"/>
      <c r="PPC18" s="13"/>
      <c r="PPI18" s="4"/>
      <c r="PPJ18" s="12"/>
      <c r="PPK18" s="13"/>
      <c r="PPQ18" s="4"/>
      <c r="PPR18" s="12"/>
      <c r="PPS18" s="13"/>
      <c r="PPY18" s="4"/>
      <c r="PPZ18" s="12"/>
      <c r="PQA18" s="13"/>
      <c r="PQG18" s="4"/>
      <c r="PQH18" s="12"/>
      <c r="PQI18" s="13"/>
      <c r="PQO18" s="4"/>
      <c r="PQP18" s="12"/>
      <c r="PQQ18" s="13"/>
      <c r="PQW18" s="4"/>
      <c r="PQX18" s="12"/>
      <c r="PQY18" s="13"/>
      <c r="PRE18" s="4"/>
      <c r="PRF18" s="12"/>
      <c r="PRG18" s="13"/>
      <c r="PRM18" s="4"/>
      <c r="PRN18" s="12"/>
      <c r="PRO18" s="13"/>
      <c r="PRU18" s="4"/>
      <c r="PRV18" s="12"/>
      <c r="PRW18" s="13"/>
      <c r="PSC18" s="4"/>
      <c r="PSD18" s="12"/>
      <c r="PSE18" s="13"/>
      <c r="PSK18" s="4"/>
      <c r="PSL18" s="12"/>
      <c r="PSM18" s="13"/>
      <c r="PSS18" s="4"/>
      <c r="PST18" s="12"/>
      <c r="PSU18" s="13"/>
      <c r="PTA18" s="4"/>
      <c r="PTB18" s="12"/>
      <c r="PTC18" s="13"/>
      <c r="PTI18" s="4"/>
      <c r="PTJ18" s="12"/>
      <c r="PTK18" s="13"/>
      <c r="PTQ18" s="4"/>
      <c r="PTR18" s="12"/>
      <c r="PTS18" s="13"/>
      <c r="PTY18" s="4"/>
      <c r="PTZ18" s="12"/>
      <c r="PUA18" s="13"/>
      <c r="PUG18" s="4"/>
      <c r="PUH18" s="12"/>
      <c r="PUI18" s="13"/>
      <c r="PUO18" s="4"/>
      <c r="PUP18" s="12"/>
      <c r="PUQ18" s="13"/>
      <c r="PUW18" s="4"/>
      <c r="PUX18" s="12"/>
      <c r="PUY18" s="13"/>
      <c r="PVE18" s="4"/>
      <c r="PVF18" s="12"/>
      <c r="PVG18" s="13"/>
      <c r="PVM18" s="4"/>
      <c r="PVN18" s="12"/>
      <c r="PVO18" s="13"/>
      <c r="PVU18" s="4"/>
      <c r="PVV18" s="12"/>
      <c r="PVW18" s="13"/>
      <c r="PWC18" s="4"/>
      <c r="PWD18" s="12"/>
      <c r="PWE18" s="13"/>
      <c r="PWK18" s="4"/>
      <c r="PWL18" s="12"/>
      <c r="PWM18" s="13"/>
      <c r="PWS18" s="4"/>
      <c r="PWT18" s="12"/>
      <c r="PWU18" s="13"/>
      <c r="PXA18" s="4"/>
      <c r="PXB18" s="12"/>
      <c r="PXC18" s="13"/>
      <c r="PXI18" s="4"/>
      <c r="PXJ18" s="12"/>
      <c r="PXK18" s="13"/>
      <c r="PXQ18" s="4"/>
      <c r="PXR18" s="12"/>
      <c r="PXS18" s="13"/>
      <c r="PXY18" s="4"/>
      <c r="PXZ18" s="12"/>
      <c r="PYA18" s="13"/>
      <c r="PYG18" s="4"/>
      <c r="PYH18" s="12"/>
      <c r="PYI18" s="13"/>
      <c r="PYO18" s="4"/>
      <c r="PYP18" s="12"/>
      <c r="PYQ18" s="13"/>
      <c r="PYW18" s="4"/>
      <c r="PYX18" s="12"/>
      <c r="PYY18" s="13"/>
      <c r="PZE18" s="4"/>
      <c r="PZF18" s="12"/>
      <c r="PZG18" s="13"/>
      <c r="PZM18" s="4"/>
      <c r="PZN18" s="12"/>
      <c r="PZO18" s="13"/>
      <c r="PZU18" s="4"/>
      <c r="PZV18" s="12"/>
      <c r="PZW18" s="13"/>
      <c r="QAC18" s="4"/>
      <c r="QAD18" s="12"/>
      <c r="QAE18" s="13"/>
      <c r="QAK18" s="4"/>
      <c r="QAL18" s="12"/>
      <c r="QAM18" s="13"/>
      <c r="QAS18" s="4"/>
      <c r="QAT18" s="12"/>
      <c r="QAU18" s="13"/>
      <c r="QBA18" s="4"/>
      <c r="QBB18" s="12"/>
      <c r="QBC18" s="13"/>
      <c r="QBI18" s="4"/>
      <c r="QBJ18" s="12"/>
      <c r="QBK18" s="13"/>
      <c r="QBQ18" s="4"/>
      <c r="QBR18" s="12"/>
      <c r="QBS18" s="13"/>
      <c r="QBY18" s="4"/>
      <c r="QBZ18" s="12"/>
      <c r="QCA18" s="13"/>
      <c r="QCG18" s="4"/>
      <c r="QCH18" s="12"/>
      <c r="QCI18" s="13"/>
      <c r="QCO18" s="4"/>
      <c r="QCP18" s="12"/>
      <c r="QCQ18" s="13"/>
      <c r="QCW18" s="4"/>
      <c r="QCX18" s="12"/>
      <c r="QCY18" s="13"/>
      <c r="QDE18" s="4"/>
      <c r="QDF18" s="12"/>
      <c r="QDG18" s="13"/>
      <c r="QDM18" s="4"/>
      <c r="QDN18" s="12"/>
      <c r="QDO18" s="13"/>
      <c r="QDU18" s="4"/>
      <c r="QDV18" s="12"/>
      <c r="QDW18" s="13"/>
      <c r="QEC18" s="4"/>
      <c r="QED18" s="12"/>
      <c r="QEE18" s="13"/>
      <c r="QEK18" s="4"/>
      <c r="QEL18" s="12"/>
      <c r="QEM18" s="13"/>
      <c r="QES18" s="4"/>
      <c r="QET18" s="12"/>
      <c r="QEU18" s="13"/>
      <c r="QFA18" s="4"/>
      <c r="QFB18" s="12"/>
      <c r="QFC18" s="13"/>
      <c r="QFI18" s="4"/>
      <c r="QFJ18" s="12"/>
      <c r="QFK18" s="13"/>
      <c r="QFQ18" s="4"/>
      <c r="QFR18" s="12"/>
      <c r="QFS18" s="13"/>
      <c r="QFY18" s="4"/>
      <c r="QFZ18" s="12"/>
      <c r="QGA18" s="13"/>
      <c r="QGG18" s="4"/>
      <c r="QGH18" s="12"/>
      <c r="QGI18" s="13"/>
      <c r="QGO18" s="4"/>
      <c r="QGP18" s="12"/>
      <c r="QGQ18" s="13"/>
      <c r="QGW18" s="4"/>
      <c r="QGX18" s="12"/>
      <c r="QGY18" s="13"/>
      <c r="QHE18" s="4"/>
      <c r="QHF18" s="12"/>
      <c r="QHG18" s="13"/>
      <c r="QHM18" s="4"/>
      <c r="QHN18" s="12"/>
      <c r="QHO18" s="13"/>
      <c r="QHU18" s="4"/>
      <c r="QHV18" s="12"/>
      <c r="QHW18" s="13"/>
      <c r="QIC18" s="4"/>
      <c r="QID18" s="12"/>
      <c r="QIE18" s="13"/>
      <c r="QIK18" s="4"/>
      <c r="QIL18" s="12"/>
      <c r="QIM18" s="13"/>
      <c r="QIS18" s="4"/>
      <c r="QIT18" s="12"/>
      <c r="QIU18" s="13"/>
      <c r="QJA18" s="4"/>
      <c r="QJB18" s="12"/>
      <c r="QJC18" s="13"/>
      <c r="QJI18" s="4"/>
      <c r="QJJ18" s="12"/>
      <c r="QJK18" s="13"/>
      <c r="QJQ18" s="4"/>
      <c r="QJR18" s="12"/>
      <c r="QJS18" s="13"/>
      <c r="QJY18" s="4"/>
      <c r="QJZ18" s="12"/>
      <c r="QKA18" s="13"/>
      <c r="QKG18" s="4"/>
      <c r="QKH18" s="12"/>
      <c r="QKI18" s="13"/>
      <c r="QKO18" s="4"/>
      <c r="QKP18" s="12"/>
      <c r="QKQ18" s="13"/>
      <c r="QKW18" s="4"/>
      <c r="QKX18" s="12"/>
      <c r="QKY18" s="13"/>
      <c r="QLE18" s="4"/>
      <c r="QLF18" s="12"/>
      <c r="QLG18" s="13"/>
      <c r="QLM18" s="4"/>
      <c r="QLN18" s="12"/>
      <c r="QLO18" s="13"/>
      <c r="QLU18" s="4"/>
      <c r="QLV18" s="12"/>
      <c r="QLW18" s="13"/>
      <c r="QMC18" s="4"/>
      <c r="QMD18" s="12"/>
      <c r="QME18" s="13"/>
      <c r="QMK18" s="4"/>
      <c r="QML18" s="12"/>
      <c r="QMM18" s="13"/>
      <c r="QMS18" s="4"/>
      <c r="QMT18" s="12"/>
      <c r="QMU18" s="13"/>
      <c r="QNA18" s="4"/>
      <c r="QNB18" s="12"/>
      <c r="QNC18" s="13"/>
      <c r="QNI18" s="4"/>
      <c r="QNJ18" s="12"/>
      <c r="QNK18" s="13"/>
      <c r="QNQ18" s="4"/>
      <c r="QNR18" s="12"/>
      <c r="QNS18" s="13"/>
      <c r="QNY18" s="4"/>
      <c r="QNZ18" s="12"/>
      <c r="QOA18" s="13"/>
      <c r="QOG18" s="4"/>
      <c r="QOH18" s="12"/>
      <c r="QOI18" s="13"/>
      <c r="QOO18" s="4"/>
      <c r="QOP18" s="12"/>
      <c r="QOQ18" s="13"/>
      <c r="QOW18" s="4"/>
      <c r="QOX18" s="12"/>
      <c r="QOY18" s="13"/>
      <c r="QPE18" s="4"/>
      <c r="QPF18" s="12"/>
      <c r="QPG18" s="13"/>
      <c r="QPM18" s="4"/>
      <c r="QPN18" s="12"/>
      <c r="QPO18" s="13"/>
      <c r="QPU18" s="4"/>
      <c r="QPV18" s="12"/>
      <c r="QPW18" s="13"/>
      <c r="QQC18" s="4"/>
      <c r="QQD18" s="12"/>
      <c r="QQE18" s="13"/>
      <c r="QQK18" s="4"/>
      <c r="QQL18" s="12"/>
      <c r="QQM18" s="13"/>
      <c r="QQS18" s="4"/>
      <c r="QQT18" s="12"/>
      <c r="QQU18" s="13"/>
      <c r="QRA18" s="4"/>
      <c r="QRB18" s="12"/>
      <c r="QRC18" s="13"/>
      <c r="QRI18" s="4"/>
      <c r="QRJ18" s="12"/>
      <c r="QRK18" s="13"/>
      <c r="QRQ18" s="4"/>
      <c r="QRR18" s="12"/>
      <c r="QRS18" s="13"/>
      <c r="QRY18" s="4"/>
      <c r="QRZ18" s="12"/>
      <c r="QSA18" s="13"/>
      <c r="QSG18" s="4"/>
      <c r="QSH18" s="12"/>
      <c r="QSI18" s="13"/>
      <c r="QSO18" s="4"/>
      <c r="QSP18" s="12"/>
      <c r="QSQ18" s="13"/>
      <c r="QSW18" s="4"/>
      <c r="QSX18" s="12"/>
      <c r="QSY18" s="13"/>
      <c r="QTE18" s="4"/>
      <c r="QTF18" s="12"/>
      <c r="QTG18" s="13"/>
      <c r="QTM18" s="4"/>
      <c r="QTN18" s="12"/>
      <c r="QTO18" s="13"/>
      <c r="QTU18" s="4"/>
      <c r="QTV18" s="12"/>
      <c r="QTW18" s="13"/>
      <c r="QUC18" s="4"/>
      <c r="QUD18" s="12"/>
      <c r="QUE18" s="13"/>
      <c r="QUK18" s="4"/>
      <c r="QUL18" s="12"/>
      <c r="QUM18" s="13"/>
      <c r="QUS18" s="4"/>
      <c r="QUT18" s="12"/>
      <c r="QUU18" s="13"/>
      <c r="QVA18" s="4"/>
      <c r="QVB18" s="12"/>
      <c r="QVC18" s="13"/>
      <c r="QVI18" s="4"/>
      <c r="QVJ18" s="12"/>
      <c r="QVK18" s="13"/>
      <c r="QVQ18" s="4"/>
      <c r="QVR18" s="12"/>
      <c r="QVS18" s="13"/>
      <c r="QVY18" s="4"/>
      <c r="QVZ18" s="12"/>
      <c r="QWA18" s="13"/>
      <c r="QWG18" s="4"/>
      <c r="QWH18" s="12"/>
      <c r="QWI18" s="13"/>
      <c r="QWO18" s="4"/>
      <c r="QWP18" s="12"/>
      <c r="QWQ18" s="13"/>
      <c r="QWW18" s="4"/>
      <c r="QWX18" s="12"/>
      <c r="QWY18" s="13"/>
      <c r="QXE18" s="4"/>
      <c r="QXF18" s="12"/>
      <c r="QXG18" s="13"/>
      <c r="QXM18" s="4"/>
      <c r="QXN18" s="12"/>
      <c r="QXO18" s="13"/>
      <c r="QXU18" s="4"/>
      <c r="QXV18" s="12"/>
      <c r="QXW18" s="13"/>
      <c r="QYC18" s="4"/>
      <c r="QYD18" s="12"/>
      <c r="QYE18" s="13"/>
      <c r="QYK18" s="4"/>
      <c r="QYL18" s="12"/>
      <c r="QYM18" s="13"/>
      <c r="QYS18" s="4"/>
      <c r="QYT18" s="12"/>
      <c r="QYU18" s="13"/>
      <c r="QZA18" s="4"/>
      <c r="QZB18" s="12"/>
      <c r="QZC18" s="13"/>
      <c r="QZI18" s="4"/>
      <c r="QZJ18" s="12"/>
      <c r="QZK18" s="13"/>
      <c r="QZQ18" s="4"/>
      <c r="QZR18" s="12"/>
      <c r="QZS18" s="13"/>
      <c r="QZY18" s="4"/>
      <c r="QZZ18" s="12"/>
      <c r="RAA18" s="13"/>
      <c r="RAG18" s="4"/>
      <c r="RAH18" s="12"/>
      <c r="RAI18" s="13"/>
      <c r="RAO18" s="4"/>
      <c r="RAP18" s="12"/>
      <c r="RAQ18" s="13"/>
      <c r="RAW18" s="4"/>
      <c r="RAX18" s="12"/>
      <c r="RAY18" s="13"/>
      <c r="RBE18" s="4"/>
      <c r="RBF18" s="12"/>
      <c r="RBG18" s="13"/>
      <c r="RBM18" s="4"/>
      <c r="RBN18" s="12"/>
      <c r="RBO18" s="13"/>
      <c r="RBU18" s="4"/>
      <c r="RBV18" s="12"/>
      <c r="RBW18" s="13"/>
      <c r="RCC18" s="4"/>
      <c r="RCD18" s="12"/>
      <c r="RCE18" s="13"/>
      <c r="RCK18" s="4"/>
      <c r="RCL18" s="12"/>
      <c r="RCM18" s="13"/>
      <c r="RCS18" s="4"/>
      <c r="RCT18" s="12"/>
      <c r="RCU18" s="13"/>
      <c r="RDA18" s="4"/>
      <c r="RDB18" s="12"/>
      <c r="RDC18" s="13"/>
      <c r="RDI18" s="4"/>
      <c r="RDJ18" s="12"/>
      <c r="RDK18" s="13"/>
      <c r="RDQ18" s="4"/>
      <c r="RDR18" s="12"/>
      <c r="RDS18" s="13"/>
      <c r="RDY18" s="4"/>
      <c r="RDZ18" s="12"/>
      <c r="REA18" s="13"/>
      <c r="REG18" s="4"/>
      <c r="REH18" s="12"/>
      <c r="REI18" s="13"/>
      <c r="REO18" s="4"/>
      <c r="REP18" s="12"/>
      <c r="REQ18" s="13"/>
      <c r="REW18" s="4"/>
      <c r="REX18" s="12"/>
      <c r="REY18" s="13"/>
      <c r="RFE18" s="4"/>
      <c r="RFF18" s="12"/>
      <c r="RFG18" s="13"/>
      <c r="RFM18" s="4"/>
      <c r="RFN18" s="12"/>
      <c r="RFO18" s="13"/>
      <c r="RFU18" s="4"/>
      <c r="RFV18" s="12"/>
      <c r="RFW18" s="13"/>
      <c r="RGC18" s="4"/>
      <c r="RGD18" s="12"/>
      <c r="RGE18" s="13"/>
      <c r="RGK18" s="4"/>
      <c r="RGL18" s="12"/>
      <c r="RGM18" s="13"/>
      <c r="RGS18" s="4"/>
      <c r="RGT18" s="12"/>
      <c r="RGU18" s="13"/>
      <c r="RHA18" s="4"/>
      <c r="RHB18" s="12"/>
      <c r="RHC18" s="13"/>
      <c r="RHI18" s="4"/>
      <c r="RHJ18" s="12"/>
      <c r="RHK18" s="13"/>
      <c r="RHQ18" s="4"/>
      <c r="RHR18" s="12"/>
      <c r="RHS18" s="13"/>
      <c r="RHY18" s="4"/>
      <c r="RHZ18" s="12"/>
      <c r="RIA18" s="13"/>
      <c r="RIG18" s="4"/>
      <c r="RIH18" s="12"/>
      <c r="RII18" s="13"/>
      <c r="RIO18" s="4"/>
      <c r="RIP18" s="12"/>
      <c r="RIQ18" s="13"/>
      <c r="RIW18" s="4"/>
      <c r="RIX18" s="12"/>
      <c r="RIY18" s="13"/>
      <c r="RJE18" s="4"/>
      <c r="RJF18" s="12"/>
      <c r="RJG18" s="13"/>
      <c r="RJM18" s="4"/>
      <c r="RJN18" s="12"/>
      <c r="RJO18" s="13"/>
      <c r="RJU18" s="4"/>
      <c r="RJV18" s="12"/>
      <c r="RJW18" s="13"/>
      <c r="RKC18" s="4"/>
      <c r="RKD18" s="12"/>
      <c r="RKE18" s="13"/>
      <c r="RKK18" s="4"/>
      <c r="RKL18" s="12"/>
      <c r="RKM18" s="13"/>
      <c r="RKS18" s="4"/>
      <c r="RKT18" s="12"/>
      <c r="RKU18" s="13"/>
      <c r="RLA18" s="4"/>
      <c r="RLB18" s="12"/>
      <c r="RLC18" s="13"/>
      <c r="RLI18" s="4"/>
      <c r="RLJ18" s="12"/>
      <c r="RLK18" s="13"/>
      <c r="RLQ18" s="4"/>
      <c r="RLR18" s="12"/>
      <c r="RLS18" s="13"/>
      <c r="RLY18" s="4"/>
      <c r="RLZ18" s="12"/>
      <c r="RMA18" s="13"/>
      <c r="RMG18" s="4"/>
      <c r="RMH18" s="12"/>
      <c r="RMI18" s="13"/>
      <c r="RMO18" s="4"/>
      <c r="RMP18" s="12"/>
      <c r="RMQ18" s="13"/>
      <c r="RMW18" s="4"/>
      <c r="RMX18" s="12"/>
      <c r="RMY18" s="13"/>
      <c r="RNE18" s="4"/>
      <c r="RNF18" s="12"/>
      <c r="RNG18" s="13"/>
      <c r="RNM18" s="4"/>
      <c r="RNN18" s="12"/>
      <c r="RNO18" s="13"/>
      <c r="RNU18" s="4"/>
      <c r="RNV18" s="12"/>
      <c r="RNW18" s="13"/>
      <c r="ROC18" s="4"/>
      <c r="ROD18" s="12"/>
      <c r="ROE18" s="13"/>
      <c r="ROK18" s="4"/>
      <c r="ROL18" s="12"/>
      <c r="ROM18" s="13"/>
      <c r="ROS18" s="4"/>
      <c r="ROT18" s="12"/>
      <c r="ROU18" s="13"/>
      <c r="RPA18" s="4"/>
      <c r="RPB18" s="12"/>
      <c r="RPC18" s="13"/>
      <c r="RPI18" s="4"/>
      <c r="RPJ18" s="12"/>
      <c r="RPK18" s="13"/>
      <c r="RPQ18" s="4"/>
      <c r="RPR18" s="12"/>
      <c r="RPS18" s="13"/>
      <c r="RPY18" s="4"/>
      <c r="RPZ18" s="12"/>
      <c r="RQA18" s="13"/>
      <c r="RQG18" s="4"/>
      <c r="RQH18" s="12"/>
      <c r="RQI18" s="13"/>
      <c r="RQO18" s="4"/>
      <c r="RQP18" s="12"/>
      <c r="RQQ18" s="13"/>
      <c r="RQW18" s="4"/>
      <c r="RQX18" s="12"/>
      <c r="RQY18" s="13"/>
      <c r="RRE18" s="4"/>
      <c r="RRF18" s="12"/>
      <c r="RRG18" s="13"/>
      <c r="RRM18" s="4"/>
      <c r="RRN18" s="12"/>
      <c r="RRO18" s="13"/>
      <c r="RRU18" s="4"/>
      <c r="RRV18" s="12"/>
      <c r="RRW18" s="13"/>
      <c r="RSC18" s="4"/>
      <c r="RSD18" s="12"/>
      <c r="RSE18" s="13"/>
      <c r="RSK18" s="4"/>
      <c r="RSL18" s="12"/>
      <c r="RSM18" s="13"/>
      <c r="RSS18" s="4"/>
      <c r="RST18" s="12"/>
      <c r="RSU18" s="13"/>
      <c r="RTA18" s="4"/>
      <c r="RTB18" s="12"/>
      <c r="RTC18" s="13"/>
      <c r="RTI18" s="4"/>
      <c r="RTJ18" s="12"/>
      <c r="RTK18" s="13"/>
      <c r="RTQ18" s="4"/>
      <c r="RTR18" s="12"/>
      <c r="RTS18" s="13"/>
      <c r="RTY18" s="4"/>
      <c r="RTZ18" s="12"/>
      <c r="RUA18" s="13"/>
      <c r="RUG18" s="4"/>
      <c r="RUH18" s="12"/>
      <c r="RUI18" s="13"/>
      <c r="RUO18" s="4"/>
      <c r="RUP18" s="12"/>
      <c r="RUQ18" s="13"/>
      <c r="RUW18" s="4"/>
      <c r="RUX18" s="12"/>
      <c r="RUY18" s="13"/>
      <c r="RVE18" s="4"/>
      <c r="RVF18" s="12"/>
      <c r="RVG18" s="13"/>
      <c r="RVM18" s="4"/>
      <c r="RVN18" s="12"/>
      <c r="RVO18" s="13"/>
      <c r="RVU18" s="4"/>
      <c r="RVV18" s="12"/>
      <c r="RVW18" s="13"/>
      <c r="RWC18" s="4"/>
      <c r="RWD18" s="12"/>
      <c r="RWE18" s="13"/>
      <c r="RWK18" s="4"/>
      <c r="RWL18" s="12"/>
      <c r="RWM18" s="13"/>
      <c r="RWS18" s="4"/>
      <c r="RWT18" s="12"/>
      <c r="RWU18" s="13"/>
      <c r="RXA18" s="4"/>
      <c r="RXB18" s="12"/>
      <c r="RXC18" s="13"/>
      <c r="RXI18" s="4"/>
      <c r="RXJ18" s="12"/>
      <c r="RXK18" s="13"/>
      <c r="RXQ18" s="4"/>
      <c r="RXR18" s="12"/>
      <c r="RXS18" s="13"/>
      <c r="RXY18" s="4"/>
      <c r="RXZ18" s="12"/>
      <c r="RYA18" s="13"/>
      <c r="RYG18" s="4"/>
      <c r="RYH18" s="12"/>
      <c r="RYI18" s="13"/>
      <c r="RYO18" s="4"/>
      <c r="RYP18" s="12"/>
      <c r="RYQ18" s="13"/>
      <c r="RYW18" s="4"/>
      <c r="RYX18" s="12"/>
      <c r="RYY18" s="13"/>
      <c r="RZE18" s="4"/>
      <c r="RZF18" s="12"/>
      <c r="RZG18" s="13"/>
      <c r="RZM18" s="4"/>
      <c r="RZN18" s="12"/>
      <c r="RZO18" s="13"/>
      <c r="RZU18" s="4"/>
      <c r="RZV18" s="12"/>
      <c r="RZW18" s="13"/>
      <c r="SAC18" s="4"/>
      <c r="SAD18" s="12"/>
      <c r="SAE18" s="13"/>
      <c r="SAK18" s="4"/>
      <c r="SAL18" s="12"/>
      <c r="SAM18" s="13"/>
      <c r="SAS18" s="4"/>
      <c r="SAT18" s="12"/>
      <c r="SAU18" s="13"/>
      <c r="SBA18" s="4"/>
      <c r="SBB18" s="12"/>
      <c r="SBC18" s="13"/>
      <c r="SBI18" s="4"/>
      <c r="SBJ18" s="12"/>
      <c r="SBK18" s="13"/>
      <c r="SBQ18" s="4"/>
      <c r="SBR18" s="12"/>
      <c r="SBS18" s="13"/>
      <c r="SBY18" s="4"/>
      <c r="SBZ18" s="12"/>
      <c r="SCA18" s="13"/>
      <c r="SCG18" s="4"/>
      <c r="SCH18" s="12"/>
      <c r="SCI18" s="13"/>
      <c r="SCO18" s="4"/>
      <c r="SCP18" s="12"/>
      <c r="SCQ18" s="13"/>
      <c r="SCW18" s="4"/>
      <c r="SCX18" s="12"/>
      <c r="SCY18" s="13"/>
      <c r="SDE18" s="4"/>
      <c r="SDF18" s="12"/>
      <c r="SDG18" s="13"/>
      <c r="SDM18" s="4"/>
      <c r="SDN18" s="12"/>
      <c r="SDO18" s="13"/>
      <c r="SDU18" s="4"/>
      <c r="SDV18" s="12"/>
      <c r="SDW18" s="13"/>
      <c r="SEC18" s="4"/>
      <c r="SED18" s="12"/>
      <c r="SEE18" s="13"/>
      <c r="SEK18" s="4"/>
      <c r="SEL18" s="12"/>
      <c r="SEM18" s="13"/>
      <c r="SES18" s="4"/>
      <c r="SET18" s="12"/>
      <c r="SEU18" s="13"/>
      <c r="SFA18" s="4"/>
      <c r="SFB18" s="12"/>
      <c r="SFC18" s="13"/>
      <c r="SFI18" s="4"/>
      <c r="SFJ18" s="12"/>
      <c r="SFK18" s="13"/>
      <c r="SFQ18" s="4"/>
      <c r="SFR18" s="12"/>
      <c r="SFS18" s="13"/>
      <c r="SFY18" s="4"/>
      <c r="SFZ18" s="12"/>
      <c r="SGA18" s="13"/>
      <c r="SGG18" s="4"/>
      <c r="SGH18" s="12"/>
      <c r="SGI18" s="13"/>
      <c r="SGO18" s="4"/>
      <c r="SGP18" s="12"/>
      <c r="SGQ18" s="13"/>
      <c r="SGW18" s="4"/>
      <c r="SGX18" s="12"/>
      <c r="SGY18" s="13"/>
      <c r="SHE18" s="4"/>
      <c r="SHF18" s="12"/>
      <c r="SHG18" s="13"/>
      <c r="SHM18" s="4"/>
      <c r="SHN18" s="12"/>
      <c r="SHO18" s="13"/>
      <c r="SHU18" s="4"/>
      <c r="SHV18" s="12"/>
      <c r="SHW18" s="13"/>
      <c r="SIC18" s="4"/>
      <c r="SID18" s="12"/>
      <c r="SIE18" s="13"/>
      <c r="SIK18" s="4"/>
      <c r="SIL18" s="12"/>
      <c r="SIM18" s="13"/>
      <c r="SIS18" s="4"/>
      <c r="SIT18" s="12"/>
      <c r="SIU18" s="13"/>
      <c r="SJA18" s="4"/>
      <c r="SJB18" s="12"/>
      <c r="SJC18" s="13"/>
      <c r="SJI18" s="4"/>
      <c r="SJJ18" s="12"/>
      <c r="SJK18" s="13"/>
      <c r="SJQ18" s="4"/>
      <c r="SJR18" s="12"/>
      <c r="SJS18" s="13"/>
      <c r="SJY18" s="4"/>
      <c r="SJZ18" s="12"/>
      <c r="SKA18" s="13"/>
      <c r="SKG18" s="4"/>
      <c r="SKH18" s="12"/>
      <c r="SKI18" s="13"/>
      <c r="SKO18" s="4"/>
      <c r="SKP18" s="12"/>
      <c r="SKQ18" s="13"/>
      <c r="SKW18" s="4"/>
      <c r="SKX18" s="12"/>
      <c r="SKY18" s="13"/>
      <c r="SLE18" s="4"/>
      <c r="SLF18" s="12"/>
      <c r="SLG18" s="13"/>
      <c r="SLM18" s="4"/>
      <c r="SLN18" s="12"/>
      <c r="SLO18" s="13"/>
      <c r="SLU18" s="4"/>
      <c r="SLV18" s="12"/>
      <c r="SLW18" s="13"/>
      <c r="SMC18" s="4"/>
      <c r="SMD18" s="12"/>
      <c r="SME18" s="13"/>
      <c r="SMK18" s="4"/>
      <c r="SML18" s="12"/>
      <c r="SMM18" s="13"/>
      <c r="SMS18" s="4"/>
      <c r="SMT18" s="12"/>
      <c r="SMU18" s="13"/>
      <c r="SNA18" s="4"/>
      <c r="SNB18" s="12"/>
      <c r="SNC18" s="13"/>
      <c r="SNI18" s="4"/>
      <c r="SNJ18" s="12"/>
      <c r="SNK18" s="13"/>
      <c r="SNQ18" s="4"/>
      <c r="SNR18" s="12"/>
      <c r="SNS18" s="13"/>
      <c r="SNY18" s="4"/>
      <c r="SNZ18" s="12"/>
      <c r="SOA18" s="13"/>
      <c r="SOG18" s="4"/>
      <c r="SOH18" s="12"/>
      <c r="SOI18" s="13"/>
      <c r="SOO18" s="4"/>
      <c r="SOP18" s="12"/>
      <c r="SOQ18" s="13"/>
      <c r="SOW18" s="4"/>
      <c r="SOX18" s="12"/>
      <c r="SOY18" s="13"/>
      <c r="SPE18" s="4"/>
      <c r="SPF18" s="12"/>
      <c r="SPG18" s="13"/>
      <c r="SPM18" s="4"/>
      <c r="SPN18" s="12"/>
      <c r="SPO18" s="13"/>
      <c r="SPU18" s="4"/>
      <c r="SPV18" s="12"/>
      <c r="SPW18" s="13"/>
      <c r="SQC18" s="4"/>
      <c r="SQD18" s="12"/>
      <c r="SQE18" s="13"/>
      <c r="SQK18" s="4"/>
      <c r="SQL18" s="12"/>
      <c r="SQM18" s="13"/>
      <c r="SQS18" s="4"/>
      <c r="SQT18" s="12"/>
      <c r="SQU18" s="13"/>
      <c r="SRA18" s="4"/>
      <c r="SRB18" s="12"/>
      <c r="SRC18" s="13"/>
      <c r="SRI18" s="4"/>
      <c r="SRJ18" s="12"/>
      <c r="SRK18" s="13"/>
      <c r="SRQ18" s="4"/>
      <c r="SRR18" s="12"/>
      <c r="SRS18" s="13"/>
      <c r="SRY18" s="4"/>
      <c r="SRZ18" s="12"/>
      <c r="SSA18" s="13"/>
      <c r="SSG18" s="4"/>
      <c r="SSH18" s="12"/>
      <c r="SSI18" s="13"/>
      <c r="SSO18" s="4"/>
      <c r="SSP18" s="12"/>
      <c r="SSQ18" s="13"/>
      <c r="SSW18" s="4"/>
      <c r="SSX18" s="12"/>
      <c r="SSY18" s="13"/>
      <c r="STE18" s="4"/>
      <c r="STF18" s="12"/>
      <c r="STG18" s="13"/>
      <c r="STM18" s="4"/>
      <c r="STN18" s="12"/>
      <c r="STO18" s="13"/>
      <c r="STU18" s="4"/>
      <c r="STV18" s="12"/>
      <c r="STW18" s="13"/>
      <c r="SUC18" s="4"/>
      <c r="SUD18" s="12"/>
      <c r="SUE18" s="13"/>
      <c r="SUK18" s="4"/>
      <c r="SUL18" s="12"/>
      <c r="SUM18" s="13"/>
      <c r="SUS18" s="4"/>
      <c r="SUT18" s="12"/>
      <c r="SUU18" s="13"/>
      <c r="SVA18" s="4"/>
      <c r="SVB18" s="12"/>
      <c r="SVC18" s="13"/>
      <c r="SVI18" s="4"/>
      <c r="SVJ18" s="12"/>
      <c r="SVK18" s="13"/>
      <c r="SVQ18" s="4"/>
      <c r="SVR18" s="12"/>
      <c r="SVS18" s="13"/>
      <c r="SVY18" s="4"/>
      <c r="SVZ18" s="12"/>
      <c r="SWA18" s="13"/>
      <c r="SWG18" s="4"/>
      <c r="SWH18" s="12"/>
      <c r="SWI18" s="13"/>
      <c r="SWO18" s="4"/>
      <c r="SWP18" s="12"/>
      <c r="SWQ18" s="13"/>
      <c r="SWW18" s="4"/>
      <c r="SWX18" s="12"/>
      <c r="SWY18" s="13"/>
      <c r="SXE18" s="4"/>
      <c r="SXF18" s="12"/>
      <c r="SXG18" s="13"/>
      <c r="SXM18" s="4"/>
      <c r="SXN18" s="12"/>
      <c r="SXO18" s="13"/>
      <c r="SXU18" s="4"/>
      <c r="SXV18" s="12"/>
      <c r="SXW18" s="13"/>
      <c r="SYC18" s="4"/>
      <c r="SYD18" s="12"/>
      <c r="SYE18" s="13"/>
      <c r="SYK18" s="4"/>
      <c r="SYL18" s="12"/>
      <c r="SYM18" s="13"/>
      <c r="SYS18" s="4"/>
      <c r="SYT18" s="12"/>
      <c r="SYU18" s="13"/>
      <c r="SZA18" s="4"/>
      <c r="SZB18" s="12"/>
      <c r="SZC18" s="13"/>
      <c r="SZI18" s="4"/>
      <c r="SZJ18" s="12"/>
      <c r="SZK18" s="13"/>
      <c r="SZQ18" s="4"/>
      <c r="SZR18" s="12"/>
      <c r="SZS18" s="13"/>
      <c r="SZY18" s="4"/>
      <c r="SZZ18" s="12"/>
      <c r="TAA18" s="13"/>
      <c r="TAG18" s="4"/>
      <c r="TAH18" s="12"/>
      <c r="TAI18" s="13"/>
      <c r="TAO18" s="4"/>
      <c r="TAP18" s="12"/>
      <c r="TAQ18" s="13"/>
      <c r="TAW18" s="4"/>
      <c r="TAX18" s="12"/>
      <c r="TAY18" s="13"/>
      <c r="TBE18" s="4"/>
      <c r="TBF18" s="12"/>
      <c r="TBG18" s="13"/>
      <c r="TBM18" s="4"/>
      <c r="TBN18" s="12"/>
      <c r="TBO18" s="13"/>
      <c r="TBU18" s="4"/>
      <c r="TBV18" s="12"/>
      <c r="TBW18" s="13"/>
      <c r="TCC18" s="4"/>
      <c r="TCD18" s="12"/>
      <c r="TCE18" s="13"/>
      <c r="TCK18" s="4"/>
      <c r="TCL18" s="12"/>
      <c r="TCM18" s="13"/>
      <c r="TCS18" s="4"/>
      <c r="TCT18" s="12"/>
      <c r="TCU18" s="13"/>
      <c r="TDA18" s="4"/>
      <c r="TDB18" s="12"/>
      <c r="TDC18" s="13"/>
      <c r="TDI18" s="4"/>
      <c r="TDJ18" s="12"/>
      <c r="TDK18" s="13"/>
      <c r="TDQ18" s="4"/>
      <c r="TDR18" s="12"/>
      <c r="TDS18" s="13"/>
      <c r="TDY18" s="4"/>
      <c r="TDZ18" s="12"/>
      <c r="TEA18" s="13"/>
      <c r="TEG18" s="4"/>
      <c r="TEH18" s="12"/>
      <c r="TEI18" s="13"/>
      <c r="TEO18" s="4"/>
      <c r="TEP18" s="12"/>
      <c r="TEQ18" s="13"/>
      <c r="TEW18" s="4"/>
      <c r="TEX18" s="12"/>
      <c r="TEY18" s="13"/>
      <c r="TFE18" s="4"/>
      <c r="TFF18" s="12"/>
      <c r="TFG18" s="13"/>
      <c r="TFM18" s="4"/>
      <c r="TFN18" s="12"/>
      <c r="TFO18" s="13"/>
      <c r="TFU18" s="4"/>
      <c r="TFV18" s="12"/>
      <c r="TFW18" s="13"/>
      <c r="TGC18" s="4"/>
      <c r="TGD18" s="12"/>
      <c r="TGE18" s="13"/>
      <c r="TGK18" s="4"/>
      <c r="TGL18" s="12"/>
      <c r="TGM18" s="13"/>
      <c r="TGS18" s="4"/>
      <c r="TGT18" s="12"/>
      <c r="TGU18" s="13"/>
      <c r="THA18" s="4"/>
      <c r="THB18" s="12"/>
      <c r="THC18" s="13"/>
      <c r="THI18" s="4"/>
      <c r="THJ18" s="12"/>
      <c r="THK18" s="13"/>
      <c r="THQ18" s="4"/>
      <c r="THR18" s="12"/>
      <c r="THS18" s="13"/>
      <c r="THY18" s="4"/>
      <c r="THZ18" s="12"/>
      <c r="TIA18" s="13"/>
      <c r="TIG18" s="4"/>
      <c r="TIH18" s="12"/>
      <c r="TII18" s="13"/>
      <c r="TIO18" s="4"/>
      <c r="TIP18" s="12"/>
      <c r="TIQ18" s="13"/>
      <c r="TIW18" s="4"/>
      <c r="TIX18" s="12"/>
      <c r="TIY18" s="13"/>
      <c r="TJE18" s="4"/>
      <c r="TJF18" s="12"/>
      <c r="TJG18" s="13"/>
      <c r="TJM18" s="4"/>
      <c r="TJN18" s="12"/>
      <c r="TJO18" s="13"/>
      <c r="TJU18" s="4"/>
      <c r="TJV18" s="12"/>
      <c r="TJW18" s="13"/>
      <c r="TKC18" s="4"/>
      <c r="TKD18" s="12"/>
      <c r="TKE18" s="13"/>
      <c r="TKK18" s="4"/>
      <c r="TKL18" s="12"/>
      <c r="TKM18" s="13"/>
      <c r="TKS18" s="4"/>
      <c r="TKT18" s="12"/>
      <c r="TKU18" s="13"/>
      <c r="TLA18" s="4"/>
      <c r="TLB18" s="12"/>
      <c r="TLC18" s="13"/>
      <c r="TLI18" s="4"/>
      <c r="TLJ18" s="12"/>
      <c r="TLK18" s="13"/>
      <c r="TLQ18" s="4"/>
      <c r="TLR18" s="12"/>
      <c r="TLS18" s="13"/>
      <c r="TLY18" s="4"/>
      <c r="TLZ18" s="12"/>
      <c r="TMA18" s="13"/>
      <c r="TMG18" s="4"/>
      <c r="TMH18" s="12"/>
      <c r="TMI18" s="13"/>
      <c r="TMO18" s="4"/>
      <c r="TMP18" s="12"/>
      <c r="TMQ18" s="13"/>
      <c r="TMW18" s="4"/>
      <c r="TMX18" s="12"/>
      <c r="TMY18" s="13"/>
      <c r="TNE18" s="4"/>
      <c r="TNF18" s="12"/>
      <c r="TNG18" s="13"/>
      <c r="TNM18" s="4"/>
      <c r="TNN18" s="12"/>
      <c r="TNO18" s="13"/>
      <c r="TNU18" s="4"/>
      <c r="TNV18" s="12"/>
      <c r="TNW18" s="13"/>
      <c r="TOC18" s="4"/>
      <c r="TOD18" s="12"/>
      <c r="TOE18" s="13"/>
      <c r="TOK18" s="4"/>
      <c r="TOL18" s="12"/>
      <c r="TOM18" s="13"/>
      <c r="TOS18" s="4"/>
      <c r="TOT18" s="12"/>
      <c r="TOU18" s="13"/>
      <c r="TPA18" s="4"/>
      <c r="TPB18" s="12"/>
      <c r="TPC18" s="13"/>
      <c r="TPI18" s="4"/>
      <c r="TPJ18" s="12"/>
      <c r="TPK18" s="13"/>
      <c r="TPQ18" s="4"/>
      <c r="TPR18" s="12"/>
      <c r="TPS18" s="13"/>
      <c r="TPY18" s="4"/>
      <c r="TPZ18" s="12"/>
      <c r="TQA18" s="13"/>
      <c r="TQG18" s="4"/>
      <c r="TQH18" s="12"/>
      <c r="TQI18" s="13"/>
      <c r="TQO18" s="4"/>
      <c r="TQP18" s="12"/>
      <c r="TQQ18" s="13"/>
      <c r="TQW18" s="4"/>
      <c r="TQX18" s="12"/>
      <c r="TQY18" s="13"/>
      <c r="TRE18" s="4"/>
      <c r="TRF18" s="12"/>
      <c r="TRG18" s="13"/>
      <c r="TRM18" s="4"/>
      <c r="TRN18" s="12"/>
      <c r="TRO18" s="13"/>
      <c r="TRU18" s="4"/>
      <c r="TRV18" s="12"/>
      <c r="TRW18" s="13"/>
      <c r="TSC18" s="4"/>
      <c r="TSD18" s="12"/>
      <c r="TSE18" s="13"/>
      <c r="TSK18" s="4"/>
      <c r="TSL18" s="12"/>
      <c r="TSM18" s="13"/>
      <c r="TSS18" s="4"/>
      <c r="TST18" s="12"/>
      <c r="TSU18" s="13"/>
      <c r="TTA18" s="4"/>
      <c r="TTB18" s="12"/>
      <c r="TTC18" s="13"/>
      <c r="TTI18" s="4"/>
      <c r="TTJ18" s="12"/>
      <c r="TTK18" s="13"/>
      <c r="TTQ18" s="4"/>
      <c r="TTR18" s="12"/>
      <c r="TTS18" s="13"/>
      <c r="TTY18" s="4"/>
      <c r="TTZ18" s="12"/>
      <c r="TUA18" s="13"/>
      <c r="TUG18" s="4"/>
      <c r="TUH18" s="12"/>
      <c r="TUI18" s="13"/>
      <c r="TUO18" s="4"/>
      <c r="TUP18" s="12"/>
      <c r="TUQ18" s="13"/>
      <c r="TUW18" s="4"/>
      <c r="TUX18" s="12"/>
      <c r="TUY18" s="13"/>
      <c r="TVE18" s="4"/>
      <c r="TVF18" s="12"/>
      <c r="TVG18" s="13"/>
      <c r="TVM18" s="4"/>
      <c r="TVN18" s="12"/>
      <c r="TVO18" s="13"/>
      <c r="TVU18" s="4"/>
      <c r="TVV18" s="12"/>
      <c r="TVW18" s="13"/>
      <c r="TWC18" s="4"/>
      <c r="TWD18" s="12"/>
      <c r="TWE18" s="13"/>
      <c r="TWK18" s="4"/>
      <c r="TWL18" s="12"/>
      <c r="TWM18" s="13"/>
      <c r="TWS18" s="4"/>
      <c r="TWT18" s="12"/>
      <c r="TWU18" s="13"/>
      <c r="TXA18" s="4"/>
      <c r="TXB18" s="12"/>
      <c r="TXC18" s="13"/>
      <c r="TXI18" s="4"/>
      <c r="TXJ18" s="12"/>
      <c r="TXK18" s="13"/>
      <c r="TXQ18" s="4"/>
      <c r="TXR18" s="12"/>
      <c r="TXS18" s="13"/>
      <c r="TXY18" s="4"/>
      <c r="TXZ18" s="12"/>
      <c r="TYA18" s="13"/>
      <c r="TYG18" s="4"/>
      <c r="TYH18" s="12"/>
      <c r="TYI18" s="13"/>
      <c r="TYO18" s="4"/>
      <c r="TYP18" s="12"/>
      <c r="TYQ18" s="13"/>
      <c r="TYW18" s="4"/>
      <c r="TYX18" s="12"/>
      <c r="TYY18" s="13"/>
      <c r="TZE18" s="4"/>
      <c r="TZF18" s="12"/>
      <c r="TZG18" s="13"/>
      <c r="TZM18" s="4"/>
      <c r="TZN18" s="12"/>
      <c r="TZO18" s="13"/>
      <c r="TZU18" s="4"/>
      <c r="TZV18" s="12"/>
      <c r="TZW18" s="13"/>
      <c r="UAC18" s="4"/>
      <c r="UAD18" s="12"/>
      <c r="UAE18" s="13"/>
      <c r="UAK18" s="4"/>
      <c r="UAL18" s="12"/>
      <c r="UAM18" s="13"/>
      <c r="UAS18" s="4"/>
      <c r="UAT18" s="12"/>
      <c r="UAU18" s="13"/>
      <c r="UBA18" s="4"/>
      <c r="UBB18" s="12"/>
      <c r="UBC18" s="13"/>
      <c r="UBI18" s="4"/>
      <c r="UBJ18" s="12"/>
      <c r="UBK18" s="13"/>
      <c r="UBQ18" s="4"/>
      <c r="UBR18" s="12"/>
      <c r="UBS18" s="13"/>
      <c r="UBY18" s="4"/>
      <c r="UBZ18" s="12"/>
      <c r="UCA18" s="13"/>
      <c r="UCG18" s="4"/>
      <c r="UCH18" s="12"/>
      <c r="UCI18" s="13"/>
      <c r="UCO18" s="4"/>
      <c r="UCP18" s="12"/>
      <c r="UCQ18" s="13"/>
      <c r="UCW18" s="4"/>
      <c r="UCX18" s="12"/>
      <c r="UCY18" s="13"/>
      <c r="UDE18" s="4"/>
      <c r="UDF18" s="12"/>
      <c r="UDG18" s="13"/>
      <c r="UDM18" s="4"/>
      <c r="UDN18" s="12"/>
      <c r="UDO18" s="13"/>
      <c r="UDU18" s="4"/>
      <c r="UDV18" s="12"/>
      <c r="UDW18" s="13"/>
      <c r="UEC18" s="4"/>
      <c r="UED18" s="12"/>
      <c r="UEE18" s="13"/>
      <c r="UEK18" s="4"/>
      <c r="UEL18" s="12"/>
      <c r="UEM18" s="13"/>
      <c r="UES18" s="4"/>
      <c r="UET18" s="12"/>
      <c r="UEU18" s="13"/>
      <c r="UFA18" s="4"/>
      <c r="UFB18" s="12"/>
      <c r="UFC18" s="13"/>
      <c r="UFI18" s="4"/>
      <c r="UFJ18" s="12"/>
      <c r="UFK18" s="13"/>
      <c r="UFQ18" s="4"/>
      <c r="UFR18" s="12"/>
      <c r="UFS18" s="13"/>
      <c r="UFY18" s="4"/>
      <c r="UFZ18" s="12"/>
      <c r="UGA18" s="13"/>
      <c r="UGG18" s="4"/>
      <c r="UGH18" s="12"/>
      <c r="UGI18" s="13"/>
      <c r="UGO18" s="4"/>
      <c r="UGP18" s="12"/>
      <c r="UGQ18" s="13"/>
      <c r="UGW18" s="4"/>
      <c r="UGX18" s="12"/>
      <c r="UGY18" s="13"/>
      <c r="UHE18" s="4"/>
      <c r="UHF18" s="12"/>
      <c r="UHG18" s="13"/>
      <c r="UHM18" s="4"/>
      <c r="UHN18" s="12"/>
      <c r="UHO18" s="13"/>
      <c r="UHU18" s="4"/>
      <c r="UHV18" s="12"/>
      <c r="UHW18" s="13"/>
      <c r="UIC18" s="4"/>
      <c r="UID18" s="12"/>
      <c r="UIE18" s="13"/>
      <c r="UIK18" s="4"/>
      <c r="UIL18" s="12"/>
      <c r="UIM18" s="13"/>
      <c r="UIS18" s="4"/>
      <c r="UIT18" s="12"/>
      <c r="UIU18" s="13"/>
      <c r="UJA18" s="4"/>
      <c r="UJB18" s="12"/>
      <c r="UJC18" s="13"/>
      <c r="UJI18" s="4"/>
      <c r="UJJ18" s="12"/>
      <c r="UJK18" s="13"/>
      <c r="UJQ18" s="4"/>
      <c r="UJR18" s="12"/>
      <c r="UJS18" s="13"/>
      <c r="UJY18" s="4"/>
      <c r="UJZ18" s="12"/>
      <c r="UKA18" s="13"/>
      <c r="UKG18" s="4"/>
      <c r="UKH18" s="12"/>
      <c r="UKI18" s="13"/>
      <c r="UKO18" s="4"/>
      <c r="UKP18" s="12"/>
      <c r="UKQ18" s="13"/>
      <c r="UKW18" s="4"/>
      <c r="UKX18" s="12"/>
      <c r="UKY18" s="13"/>
      <c r="ULE18" s="4"/>
      <c r="ULF18" s="12"/>
      <c r="ULG18" s="13"/>
      <c r="ULM18" s="4"/>
      <c r="ULN18" s="12"/>
      <c r="ULO18" s="13"/>
      <c r="ULU18" s="4"/>
      <c r="ULV18" s="12"/>
      <c r="ULW18" s="13"/>
      <c r="UMC18" s="4"/>
      <c r="UMD18" s="12"/>
      <c r="UME18" s="13"/>
      <c r="UMK18" s="4"/>
      <c r="UML18" s="12"/>
      <c r="UMM18" s="13"/>
      <c r="UMS18" s="4"/>
      <c r="UMT18" s="12"/>
      <c r="UMU18" s="13"/>
      <c r="UNA18" s="4"/>
      <c r="UNB18" s="12"/>
      <c r="UNC18" s="13"/>
      <c r="UNI18" s="4"/>
      <c r="UNJ18" s="12"/>
      <c r="UNK18" s="13"/>
      <c r="UNQ18" s="4"/>
      <c r="UNR18" s="12"/>
      <c r="UNS18" s="13"/>
      <c r="UNY18" s="4"/>
      <c r="UNZ18" s="12"/>
      <c r="UOA18" s="13"/>
      <c r="UOG18" s="4"/>
      <c r="UOH18" s="12"/>
      <c r="UOI18" s="13"/>
      <c r="UOO18" s="4"/>
      <c r="UOP18" s="12"/>
      <c r="UOQ18" s="13"/>
      <c r="UOW18" s="4"/>
      <c r="UOX18" s="12"/>
      <c r="UOY18" s="13"/>
      <c r="UPE18" s="4"/>
      <c r="UPF18" s="12"/>
      <c r="UPG18" s="13"/>
      <c r="UPM18" s="4"/>
      <c r="UPN18" s="12"/>
      <c r="UPO18" s="13"/>
      <c r="UPU18" s="4"/>
      <c r="UPV18" s="12"/>
      <c r="UPW18" s="13"/>
      <c r="UQC18" s="4"/>
      <c r="UQD18" s="12"/>
      <c r="UQE18" s="13"/>
      <c r="UQK18" s="4"/>
      <c r="UQL18" s="12"/>
      <c r="UQM18" s="13"/>
      <c r="UQS18" s="4"/>
      <c r="UQT18" s="12"/>
      <c r="UQU18" s="13"/>
      <c r="URA18" s="4"/>
      <c r="URB18" s="12"/>
      <c r="URC18" s="13"/>
      <c r="URI18" s="4"/>
      <c r="URJ18" s="12"/>
      <c r="URK18" s="13"/>
      <c r="URQ18" s="4"/>
      <c r="URR18" s="12"/>
      <c r="URS18" s="13"/>
      <c r="URY18" s="4"/>
      <c r="URZ18" s="12"/>
      <c r="USA18" s="13"/>
      <c r="USG18" s="4"/>
      <c r="USH18" s="12"/>
      <c r="USI18" s="13"/>
      <c r="USO18" s="4"/>
      <c r="USP18" s="12"/>
      <c r="USQ18" s="13"/>
      <c r="USW18" s="4"/>
      <c r="USX18" s="12"/>
      <c r="USY18" s="13"/>
      <c r="UTE18" s="4"/>
      <c r="UTF18" s="12"/>
      <c r="UTG18" s="13"/>
      <c r="UTM18" s="4"/>
      <c r="UTN18" s="12"/>
      <c r="UTO18" s="13"/>
      <c r="UTU18" s="4"/>
      <c r="UTV18" s="12"/>
      <c r="UTW18" s="13"/>
      <c r="UUC18" s="4"/>
      <c r="UUD18" s="12"/>
      <c r="UUE18" s="13"/>
      <c r="UUK18" s="4"/>
      <c r="UUL18" s="12"/>
      <c r="UUM18" s="13"/>
      <c r="UUS18" s="4"/>
      <c r="UUT18" s="12"/>
      <c r="UUU18" s="13"/>
      <c r="UVA18" s="4"/>
      <c r="UVB18" s="12"/>
      <c r="UVC18" s="13"/>
      <c r="UVI18" s="4"/>
      <c r="UVJ18" s="12"/>
      <c r="UVK18" s="13"/>
      <c r="UVQ18" s="4"/>
      <c r="UVR18" s="12"/>
      <c r="UVS18" s="13"/>
      <c r="UVY18" s="4"/>
      <c r="UVZ18" s="12"/>
      <c r="UWA18" s="13"/>
      <c r="UWG18" s="4"/>
      <c r="UWH18" s="12"/>
      <c r="UWI18" s="13"/>
      <c r="UWO18" s="4"/>
      <c r="UWP18" s="12"/>
      <c r="UWQ18" s="13"/>
      <c r="UWW18" s="4"/>
      <c r="UWX18" s="12"/>
      <c r="UWY18" s="13"/>
      <c r="UXE18" s="4"/>
      <c r="UXF18" s="12"/>
      <c r="UXG18" s="13"/>
      <c r="UXM18" s="4"/>
      <c r="UXN18" s="12"/>
      <c r="UXO18" s="13"/>
      <c r="UXU18" s="4"/>
      <c r="UXV18" s="12"/>
      <c r="UXW18" s="13"/>
      <c r="UYC18" s="4"/>
      <c r="UYD18" s="12"/>
      <c r="UYE18" s="13"/>
      <c r="UYK18" s="4"/>
      <c r="UYL18" s="12"/>
      <c r="UYM18" s="13"/>
      <c r="UYS18" s="4"/>
      <c r="UYT18" s="12"/>
      <c r="UYU18" s="13"/>
      <c r="UZA18" s="4"/>
      <c r="UZB18" s="12"/>
      <c r="UZC18" s="13"/>
      <c r="UZI18" s="4"/>
      <c r="UZJ18" s="12"/>
      <c r="UZK18" s="13"/>
      <c r="UZQ18" s="4"/>
      <c r="UZR18" s="12"/>
      <c r="UZS18" s="13"/>
      <c r="UZY18" s="4"/>
      <c r="UZZ18" s="12"/>
      <c r="VAA18" s="13"/>
      <c r="VAG18" s="4"/>
      <c r="VAH18" s="12"/>
      <c r="VAI18" s="13"/>
      <c r="VAO18" s="4"/>
      <c r="VAP18" s="12"/>
      <c r="VAQ18" s="13"/>
      <c r="VAW18" s="4"/>
      <c r="VAX18" s="12"/>
      <c r="VAY18" s="13"/>
      <c r="VBE18" s="4"/>
      <c r="VBF18" s="12"/>
      <c r="VBG18" s="13"/>
      <c r="VBM18" s="4"/>
      <c r="VBN18" s="12"/>
      <c r="VBO18" s="13"/>
      <c r="VBU18" s="4"/>
      <c r="VBV18" s="12"/>
      <c r="VBW18" s="13"/>
      <c r="VCC18" s="4"/>
      <c r="VCD18" s="12"/>
      <c r="VCE18" s="13"/>
      <c r="VCK18" s="4"/>
      <c r="VCL18" s="12"/>
      <c r="VCM18" s="13"/>
      <c r="VCS18" s="4"/>
      <c r="VCT18" s="12"/>
      <c r="VCU18" s="13"/>
      <c r="VDA18" s="4"/>
      <c r="VDB18" s="12"/>
      <c r="VDC18" s="13"/>
      <c r="VDI18" s="4"/>
      <c r="VDJ18" s="12"/>
      <c r="VDK18" s="13"/>
      <c r="VDQ18" s="4"/>
      <c r="VDR18" s="12"/>
      <c r="VDS18" s="13"/>
      <c r="VDY18" s="4"/>
      <c r="VDZ18" s="12"/>
      <c r="VEA18" s="13"/>
      <c r="VEG18" s="4"/>
      <c r="VEH18" s="12"/>
      <c r="VEI18" s="13"/>
      <c r="VEO18" s="4"/>
      <c r="VEP18" s="12"/>
      <c r="VEQ18" s="13"/>
      <c r="VEW18" s="4"/>
      <c r="VEX18" s="12"/>
      <c r="VEY18" s="13"/>
      <c r="VFE18" s="4"/>
      <c r="VFF18" s="12"/>
      <c r="VFG18" s="13"/>
      <c r="VFM18" s="4"/>
      <c r="VFN18" s="12"/>
      <c r="VFO18" s="13"/>
      <c r="VFU18" s="4"/>
      <c r="VFV18" s="12"/>
      <c r="VFW18" s="13"/>
      <c r="VGC18" s="4"/>
      <c r="VGD18" s="12"/>
      <c r="VGE18" s="13"/>
      <c r="VGK18" s="4"/>
      <c r="VGL18" s="12"/>
      <c r="VGM18" s="13"/>
      <c r="VGS18" s="4"/>
      <c r="VGT18" s="12"/>
      <c r="VGU18" s="13"/>
      <c r="VHA18" s="4"/>
      <c r="VHB18" s="12"/>
      <c r="VHC18" s="13"/>
      <c r="VHI18" s="4"/>
      <c r="VHJ18" s="12"/>
      <c r="VHK18" s="13"/>
      <c r="VHQ18" s="4"/>
      <c r="VHR18" s="12"/>
      <c r="VHS18" s="13"/>
      <c r="VHY18" s="4"/>
      <c r="VHZ18" s="12"/>
      <c r="VIA18" s="13"/>
      <c r="VIG18" s="4"/>
      <c r="VIH18" s="12"/>
      <c r="VII18" s="13"/>
      <c r="VIO18" s="4"/>
      <c r="VIP18" s="12"/>
      <c r="VIQ18" s="13"/>
      <c r="VIW18" s="4"/>
      <c r="VIX18" s="12"/>
      <c r="VIY18" s="13"/>
      <c r="VJE18" s="4"/>
      <c r="VJF18" s="12"/>
      <c r="VJG18" s="13"/>
      <c r="VJM18" s="4"/>
      <c r="VJN18" s="12"/>
      <c r="VJO18" s="13"/>
      <c r="VJU18" s="4"/>
      <c r="VJV18" s="12"/>
      <c r="VJW18" s="13"/>
      <c r="VKC18" s="4"/>
      <c r="VKD18" s="12"/>
      <c r="VKE18" s="13"/>
      <c r="VKK18" s="4"/>
      <c r="VKL18" s="12"/>
      <c r="VKM18" s="13"/>
      <c r="VKS18" s="4"/>
      <c r="VKT18" s="12"/>
      <c r="VKU18" s="13"/>
      <c r="VLA18" s="4"/>
      <c r="VLB18" s="12"/>
      <c r="VLC18" s="13"/>
      <c r="VLI18" s="4"/>
      <c r="VLJ18" s="12"/>
      <c r="VLK18" s="13"/>
      <c r="VLQ18" s="4"/>
      <c r="VLR18" s="12"/>
      <c r="VLS18" s="13"/>
      <c r="VLY18" s="4"/>
      <c r="VLZ18" s="12"/>
      <c r="VMA18" s="13"/>
      <c r="VMG18" s="4"/>
      <c r="VMH18" s="12"/>
      <c r="VMI18" s="13"/>
      <c r="VMO18" s="4"/>
      <c r="VMP18" s="12"/>
      <c r="VMQ18" s="13"/>
      <c r="VMW18" s="4"/>
      <c r="VMX18" s="12"/>
      <c r="VMY18" s="13"/>
      <c r="VNE18" s="4"/>
      <c r="VNF18" s="12"/>
      <c r="VNG18" s="13"/>
      <c r="VNM18" s="4"/>
      <c r="VNN18" s="12"/>
      <c r="VNO18" s="13"/>
      <c r="VNU18" s="4"/>
      <c r="VNV18" s="12"/>
      <c r="VNW18" s="13"/>
      <c r="VOC18" s="4"/>
      <c r="VOD18" s="12"/>
      <c r="VOE18" s="13"/>
      <c r="VOK18" s="4"/>
      <c r="VOL18" s="12"/>
      <c r="VOM18" s="13"/>
      <c r="VOS18" s="4"/>
      <c r="VOT18" s="12"/>
      <c r="VOU18" s="13"/>
      <c r="VPA18" s="4"/>
      <c r="VPB18" s="12"/>
      <c r="VPC18" s="13"/>
      <c r="VPI18" s="4"/>
      <c r="VPJ18" s="12"/>
      <c r="VPK18" s="13"/>
      <c r="VPQ18" s="4"/>
      <c r="VPR18" s="12"/>
      <c r="VPS18" s="13"/>
      <c r="VPY18" s="4"/>
      <c r="VPZ18" s="12"/>
      <c r="VQA18" s="13"/>
      <c r="VQG18" s="4"/>
      <c r="VQH18" s="12"/>
      <c r="VQI18" s="13"/>
      <c r="VQO18" s="4"/>
      <c r="VQP18" s="12"/>
      <c r="VQQ18" s="13"/>
      <c r="VQW18" s="4"/>
      <c r="VQX18" s="12"/>
      <c r="VQY18" s="13"/>
      <c r="VRE18" s="4"/>
      <c r="VRF18" s="12"/>
      <c r="VRG18" s="13"/>
      <c r="VRM18" s="4"/>
      <c r="VRN18" s="12"/>
      <c r="VRO18" s="13"/>
      <c r="VRU18" s="4"/>
      <c r="VRV18" s="12"/>
      <c r="VRW18" s="13"/>
      <c r="VSC18" s="4"/>
      <c r="VSD18" s="12"/>
      <c r="VSE18" s="13"/>
      <c r="VSK18" s="4"/>
      <c r="VSL18" s="12"/>
      <c r="VSM18" s="13"/>
      <c r="VSS18" s="4"/>
      <c r="VST18" s="12"/>
      <c r="VSU18" s="13"/>
      <c r="VTA18" s="4"/>
      <c r="VTB18" s="12"/>
      <c r="VTC18" s="13"/>
      <c r="VTI18" s="4"/>
      <c r="VTJ18" s="12"/>
      <c r="VTK18" s="13"/>
      <c r="VTQ18" s="4"/>
      <c r="VTR18" s="12"/>
      <c r="VTS18" s="13"/>
      <c r="VTY18" s="4"/>
      <c r="VTZ18" s="12"/>
      <c r="VUA18" s="13"/>
      <c r="VUG18" s="4"/>
      <c r="VUH18" s="12"/>
      <c r="VUI18" s="13"/>
      <c r="VUO18" s="4"/>
      <c r="VUP18" s="12"/>
      <c r="VUQ18" s="13"/>
      <c r="VUW18" s="4"/>
      <c r="VUX18" s="12"/>
      <c r="VUY18" s="13"/>
      <c r="VVE18" s="4"/>
      <c r="VVF18" s="12"/>
      <c r="VVG18" s="13"/>
      <c r="VVM18" s="4"/>
      <c r="VVN18" s="12"/>
      <c r="VVO18" s="13"/>
      <c r="VVU18" s="4"/>
      <c r="VVV18" s="12"/>
      <c r="VVW18" s="13"/>
      <c r="VWC18" s="4"/>
      <c r="VWD18" s="12"/>
      <c r="VWE18" s="13"/>
      <c r="VWK18" s="4"/>
      <c r="VWL18" s="12"/>
      <c r="VWM18" s="13"/>
      <c r="VWS18" s="4"/>
      <c r="VWT18" s="12"/>
      <c r="VWU18" s="13"/>
      <c r="VXA18" s="4"/>
      <c r="VXB18" s="12"/>
      <c r="VXC18" s="13"/>
      <c r="VXI18" s="4"/>
      <c r="VXJ18" s="12"/>
      <c r="VXK18" s="13"/>
      <c r="VXQ18" s="4"/>
      <c r="VXR18" s="12"/>
      <c r="VXS18" s="13"/>
      <c r="VXY18" s="4"/>
      <c r="VXZ18" s="12"/>
      <c r="VYA18" s="13"/>
      <c r="VYG18" s="4"/>
      <c r="VYH18" s="12"/>
      <c r="VYI18" s="13"/>
      <c r="VYO18" s="4"/>
      <c r="VYP18" s="12"/>
      <c r="VYQ18" s="13"/>
      <c r="VYW18" s="4"/>
      <c r="VYX18" s="12"/>
      <c r="VYY18" s="13"/>
      <c r="VZE18" s="4"/>
      <c r="VZF18" s="12"/>
      <c r="VZG18" s="13"/>
      <c r="VZM18" s="4"/>
      <c r="VZN18" s="12"/>
      <c r="VZO18" s="13"/>
      <c r="VZU18" s="4"/>
      <c r="VZV18" s="12"/>
      <c r="VZW18" s="13"/>
      <c r="WAC18" s="4"/>
      <c r="WAD18" s="12"/>
      <c r="WAE18" s="13"/>
      <c r="WAK18" s="4"/>
      <c r="WAL18" s="12"/>
      <c r="WAM18" s="13"/>
      <c r="WAS18" s="4"/>
      <c r="WAT18" s="12"/>
      <c r="WAU18" s="13"/>
      <c r="WBA18" s="4"/>
      <c r="WBB18" s="12"/>
      <c r="WBC18" s="13"/>
      <c r="WBI18" s="4"/>
      <c r="WBJ18" s="12"/>
      <c r="WBK18" s="13"/>
      <c r="WBQ18" s="4"/>
      <c r="WBR18" s="12"/>
      <c r="WBS18" s="13"/>
      <c r="WBY18" s="4"/>
      <c r="WBZ18" s="12"/>
      <c r="WCA18" s="13"/>
      <c r="WCG18" s="4"/>
      <c r="WCH18" s="12"/>
      <c r="WCI18" s="13"/>
      <c r="WCO18" s="4"/>
      <c r="WCP18" s="12"/>
      <c r="WCQ18" s="13"/>
      <c r="WCW18" s="4"/>
      <c r="WCX18" s="12"/>
      <c r="WCY18" s="13"/>
      <c r="WDE18" s="4"/>
      <c r="WDF18" s="12"/>
      <c r="WDG18" s="13"/>
      <c r="WDM18" s="4"/>
      <c r="WDN18" s="12"/>
      <c r="WDO18" s="13"/>
      <c r="WDU18" s="4"/>
      <c r="WDV18" s="12"/>
      <c r="WDW18" s="13"/>
      <c r="WEC18" s="4"/>
      <c r="WED18" s="12"/>
      <c r="WEE18" s="13"/>
      <c r="WEK18" s="4"/>
      <c r="WEL18" s="12"/>
      <c r="WEM18" s="13"/>
      <c r="WES18" s="4"/>
      <c r="WET18" s="12"/>
      <c r="WEU18" s="13"/>
      <c r="WFA18" s="4"/>
      <c r="WFB18" s="12"/>
      <c r="WFC18" s="13"/>
      <c r="WFI18" s="4"/>
      <c r="WFJ18" s="12"/>
      <c r="WFK18" s="13"/>
      <c r="WFQ18" s="4"/>
      <c r="WFR18" s="12"/>
      <c r="WFS18" s="13"/>
      <c r="WFY18" s="4"/>
      <c r="WFZ18" s="12"/>
      <c r="WGA18" s="13"/>
      <c r="WGG18" s="4"/>
      <c r="WGH18" s="12"/>
      <c r="WGI18" s="13"/>
      <c r="WGO18" s="4"/>
      <c r="WGP18" s="12"/>
      <c r="WGQ18" s="13"/>
      <c r="WGW18" s="4"/>
      <c r="WGX18" s="12"/>
      <c r="WGY18" s="13"/>
      <c r="WHE18" s="4"/>
      <c r="WHF18" s="12"/>
      <c r="WHG18" s="13"/>
      <c r="WHM18" s="4"/>
      <c r="WHN18" s="12"/>
      <c r="WHO18" s="13"/>
      <c r="WHU18" s="4"/>
      <c r="WHV18" s="12"/>
      <c r="WHW18" s="13"/>
      <c r="WIC18" s="4"/>
      <c r="WID18" s="12"/>
      <c r="WIE18" s="13"/>
      <c r="WIK18" s="4"/>
      <c r="WIL18" s="12"/>
      <c r="WIM18" s="13"/>
      <c r="WIS18" s="4"/>
      <c r="WIT18" s="12"/>
      <c r="WIU18" s="13"/>
      <c r="WJA18" s="4"/>
      <c r="WJB18" s="12"/>
      <c r="WJC18" s="13"/>
      <c r="WJI18" s="4"/>
      <c r="WJJ18" s="12"/>
      <c r="WJK18" s="13"/>
      <c r="WJQ18" s="4"/>
      <c r="WJR18" s="12"/>
      <c r="WJS18" s="13"/>
      <c r="WJY18" s="4"/>
      <c r="WJZ18" s="12"/>
      <c r="WKA18" s="13"/>
      <c r="WKG18" s="4"/>
      <c r="WKH18" s="12"/>
      <c r="WKI18" s="13"/>
      <c r="WKO18" s="4"/>
      <c r="WKP18" s="12"/>
      <c r="WKQ18" s="13"/>
      <c r="WKW18" s="4"/>
      <c r="WKX18" s="12"/>
      <c r="WKY18" s="13"/>
      <c r="WLE18" s="4"/>
      <c r="WLF18" s="12"/>
      <c r="WLG18" s="13"/>
      <c r="WLM18" s="4"/>
      <c r="WLN18" s="12"/>
      <c r="WLO18" s="13"/>
      <c r="WLU18" s="4"/>
      <c r="WLV18" s="12"/>
      <c r="WLW18" s="13"/>
      <c r="WMC18" s="4"/>
      <c r="WMD18" s="12"/>
      <c r="WME18" s="13"/>
      <c r="WMK18" s="4"/>
      <c r="WML18" s="12"/>
      <c r="WMM18" s="13"/>
      <c r="WMS18" s="4"/>
      <c r="WMT18" s="12"/>
      <c r="WMU18" s="13"/>
      <c r="WNA18" s="4"/>
      <c r="WNB18" s="12"/>
      <c r="WNC18" s="13"/>
      <c r="WNI18" s="4"/>
      <c r="WNJ18" s="12"/>
      <c r="WNK18" s="13"/>
      <c r="WNQ18" s="4"/>
      <c r="WNR18" s="12"/>
      <c r="WNS18" s="13"/>
      <c r="WNY18" s="4"/>
      <c r="WNZ18" s="12"/>
      <c r="WOA18" s="13"/>
      <c r="WOG18" s="4"/>
      <c r="WOH18" s="12"/>
      <c r="WOI18" s="13"/>
      <c r="WOO18" s="4"/>
      <c r="WOP18" s="12"/>
      <c r="WOQ18" s="13"/>
      <c r="WOW18" s="4"/>
      <c r="WOX18" s="12"/>
      <c r="WOY18" s="13"/>
      <c r="WPE18" s="4"/>
      <c r="WPF18" s="12"/>
      <c r="WPG18" s="13"/>
      <c r="WPM18" s="4"/>
      <c r="WPN18" s="12"/>
      <c r="WPO18" s="13"/>
      <c r="WPU18" s="4"/>
      <c r="WPV18" s="12"/>
      <c r="WPW18" s="13"/>
      <c r="WQC18" s="4"/>
      <c r="WQD18" s="12"/>
      <c r="WQE18" s="13"/>
      <c r="WQK18" s="4"/>
      <c r="WQL18" s="12"/>
      <c r="WQM18" s="13"/>
      <c r="WQS18" s="4"/>
      <c r="WQT18" s="12"/>
      <c r="WQU18" s="13"/>
      <c r="WRA18" s="4"/>
      <c r="WRB18" s="12"/>
      <c r="WRC18" s="13"/>
      <c r="WRI18" s="4"/>
      <c r="WRJ18" s="12"/>
      <c r="WRK18" s="13"/>
      <c r="WRQ18" s="4"/>
      <c r="WRR18" s="12"/>
      <c r="WRS18" s="13"/>
      <c r="WRY18" s="4"/>
      <c r="WRZ18" s="12"/>
      <c r="WSA18" s="13"/>
      <c r="WSG18" s="4"/>
      <c r="WSH18" s="12"/>
      <c r="WSI18" s="13"/>
      <c r="WSO18" s="4"/>
      <c r="WSP18" s="12"/>
      <c r="WSQ18" s="13"/>
      <c r="WSW18" s="4"/>
      <c r="WSX18" s="12"/>
      <c r="WSY18" s="13"/>
      <c r="WTE18" s="4"/>
      <c r="WTF18" s="12"/>
      <c r="WTG18" s="13"/>
      <c r="WTM18" s="4"/>
      <c r="WTN18" s="12"/>
      <c r="WTO18" s="13"/>
      <c r="WTU18" s="4"/>
      <c r="WTV18" s="12"/>
      <c r="WTW18" s="13"/>
      <c r="WUC18" s="4"/>
      <c r="WUD18" s="12"/>
      <c r="WUE18" s="13"/>
      <c r="WUK18" s="4"/>
      <c r="WUL18" s="12"/>
      <c r="WUM18" s="13"/>
      <c r="WUS18" s="4"/>
      <c r="WUT18" s="12"/>
      <c r="WUU18" s="13"/>
      <c r="WVA18" s="4"/>
      <c r="WVB18" s="12"/>
      <c r="WVC18" s="13"/>
      <c r="WVI18" s="4"/>
      <c r="WVJ18" s="12"/>
      <c r="WVK18" s="13"/>
      <c r="WVQ18" s="4"/>
      <c r="WVR18" s="12"/>
      <c r="WVS18" s="13"/>
      <c r="WVY18" s="4"/>
      <c r="WVZ18" s="12"/>
      <c r="WWA18" s="13"/>
      <c r="WWG18" s="4"/>
      <c r="WWH18" s="12"/>
      <c r="WWI18" s="13"/>
      <c r="WWO18" s="4"/>
      <c r="WWP18" s="12"/>
      <c r="WWQ18" s="13"/>
      <c r="WWW18" s="4"/>
      <c r="WWX18" s="12"/>
      <c r="WWY18" s="13"/>
      <c r="WXE18" s="4"/>
      <c r="WXF18" s="12"/>
      <c r="WXG18" s="13"/>
      <c r="WXM18" s="4"/>
      <c r="WXN18" s="12"/>
      <c r="WXO18" s="13"/>
      <c r="WXU18" s="4"/>
      <c r="WXV18" s="12"/>
      <c r="WXW18" s="13"/>
      <c r="WYC18" s="4"/>
      <c r="WYD18" s="12"/>
      <c r="WYE18" s="13"/>
      <c r="WYK18" s="4"/>
      <c r="WYL18" s="12"/>
      <c r="WYM18" s="13"/>
      <c r="WYS18" s="4"/>
      <c r="WYT18" s="12"/>
      <c r="WYU18" s="13"/>
      <c r="WZA18" s="4"/>
      <c r="WZB18" s="12"/>
      <c r="WZC18" s="13"/>
      <c r="WZI18" s="4"/>
      <c r="WZJ18" s="12"/>
      <c r="WZK18" s="13"/>
      <c r="WZQ18" s="4"/>
      <c r="WZR18" s="12"/>
      <c r="WZS18" s="13"/>
      <c r="WZY18" s="4"/>
      <c r="WZZ18" s="12"/>
      <c r="XAA18" s="13"/>
      <c r="XAG18" s="4"/>
      <c r="XAH18" s="12"/>
      <c r="XAI18" s="13"/>
      <c r="XAO18" s="4"/>
      <c r="XAP18" s="12"/>
      <c r="XAQ18" s="13"/>
      <c r="XAW18" s="4"/>
      <c r="XAX18" s="12"/>
      <c r="XAY18" s="13"/>
      <c r="XBE18" s="4"/>
      <c r="XBF18" s="12"/>
      <c r="XBG18" s="13"/>
      <c r="XBM18" s="4"/>
      <c r="XBN18" s="12"/>
      <c r="XBO18" s="13"/>
      <c r="XBU18" s="4"/>
      <c r="XBV18" s="12"/>
      <c r="XBW18" s="13"/>
      <c r="XCC18" s="4"/>
      <c r="XCD18" s="12"/>
      <c r="XCE18" s="13"/>
      <c r="XCK18" s="4"/>
      <c r="XCL18" s="12"/>
      <c r="XCM18" s="13"/>
      <c r="XCS18" s="4"/>
      <c r="XCT18" s="12"/>
      <c r="XCU18" s="13"/>
      <c r="XDA18" s="4"/>
      <c r="XDB18" s="12"/>
      <c r="XDC18" s="13"/>
      <c r="XDI18" s="4"/>
      <c r="XDJ18" s="12"/>
      <c r="XDK18" s="13"/>
      <c r="XDQ18" s="4"/>
      <c r="XDR18" s="12"/>
      <c r="XDS18" s="13"/>
      <c r="XDY18" s="4"/>
      <c r="XDZ18" s="12"/>
      <c r="XEA18" s="13"/>
      <c r="XEG18" s="4"/>
      <c r="XEH18" s="12"/>
      <c r="XEI18" s="13"/>
      <c r="XEO18" s="4"/>
      <c r="XEP18" s="12"/>
      <c r="XEQ18" s="13"/>
      <c r="XEW18" s="4"/>
      <c r="XEX18" s="12"/>
      <c r="XEY18" s="13"/>
    </row>
    <row r="19" spans="1:1019 1025:2043 2049:3067 3073:4091 4097:5115 5121:6139 6145:7163 7169:8187 8193:9211 9217:10235 10241:11259 11265:12283 12289:13307 13313:14331 14337:15355 15361:16379" s="9" customFormat="1">
      <c r="A19" s="6"/>
      <c r="B19" s="19"/>
      <c r="C19"/>
      <c r="D19"/>
      <c r="E19"/>
      <c r="F19"/>
      <c r="G19" s="13"/>
      <c r="H19" s="1"/>
      <c r="I19" s="4"/>
      <c r="J19" s="12"/>
      <c r="K19" s="13"/>
      <c r="Q19" s="4"/>
      <c r="R19" s="12"/>
      <c r="S19" s="13"/>
      <c r="Y19" s="4"/>
      <c r="Z19" s="12"/>
      <c r="AA19" s="13"/>
      <c r="AG19" s="4"/>
      <c r="AH19" s="12"/>
      <c r="AI19" s="13"/>
      <c r="AO19" s="4"/>
      <c r="AP19" s="12"/>
      <c r="AQ19" s="13"/>
      <c r="AW19" s="4"/>
      <c r="AX19" s="12"/>
      <c r="AY19" s="13"/>
      <c r="BE19" s="4"/>
      <c r="BF19" s="12"/>
      <c r="BG19" s="13"/>
      <c r="BM19" s="4"/>
      <c r="BN19" s="12"/>
      <c r="BO19" s="13"/>
      <c r="BU19" s="4"/>
      <c r="BV19" s="12"/>
      <c r="BW19" s="13"/>
      <c r="CC19" s="4"/>
      <c r="CD19" s="12"/>
      <c r="CE19" s="13"/>
      <c r="CK19" s="4"/>
      <c r="CL19" s="12"/>
      <c r="CM19" s="13"/>
      <c r="CS19" s="4"/>
      <c r="CT19" s="12"/>
      <c r="CU19" s="13"/>
      <c r="DA19" s="4"/>
      <c r="DB19" s="12"/>
      <c r="DC19" s="13"/>
      <c r="DI19" s="4"/>
      <c r="DJ19" s="12"/>
      <c r="DK19" s="13"/>
      <c r="DQ19" s="4"/>
      <c r="DR19" s="12"/>
      <c r="DS19" s="13"/>
      <c r="DY19" s="4"/>
      <c r="DZ19" s="12"/>
      <c r="EA19" s="13"/>
      <c r="EG19" s="4"/>
      <c r="EH19" s="12"/>
      <c r="EI19" s="13"/>
      <c r="EO19" s="4"/>
      <c r="EP19" s="12"/>
      <c r="EQ19" s="13"/>
      <c r="EW19" s="4"/>
      <c r="EX19" s="12"/>
      <c r="EY19" s="13"/>
      <c r="FE19" s="4"/>
      <c r="FF19" s="12"/>
      <c r="FG19" s="13"/>
      <c r="FM19" s="4"/>
      <c r="FN19" s="12"/>
      <c r="FO19" s="13"/>
      <c r="FU19" s="4"/>
      <c r="FV19" s="12"/>
      <c r="FW19" s="13"/>
      <c r="GC19" s="4"/>
      <c r="GD19" s="12"/>
      <c r="GE19" s="13"/>
      <c r="GK19" s="4"/>
      <c r="GL19" s="12"/>
      <c r="GM19" s="13"/>
      <c r="GS19" s="4"/>
      <c r="GT19" s="12"/>
      <c r="GU19" s="13"/>
      <c r="HA19" s="4"/>
      <c r="HB19" s="12"/>
      <c r="HC19" s="13"/>
      <c r="HI19" s="4"/>
      <c r="HJ19" s="12"/>
      <c r="HK19" s="13"/>
      <c r="HQ19" s="4"/>
      <c r="HR19" s="12"/>
      <c r="HS19" s="13"/>
      <c r="HY19" s="4"/>
      <c r="HZ19" s="12"/>
      <c r="IA19" s="13"/>
      <c r="IG19" s="4"/>
      <c r="IH19" s="12"/>
      <c r="II19" s="13"/>
      <c r="IO19" s="4"/>
      <c r="IP19" s="12"/>
      <c r="IQ19" s="13"/>
      <c r="IW19" s="4"/>
      <c r="IX19" s="12"/>
      <c r="IY19" s="13"/>
      <c r="JE19" s="4"/>
      <c r="JF19" s="12"/>
      <c r="JG19" s="13"/>
      <c r="JM19" s="4"/>
      <c r="JN19" s="12"/>
      <c r="JO19" s="13"/>
      <c r="JU19" s="4"/>
      <c r="JV19" s="12"/>
      <c r="JW19" s="13"/>
      <c r="KC19" s="4"/>
      <c r="KD19" s="12"/>
      <c r="KE19" s="13"/>
      <c r="KK19" s="4"/>
      <c r="KL19" s="12"/>
      <c r="KM19" s="13"/>
      <c r="KS19" s="4"/>
      <c r="KT19" s="12"/>
      <c r="KU19" s="13"/>
      <c r="LA19" s="4"/>
      <c r="LB19" s="12"/>
      <c r="LC19" s="13"/>
      <c r="LI19" s="4"/>
      <c r="LJ19" s="12"/>
      <c r="LK19" s="13"/>
      <c r="LQ19" s="4"/>
      <c r="LR19" s="12"/>
      <c r="LS19" s="13"/>
      <c r="LY19" s="4"/>
      <c r="LZ19" s="12"/>
      <c r="MA19" s="13"/>
      <c r="MG19" s="4"/>
      <c r="MH19" s="12"/>
      <c r="MI19" s="13"/>
      <c r="MO19" s="4"/>
      <c r="MP19" s="12"/>
      <c r="MQ19" s="13"/>
      <c r="MW19" s="4"/>
      <c r="MX19" s="12"/>
      <c r="MY19" s="13"/>
      <c r="NE19" s="4"/>
      <c r="NF19" s="12"/>
      <c r="NG19" s="13"/>
      <c r="NM19" s="4"/>
      <c r="NN19" s="12"/>
      <c r="NO19" s="13"/>
      <c r="NU19" s="4"/>
      <c r="NV19" s="12"/>
      <c r="NW19" s="13"/>
      <c r="OC19" s="4"/>
      <c r="OD19" s="12"/>
      <c r="OE19" s="13"/>
      <c r="OK19" s="4"/>
      <c r="OL19" s="12"/>
      <c r="OM19" s="13"/>
      <c r="OS19" s="4"/>
      <c r="OT19" s="12"/>
      <c r="OU19" s="13"/>
      <c r="PA19" s="4"/>
      <c r="PB19" s="12"/>
      <c r="PC19" s="13"/>
      <c r="PI19" s="4"/>
      <c r="PJ19" s="12"/>
      <c r="PK19" s="13"/>
      <c r="PQ19" s="4"/>
      <c r="PR19" s="12"/>
      <c r="PS19" s="13"/>
      <c r="PY19" s="4"/>
      <c r="PZ19" s="12"/>
      <c r="QA19" s="13"/>
      <c r="QG19" s="4"/>
      <c r="QH19" s="12"/>
      <c r="QI19" s="13"/>
      <c r="QO19" s="4"/>
      <c r="QP19" s="12"/>
      <c r="QQ19" s="13"/>
      <c r="QW19" s="4"/>
      <c r="QX19" s="12"/>
      <c r="QY19" s="13"/>
      <c r="RE19" s="4"/>
      <c r="RF19" s="12"/>
      <c r="RG19" s="13"/>
      <c r="RM19" s="4"/>
      <c r="RN19" s="12"/>
      <c r="RO19" s="13"/>
      <c r="RU19" s="4"/>
      <c r="RV19" s="12"/>
      <c r="RW19" s="13"/>
      <c r="SC19" s="4"/>
      <c r="SD19" s="12"/>
      <c r="SE19" s="13"/>
      <c r="SK19" s="4"/>
      <c r="SL19" s="12"/>
      <c r="SM19" s="13"/>
      <c r="SS19" s="4"/>
      <c r="ST19" s="12"/>
      <c r="SU19" s="13"/>
      <c r="TA19" s="4"/>
      <c r="TB19" s="12"/>
      <c r="TC19" s="13"/>
      <c r="TI19" s="4"/>
      <c r="TJ19" s="12"/>
      <c r="TK19" s="13"/>
      <c r="TQ19" s="4"/>
      <c r="TR19" s="12"/>
      <c r="TS19" s="13"/>
      <c r="TY19" s="4"/>
      <c r="TZ19" s="12"/>
      <c r="UA19" s="13"/>
      <c r="UG19" s="4"/>
      <c r="UH19" s="12"/>
      <c r="UI19" s="13"/>
      <c r="UO19" s="4"/>
      <c r="UP19" s="12"/>
      <c r="UQ19" s="13"/>
      <c r="UW19" s="4"/>
      <c r="UX19" s="12"/>
      <c r="UY19" s="13"/>
      <c r="VE19" s="4"/>
      <c r="VF19" s="12"/>
      <c r="VG19" s="13"/>
      <c r="VM19" s="4"/>
      <c r="VN19" s="12"/>
      <c r="VO19" s="13"/>
      <c r="VU19" s="4"/>
      <c r="VV19" s="12"/>
      <c r="VW19" s="13"/>
      <c r="WC19" s="4"/>
      <c r="WD19" s="12"/>
      <c r="WE19" s="13"/>
      <c r="WK19" s="4"/>
      <c r="WL19" s="12"/>
      <c r="WM19" s="13"/>
      <c r="WS19" s="4"/>
      <c r="WT19" s="12"/>
      <c r="WU19" s="13"/>
      <c r="XA19" s="4"/>
      <c r="XB19" s="12"/>
      <c r="XC19" s="13"/>
      <c r="XI19" s="4"/>
      <c r="XJ19" s="12"/>
      <c r="XK19" s="13"/>
      <c r="XQ19" s="4"/>
      <c r="XR19" s="12"/>
      <c r="XS19" s="13"/>
      <c r="XY19" s="4"/>
      <c r="XZ19" s="12"/>
      <c r="YA19" s="13"/>
      <c r="YG19" s="4"/>
      <c r="YH19" s="12"/>
      <c r="YI19" s="13"/>
      <c r="YO19" s="4"/>
      <c r="YP19" s="12"/>
      <c r="YQ19" s="13"/>
      <c r="YW19" s="4"/>
      <c r="YX19" s="12"/>
      <c r="YY19" s="13"/>
      <c r="ZE19" s="4"/>
      <c r="ZF19" s="12"/>
      <c r="ZG19" s="13"/>
      <c r="ZM19" s="4"/>
      <c r="ZN19" s="12"/>
      <c r="ZO19" s="13"/>
      <c r="ZU19" s="4"/>
      <c r="ZV19" s="12"/>
      <c r="ZW19" s="13"/>
      <c r="AAC19" s="4"/>
      <c r="AAD19" s="12"/>
      <c r="AAE19" s="13"/>
      <c r="AAK19" s="4"/>
      <c r="AAL19" s="12"/>
      <c r="AAM19" s="13"/>
      <c r="AAS19" s="4"/>
      <c r="AAT19" s="12"/>
      <c r="AAU19" s="13"/>
      <c r="ABA19" s="4"/>
      <c r="ABB19" s="12"/>
      <c r="ABC19" s="13"/>
      <c r="ABI19" s="4"/>
      <c r="ABJ19" s="12"/>
      <c r="ABK19" s="13"/>
      <c r="ABQ19" s="4"/>
      <c r="ABR19" s="12"/>
      <c r="ABS19" s="13"/>
      <c r="ABY19" s="4"/>
      <c r="ABZ19" s="12"/>
      <c r="ACA19" s="13"/>
      <c r="ACG19" s="4"/>
      <c r="ACH19" s="12"/>
      <c r="ACI19" s="13"/>
      <c r="ACO19" s="4"/>
      <c r="ACP19" s="12"/>
      <c r="ACQ19" s="13"/>
      <c r="ACW19" s="4"/>
      <c r="ACX19" s="12"/>
      <c r="ACY19" s="13"/>
      <c r="ADE19" s="4"/>
      <c r="ADF19" s="12"/>
      <c r="ADG19" s="13"/>
      <c r="ADM19" s="4"/>
      <c r="ADN19" s="12"/>
      <c r="ADO19" s="13"/>
      <c r="ADU19" s="4"/>
      <c r="ADV19" s="12"/>
      <c r="ADW19" s="13"/>
      <c r="AEC19" s="4"/>
      <c r="AED19" s="12"/>
      <c r="AEE19" s="13"/>
      <c r="AEK19" s="4"/>
      <c r="AEL19" s="12"/>
      <c r="AEM19" s="13"/>
      <c r="AES19" s="4"/>
      <c r="AET19" s="12"/>
      <c r="AEU19" s="13"/>
      <c r="AFA19" s="4"/>
      <c r="AFB19" s="12"/>
      <c r="AFC19" s="13"/>
      <c r="AFI19" s="4"/>
      <c r="AFJ19" s="12"/>
      <c r="AFK19" s="13"/>
      <c r="AFQ19" s="4"/>
      <c r="AFR19" s="12"/>
      <c r="AFS19" s="13"/>
      <c r="AFY19" s="4"/>
      <c r="AFZ19" s="12"/>
      <c r="AGA19" s="13"/>
      <c r="AGG19" s="4"/>
      <c r="AGH19" s="12"/>
      <c r="AGI19" s="13"/>
      <c r="AGO19" s="4"/>
      <c r="AGP19" s="12"/>
      <c r="AGQ19" s="13"/>
      <c r="AGW19" s="4"/>
      <c r="AGX19" s="12"/>
      <c r="AGY19" s="13"/>
      <c r="AHE19" s="4"/>
      <c r="AHF19" s="12"/>
      <c r="AHG19" s="13"/>
      <c r="AHM19" s="4"/>
      <c r="AHN19" s="12"/>
      <c r="AHO19" s="13"/>
      <c r="AHU19" s="4"/>
      <c r="AHV19" s="12"/>
      <c r="AHW19" s="13"/>
      <c r="AIC19" s="4"/>
      <c r="AID19" s="12"/>
      <c r="AIE19" s="13"/>
      <c r="AIK19" s="4"/>
      <c r="AIL19" s="12"/>
      <c r="AIM19" s="13"/>
      <c r="AIS19" s="4"/>
      <c r="AIT19" s="12"/>
      <c r="AIU19" s="13"/>
      <c r="AJA19" s="4"/>
      <c r="AJB19" s="12"/>
      <c r="AJC19" s="13"/>
      <c r="AJI19" s="4"/>
      <c r="AJJ19" s="12"/>
      <c r="AJK19" s="13"/>
      <c r="AJQ19" s="4"/>
      <c r="AJR19" s="12"/>
      <c r="AJS19" s="13"/>
      <c r="AJY19" s="4"/>
      <c r="AJZ19" s="12"/>
      <c r="AKA19" s="13"/>
      <c r="AKG19" s="4"/>
      <c r="AKH19" s="12"/>
      <c r="AKI19" s="13"/>
      <c r="AKO19" s="4"/>
      <c r="AKP19" s="12"/>
      <c r="AKQ19" s="13"/>
      <c r="AKW19" s="4"/>
      <c r="AKX19" s="12"/>
      <c r="AKY19" s="13"/>
      <c r="ALE19" s="4"/>
      <c r="ALF19" s="12"/>
      <c r="ALG19" s="13"/>
      <c r="ALM19" s="4"/>
      <c r="ALN19" s="12"/>
      <c r="ALO19" s="13"/>
      <c r="ALU19" s="4"/>
      <c r="ALV19" s="12"/>
      <c r="ALW19" s="13"/>
      <c r="AMC19" s="4"/>
      <c r="AMD19" s="12"/>
      <c r="AME19" s="13"/>
      <c r="AMK19" s="4"/>
      <c r="AML19" s="12"/>
      <c r="AMM19" s="13"/>
      <c r="AMS19" s="4"/>
      <c r="AMT19" s="12"/>
      <c r="AMU19" s="13"/>
      <c r="ANA19" s="4"/>
      <c r="ANB19" s="12"/>
      <c r="ANC19" s="13"/>
      <c r="ANI19" s="4"/>
      <c r="ANJ19" s="12"/>
      <c r="ANK19" s="13"/>
      <c r="ANQ19" s="4"/>
      <c r="ANR19" s="12"/>
      <c r="ANS19" s="13"/>
      <c r="ANY19" s="4"/>
      <c r="ANZ19" s="12"/>
      <c r="AOA19" s="13"/>
      <c r="AOG19" s="4"/>
      <c r="AOH19" s="12"/>
      <c r="AOI19" s="13"/>
      <c r="AOO19" s="4"/>
      <c r="AOP19" s="12"/>
      <c r="AOQ19" s="13"/>
      <c r="AOW19" s="4"/>
      <c r="AOX19" s="12"/>
      <c r="AOY19" s="13"/>
      <c r="APE19" s="4"/>
      <c r="APF19" s="12"/>
      <c r="APG19" s="13"/>
      <c r="APM19" s="4"/>
      <c r="APN19" s="12"/>
      <c r="APO19" s="13"/>
      <c r="APU19" s="4"/>
      <c r="APV19" s="12"/>
      <c r="APW19" s="13"/>
      <c r="AQC19" s="4"/>
      <c r="AQD19" s="12"/>
      <c r="AQE19" s="13"/>
      <c r="AQK19" s="4"/>
      <c r="AQL19" s="12"/>
      <c r="AQM19" s="13"/>
      <c r="AQS19" s="4"/>
      <c r="AQT19" s="12"/>
      <c r="AQU19" s="13"/>
      <c r="ARA19" s="4"/>
      <c r="ARB19" s="12"/>
      <c r="ARC19" s="13"/>
      <c r="ARI19" s="4"/>
      <c r="ARJ19" s="12"/>
      <c r="ARK19" s="13"/>
      <c r="ARQ19" s="4"/>
      <c r="ARR19" s="12"/>
      <c r="ARS19" s="13"/>
      <c r="ARY19" s="4"/>
      <c r="ARZ19" s="12"/>
      <c r="ASA19" s="13"/>
      <c r="ASG19" s="4"/>
      <c r="ASH19" s="12"/>
      <c r="ASI19" s="13"/>
      <c r="ASO19" s="4"/>
      <c r="ASP19" s="12"/>
      <c r="ASQ19" s="13"/>
      <c r="ASW19" s="4"/>
      <c r="ASX19" s="12"/>
      <c r="ASY19" s="13"/>
      <c r="ATE19" s="4"/>
      <c r="ATF19" s="12"/>
      <c r="ATG19" s="13"/>
      <c r="ATM19" s="4"/>
      <c r="ATN19" s="12"/>
      <c r="ATO19" s="13"/>
      <c r="ATU19" s="4"/>
      <c r="ATV19" s="12"/>
      <c r="ATW19" s="13"/>
      <c r="AUC19" s="4"/>
      <c r="AUD19" s="12"/>
      <c r="AUE19" s="13"/>
      <c r="AUK19" s="4"/>
      <c r="AUL19" s="12"/>
      <c r="AUM19" s="13"/>
      <c r="AUS19" s="4"/>
      <c r="AUT19" s="12"/>
      <c r="AUU19" s="13"/>
      <c r="AVA19" s="4"/>
      <c r="AVB19" s="12"/>
      <c r="AVC19" s="13"/>
      <c r="AVI19" s="4"/>
      <c r="AVJ19" s="12"/>
      <c r="AVK19" s="13"/>
      <c r="AVQ19" s="4"/>
      <c r="AVR19" s="12"/>
      <c r="AVS19" s="13"/>
      <c r="AVY19" s="4"/>
      <c r="AVZ19" s="12"/>
      <c r="AWA19" s="13"/>
      <c r="AWG19" s="4"/>
      <c r="AWH19" s="12"/>
      <c r="AWI19" s="13"/>
      <c r="AWO19" s="4"/>
      <c r="AWP19" s="12"/>
      <c r="AWQ19" s="13"/>
      <c r="AWW19" s="4"/>
      <c r="AWX19" s="12"/>
      <c r="AWY19" s="13"/>
      <c r="AXE19" s="4"/>
      <c r="AXF19" s="12"/>
      <c r="AXG19" s="13"/>
      <c r="AXM19" s="4"/>
      <c r="AXN19" s="12"/>
      <c r="AXO19" s="13"/>
      <c r="AXU19" s="4"/>
      <c r="AXV19" s="12"/>
      <c r="AXW19" s="13"/>
      <c r="AYC19" s="4"/>
      <c r="AYD19" s="12"/>
      <c r="AYE19" s="13"/>
      <c r="AYK19" s="4"/>
      <c r="AYL19" s="12"/>
      <c r="AYM19" s="13"/>
      <c r="AYS19" s="4"/>
      <c r="AYT19" s="12"/>
      <c r="AYU19" s="13"/>
      <c r="AZA19" s="4"/>
      <c r="AZB19" s="12"/>
      <c r="AZC19" s="13"/>
      <c r="AZI19" s="4"/>
      <c r="AZJ19" s="12"/>
      <c r="AZK19" s="13"/>
      <c r="AZQ19" s="4"/>
      <c r="AZR19" s="12"/>
      <c r="AZS19" s="13"/>
      <c r="AZY19" s="4"/>
      <c r="AZZ19" s="12"/>
      <c r="BAA19" s="13"/>
      <c r="BAG19" s="4"/>
      <c r="BAH19" s="12"/>
      <c r="BAI19" s="13"/>
      <c r="BAO19" s="4"/>
      <c r="BAP19" s="12"/>
      <c r="BAQ19" s="13"/>
      <c r="BAW19" s="4"/>
      <c r="BAX19" s="12"/>
      <c r="BAY19" s="13"/>
      <c r="BBE19" s="4"/>
      <c r="BBF19" s="12"/>
      <c r="BBG19" s="13"/>
      <c r="BBM19" s="4"/>
      <c r="BBN19" s="12"/>
      <c r="BBO19" s="13"/>
      <c r="BBU19" s="4"/>
      <c r="BBV19" s="12"/>
      <c r="BBW19" s="13"/>
      <c r="BCC19" s="4"/>
      <c r="BCD19" s="12"/>
      <c r="BCE19" s="13"/>
      <c r="BCK19" s="4"/>
      <c r="BCL19" s="12"/>
      <c r="BCM19" s="13"/>
      <c r="BCS19" s="4"/>
      <c r="BCT19" s="12"/>
      <c r="BCU19" s="13"/>
      <c r="BDA19" s="4"/>
      <c r="BDB19" s="12"/>
      <c r="BDC19" s="13"/>
      <c r="BDI19" s="4"/>
      <c r="BDJ19" s="12"/>
      <c r="BDK19" s="13"/>
      <c r="BDQ19" s="4"/>
      <c r="BDR19" s="12"/>
      <c r="BDS19" s="13"/>
      <c r="BDY19" s="4"/>
      <c r="BDZ19" s="12"/>
      <c r="BEA19" s="13"/>
      <c r="BEG19" s="4"/>
      <c r="BEH19" s="12"/>
      <c r="BEI19" s="13"/>
      <c r="BEO19" s="4"/>
      <c r="BEP19" s="12"/>
      <c r="BEQ19" s="13"/>
      <c r="BEW19" s="4"/>
      <c r="BEX19" s="12"/>
      <c r="BEY19" s="13"/>
      <c r="BFE19" s="4"/>
      <c r="BFF19" s="12"/>
      <c r="BFG19" s="13"/>
      <c r="BFM19" s="4"/>
      <c r="BFN19" s="12"/>
      <c r="BFO19" s="13"/>
      <c r="BFU19" s="4"/>
      <c r="BFV19" s="12"/>
      <c r="BFW19" s="13"/>
      <c r="BGC19" s="4"/>
      <c r="BGD19" s="12"/>
      <c r="BGE19" s="13"/>
      <c r="BGK19" s="4"/>
      <c r="BGL19" s="12"/>
      <c r="BGM19" s="13"/>
      <c r="BGS19" s="4"/>
      <c r="BGT19" s="12"/>
      <c r="BGU19" s="13"/>
      <c r="BHA19" s="4"/>
      <c r="BHB19" s="12"/>
      <c r="BHC19" s="13"/>
      <c r="BHI19" s="4"/>
      <c r="BHJ19" s="12"/>
      <c r="BHK19" s="13"/>
      <c r="BHQ19" s="4"/>
      <c r="BHR19" s="12"/>
      <c r="BHS19" s="13"/>
      <c r="BHY19" s="4"/>
      <c r="BHZ19" s="12"/>
      <c r="BIA19" s="13"/>
      <c r="BIG19" s="4"/>
      <c r="BIH19" s="12"/>
      <c r="BII19" s="13"/>
      <c r="BIO19" s="4"/>
      <c r="BIP19" s="12"/>
      <c r="BIQ19" s="13"/>
      <c r="BIW19" s="4"/>
      <c r="BIX19" s="12"/>
      <c r="BIY19" s="13"/>
      <c r="BJE19" s="4"/>
      <c r="BJF19" s="12"/>
      <c r="BJG19" s="13"/>
      <c r="BJM19" s="4"/>
      <c r="BJN19" s="12"/>
      <c r="BJO19" s="13"/>
      <c r="BJU19" s="4"/>
      <c r="BJV19" s="12"/>
      <c r="BJW19" s="13"/>
      <c r="BKC19" s="4"/>
      <c r="BKD19" s="12"/>
      <c r="BKE19" s="13"/>
      <c r="BKK19" s="4"/>
      <c r="BKL19" s="12"/>
      <c r="BKM19" s="13"/>
      <c r="BKS19" s="4"/>
      <c r="BKT19" s="12"/>
      <c r="BKU19" s="13"/>
      <c r="BLA19" s="4"/>
      <c r="BLB19" s="12"/>
      <c r="BLC19" s="13"/>
      <c r="BLI19" s="4"/>
      <c r="BLJ19" s="12"/>
      <c r="BLK19" s="13"/>
      <c r="BLQ19" s="4"/>
      <c r="BLR19" s="12"/>
      <c r="BLS19" s="13"/>
      <c r="BLY19" s="4"/>
      <c r="BLZ19" s="12"/>
      <c r="BMA19" s="13"/>
      <c r="BMG19" s="4"/>
      <c r="BMH19" s="12"/>
      <c r="BMI19" s="13"/>
      <c r="BMO19" s="4"/>
      <c r="BMP19" s="12"/>
      <c r="BMQ19" s="13"/>
      <c r="BMW19" s="4"/>
      <c r="BMX19" s="12"/>
      <c r="BMY19" s="13"/>
      <c r="BNE19" s="4"/>
      <c r="BNF19" s="12"/>
      <c r="BNG19" s="13"/>
      <c r="BNM19" s="4"/>
      <c r="BNN19" s="12"/>
      <c r="BNO19" s="13"/>
      <c r="BNU19" s="4"/>
      <c r="BNV19" s="12"/>
      <c r="BNW19" s="13"/>
      <c r="BOC19" s="4"/>
      <c r="BOD19" s="12"/>
      <c r="BOE19" s="13"/>
      <c r="BOK19" s="4"/>
      <c r="BOL19" s="12"/>
      <c r="BOM19" s="13"/>
      <c r="BOS19" s="4"/>
      <c r="BOT19" s="12"/>
      <c r="BOU19" s="13"/>
      <c r="BPA19" s="4"/>
      <c r="BPB19" s="12"/>
      <c r="BPC19" s="13"/>
      <c r="BPI19" s="4"/>
      <c r="BPJ19" s="12"/>
      <c r="BPK19" s="13"/>
      <c r="BPQ19" s="4"/>
      <c r="BPR19" s="12"/>
      <c r="BPS19" s="13"/>
      <c r="BPY19" s="4"/>
      <c r="BPZ19" s="12"/>
      <c r="BQA19" s="13"/>
      <c r="BQG19" s="4"/>
      <c r="BQH19" s="12"/>
      <c r="BQI19" s="13"/>
      <c r="BQO19" s="4"/>
      <c r="BQP19" s="12"/>
      <c r="BQQ19" s="13"/>
      <c r="BQW19" s="4"/>
      <c r="BQX19" s="12"/>
      <c r="BQY19" s="13"/>
      <c r="BRE19" s="4"/>
      <c r="BRF19" s="12"/>
      <c r="BRG19" s="13"/>
      <c r="BRM19" s="4"/>
      <c r="BRN19" s="12"/>
      <c r="BRO19" s="13"/>
      <c r="BRU19" s="4"/>
      <c r="BRV19" s="12"/>
      <c r="BRW19" s="13"/>
      <c r="BSC19" s="4"/>
      <c r="BSD19" s="12"/>
      <c r="BSE19" s="13"/>
      <c r="BSK19" s="4"/>
      <c r="BSL19" s="12"/>
      <c r="BSM19" s="13"/>
      <c r="BSS19" s="4"/>
      <c r="BST19" s="12"/>
      <c r="BSU19" s="13"/>
      <c r="BTA19" s="4"/>
      <c r="BTB19" s="12"/>
      <c r="BTC19" s="13"/>
      <c r="BTI19" s="4"/>
      <c r="BTJ19" s="12"/>
      <c r="BTK19" s="13"/>
      <c r="BTQ19" s="4"/>
      <c r="BTR19" s="12"/>
      <c r="BTS19" s="13"/>
      <c r="BTY19" s="4"/>
      <c r="BTZ19" s="12"/>
      <c r="BUA19" s="13"/>
      <c r="BUG19" s="4"/>
      <c r="BUH19" s="12"/>
      <c r="BUI19" s="13"/>
      <c r="BUO19" s="4"/>
      <c r="BUP19" s="12"/>
      <c r="BUQ19" s="13"/>
      <c r="BUW19" s="4"/>
      <c r="BUX19" s="12"/>
      <c r="BUY19" s="13"/>
      <c r="BVE19" s="4"/>
      <c r="BVF19" s="12"/>
      <c r="BVG19" s="13"/>
      <c r="BVM19" s="4"/>
      <c r="BVN19" s="12"/>
      <c r="BVO19" s="13"/>
      <c r="BVU19" s="4"/>
      <c r="BVV19" s="12"/>
      <c r="BVW19" s="13"/>
      <c r="BWC19" s="4"/>
      <c r="BWD19" s="12"/>
      <c r="BWE19" s="13"/>
      <c r="BWK19" s="4"/>
      <c r="BWL19" s="12"/>
      <c r="BWM19" s="13"/>
      <c r="BWS19" s="4"/>
      <c r="BWT19" s="12"/>
      <c r="BWU19" s="13"/>
      <c r="BXA19" s="4"/>
      <c r="BXB19" s="12"/>
      <c r="BXC19" s="13"/>
      <c r="BXI19" s="4"/>
      <c r="BXJ19" s="12"/>
      <c r="BXK19" s="13"/>
      <c r="BXQ19" s="4"/>
      <c r="BXR19" s="12"/>
      <c r="BXS19" s="13"/>
      <c r="BXY19" s="4"/>
      <c r="BXZ19" s="12"/>
      <c r="BYA19" s="13"/>
      <c r="BYG19" s="4"/>
      <c r="BYH19" s="12"/>
      <c r="BYI19" s="13"/>
      <c r="BYO19" s="4"/>
      <c r="BYP19" s="12"/>
      <c r="BYQ19" s="13"/>
      <c r="BYW19" s="4"/>
      <c r="BYX19" s="12"/>
      <c r="BYY19" s="13"/>
      <c r="BZE19" s="4"/>
      <c r="BZF19" s="12"/>
      <c r="BZG19" s="13"/>
      <c r="BZM19" s="4"/>
      <c r="BZN19" s="12"/>
      <c r="BZO19" s="13"/>
      <c r="BZU19" s="4"/>
      <c r="BZV19" s="12"/>
      <c r="BZW19" s="13"/>
      <c r="CAC19" s="4"/>
      <c r="CAD19" s="12"/>
      <c r="CAE19" s="13"/>
      <c r="CAK19" s="4"/>
      <c r="CAL19" s="12"/>
      <c r="CAM19" s="13"/>
      <c r="CAS19" s="4"/>
      <c r="CAT19" s="12"/>
      <c r="CAU19" s="13"/>
      <c r="CBA19" s="4"/>
      <c r="CBB19" s="12"/>
      <c r="CBC19" s="13"/>
      <c r="CBI19" s="4"/>
      <c r="CBJ19" s="12"/>
      <c r="CBK19" s="13"/>
      <c r="CBQ19" s="4"/>
      <c r="CBR19" s="12"/>
      <c r="CBS19" s="13"/>
      <c r="CBY19" s="4"/>
      <c r="CBZ19" s="12"/>
      <c r="CCA19" s="13"/>
      <c r="CCG19" s="4"/>
      <c r="CCH19" s="12"/>
      <c r="CCI19" s="13"/>
      <c r="CCO19" s="4"/>
      <c r="CCP19" s="12"/>
      <c r="CCQ19" s="13"/>
      <c r="CCW19" s="4"/>
      <c r="CCX19" s="12"/>
      <c r="CCY19" s="13"/>
      <c r="CDE19" s="4"/>
      <c r="CDF19" s="12"/>
      <c r="CDG19" s="13"/>
      <c r="CDM19" s="4"/>
      <c r="CDN19" s="12"/>
      <c r="CDO19" s="13"/>
      <c r="CDU19" s="4"/>
      <c r="CDV19" s="12"/>
      <c r="CDW19" s="13"/>
      <c r="CEC19" s="4"/>
      <c r="CED19" s="12"/>
      <c r="CEE19" s="13"/>
      <c r="CEK19" s="4"/>
      <c r="CEL19" s="12"/>
      <c r="CEM19" s="13"/>
      <c r="CES19" s="4"/>
      <c r="CET19" s="12"/>
      <c r="CEU19" s="13"/>
      <c r="CFA19" s="4"/>
      <c r="CFB19" s="12"/>
      <c r="CFC19" s="13"/>
      <c r="CFI19" s="4"/>
      <c r="CFJ19" s="12"/>
      <c r="CFK19" s="13"/>
      <c r="CFQ19" s="4"/>
      <c r="CFR19" s="12"/>
      <c r="CFS19" s="13"/>
      <c r="CFY19" s="4"/>
      <c r="CFZ19" s="12"/>
      <c r="CGA19" s="13"/>
      <c r="CGG19" s="4"/>
      <c r="CGH19" s="12"/>
      <c r="CGI19" s="13"/>
      <c r="CGO19" s="4"/>
      <c r="CGP19" s="12"/>
      <c r="CGQ19" s="13"/>
      <c r="CGW19" s="4"/>
      <c r="CGX19" s="12"/>
      <c r="CGY19" s="13"/>
      <c r="CHE19" s="4"/>
      <c r="CHF19" s="12"/>
      <c r="CHG19" s="13"/>
      <c r="CHM19" s="4"/>
      <c r="CHN19" s="12"/>
      <c r="CHO19" s="13"/>
      <c r="CHU19" s="4"/>
      <c r="CHV19" s="12"/>
      <c r="CHW19" s="13"/>
      <c r="CIC19" s="4"/>
      <c r="CID19" s="12"/>
      <c r="CIE19" s="13"/>
      <c r="CIK19" s="4"/>
      <c r="CIL19" s="12"/>
      <c r="CIM19" s="13"/>
      <c r="CIS19" s="4"/>
      <c r="CIT19" s="12"/>
      <c r="CIU19" s="13"/>
      <c r="CJA19" s="4"/>
      <c r="CJB19" s="12"/>
      <c r="CJC19" s="13"/>
      <c r="CJI19" s="4"/>
      <c r="CJJ19" s="12"/>
      <c r="CJK19" s="13"/>
      <c r="CJQ19" s="4"/>
      <c r="CJR19" s="12"/>
      <c r="CJS19" s="13"/>
      <c r="CJY19" s="4"/>
      <c r="CJZ19" s="12"/>
      <c r="CKA19" s="13"/>
      <c r="CKG19" s="4"/>
      <c r="CKH19" s="12"/>
      <c r="CKI19" s="13"/>
      <c r="CKO19" s="4"/>
      <c r="CKP19" s="12"/>
      <c r="CKQ19" s="13"/>
      <c r="CKW19" s="4"/>
      <c r="CKX19" s="12"/>
      <c r="CKY19" s="13"/>
      <c r="CLE19" s="4"/>
      <c r="CLF19" s="12"/>
      <c r="CLG19" s="13"/>
      <c r="CLM19" s="4"/>
      <c r="CLN19" s="12"/>
      <c r="CLO19" s="13"/>
      <c r="CLU19" s="4"/>
      <c r="CLV19" s="12"/>
      <c r="CLW19" s="13"/>
      <c r="CMC19" s="4"/>
      <c r="CMD19" s="12"/>
      <c r="CME19" s="13"/>
      <c r="CMK19" s="4"/>
      <c r="CML19" s="12"/>
      <c r="CMM19" s="13"/>
      <c r="CMS19" s="4"/>
      <c r="CMT19" s="12"/>
      <c r="CMU19" s="13"/>
      <c r="CNA19" s="4"/>
      <c r="CNB19" s="12"/>
      <c r="CNC19" s="13"/>
      <c r="CNI19" s="4"/>
      <c r="CNJ19" s="12"/>
      <c r="CNK19" s="13"/>
      <c r="CNQ19" s="4"/>
      <c r="CNR19" s="12"/>
      <c r="CNS19" s="13"/>
      <c r="CNY19" s="4"/>
      <c r="CNZ19" s="12"/>
      <c r="COA19" s="13"/>
      <c r="COG19" s="4"/>
      <c r="COH19" s="12"/>
      <c r="COI19" s="13"/>
      <c r="COO19" s="4"/>
      <c r="COP19" s="12"/>
      <c r="COQ19" s="13"/>
      <c r="COW19" s="4"/>
      <c r="COX19" s="12"/>
      <c r="COY19" s="13"/>
      <c r="CPE19" s="4"/>
      <c r="CPF19" s="12"/>
      <c r="CPG19" s="13"/>
      <c r="CPM19" s="4"/>
      <c r="CPN19" s="12"/>
      <c r="CPO19" s="13"/>
      <c r="CPU19" s="4"/>
      <c r="CPV19" s="12"/>
      <c r="CPW19" s="13"/>
      <c r="CQC19" s="4"/>
      <c r="CQD19" s="12"/>
      <c r="CQE19" s="13"/>
      <c r="CQK19" s="4"/>
      <c r="CQL19" s="12"/>
      <c r="CQM19" s="13"/>
      <c r="CQS19" s="4"/>
      <c r="CQT19" s="12"/>
      <c r="CQU19" s="13"/>
      <c r="CRA19" s="4"/>
      <c r="CRB19" s="12"/>
      <c r="CRC19" s="13"/>
      <c r="CRI19" s="4"/>
      <c r="CRJ19" s="12"/>
      <c r="CRK19" s="13"/>
      <c r="CRQ19" s="4"/>
      <c r="CRR19" s="12"/>
      <c r="CRS19" s="13"/>
      <c r="CRY19" s="4"/>
      <c r="CRZ19" s="12"/>
      <c r="CSA19" s="13"/>
      <c r="CSG19" s="4"/>
      <c r="CSH19" s="12"/>
      <c r="CSI19" s="13"/>
      <c r="CSO19" s="4"/>
      <c r="CSP19" s="12"/>
      <c r="CSQ19" s="13"/>
      <c r="CSW19" s="4"/>
      <c r="CSX19" s="12"/>
      <c r="CSY19" s="13"/>
      <c r="CTE19" s="4"/>
      <c r="CTF19" s="12"/>
      <c r="CTG19" s="13"/>
      <c r="CTM19" s="4"/>
      <c r="CTN19" s="12"/>
      <c r="CTO19" s="13"/>
      <c r="CTU19" s="4"/>
      <c r="CTV19" s="12"/>
      <c r="CTW19" s="13"/>
      <c r="CUC19" s="4"/>
      <c r="CUD19" s="12"/>
      <c r="CUE19" s="13"/>
      <c r="CUK19" s="4"/>
      <c r="CUL19" s="12"/>
      <c r="CUM19" s="13"/>
      <c r="CUS19" s="4"/>
      <c r="CUT19" s="12"/>
      <c r="CUU19" s="13"/>
      <c r="CVA19" s="4"/>
      <c r="CVB19" s="12"/>
      <c r="CVC19" s="13"/>
      <c r="CVI19" s="4"/>
      <c r="CVJ19" s="12"/>
      <c r="CVK19" s="13"/>
      <c r="CVQ19" s="4"/>
      <c r="CVR19" s="12"/>
      <c r="CVS19" s="13"/>
      <c r="CVY19" s="4"/>
      <c r="CVZ19" s="12"/>
      <c r="CWA19" s="13"/>
      <c r="CWG19" s="4"/>
      <c r="CWH19" s="12"/>
      <c r="CWI19" s="13"/>
      <c r="CWO19" s="4"/>
      <c r="CWP19" s="12"/>
      <c r="CWQ19" s="13"/>
      <c r="CWW19" s="4"/>
      <c r="CWX19" s="12"/>
      <c r="CWY19" s="13"/>
      <c r="CXE19" s="4"/>
      <c r="CXF19" s="12"/>
      <c r="CXG19" s="13"/>
      <c r="CXM19" s="4"/>
      <c r="CXN19" s="12"/>
      <c r="CXO19" s="13"/>
      <c r="CXU19" s="4"/>
      <c r="CXV19" s="12"/>
      <c r="CXW19" s="13"/>
      <c r="CYC19" s="4"/>
      <c r="CYD19" s="12"/>
      <c r="CYE19" s="13"/>
      <c r="CYK19" s="4"/>
      <c r="CYL19" s="12"/>
      <c r="CYM19" s="13"/>
      <c r="CYS19" s="4"/>
      <c r="CYT19" s="12"/>
      <c r="CYU19" s="13"/>
      <c r="CZA19" s="4"/>
      <c r="CZB19" s="12"/>
      <c r="CZC19" s="13"/>
      <c r="CZI19" s="4"/>
      <c r="CZJ19" s="12"/>
      <c r="CZK19" s="13"/>
      <c r="CZQ19" s="4"/>
      <c r="CZR19" s="12"/>
      <c r="CZS19" s="13"/>
      <c r="CZY19" s="4"/>
      <c r="CZZ19" s="12"/>
      <c r="DAA19" s="13"/>
      <c r="DAG19" s="4"/>
      <c r="DAH19" s="12"/>
      <c r="DAI19" s="13"/>
      <c r="DAO19" s="4"/>
      <c r="DAP19" s="12"/>
      <c r="DAQ19" s="13"/>
      <c r="DAW19" s="4"/>
      <c r="DAX19" s="12"/>
      <c r="DAY19" s="13"/>
      <c r="DBE19" s="4"/>
      <c r="DBF19" s="12"/>
      <c r="DBG19" s="13"/>
      <c r="DBM19" s="4"/>
      <c r="DBN19" s="12"/>
      <c r="DBO19" s="13"/>
      <c r="DBU19" s="4"/>
      <c r="DBV19" s="12"/>
      <c r="DBW19" s="13"/>
      <c r="DCC19" s="4"/>
      <c r="DCD19" s="12"/>
      <c r="DCE19" s="13"/>
      <c r="DCK19" s="4"/>
      <c r="DCL19" s="12"/>
      <c r="DCM19" s="13"/>
      <c r="DCS19" s="4"/>
      <c r="DCT19" s="12"/>
      <c r="DCU19" s="13"/>
      <c r="DDA19" s="4"/>
      <c r="DDB19" s="12"/>
      <c r="DDC19" s="13"/>
      <c r="DDI19" s="4"/>
      <c r="DDJ19" s="12"/>
      <c r="DDK19" s="13"/>
      <c r="DDQ19" s="4"/>
      <c r="DDR19" s="12"/>
      <c r="DDS19" s="13"/>
      <c r="DDY19" s="4"/>
      <c r="DDZ19" s="12"/>
      <c r="DEA19" s="13"/>
      <c r="DEG19" s="4"/>
      <c r="DEH19" s="12"/>
      <c r="DEI19" s="13"/>
      <c r="DEO19" s="4"/>
      <c r="DEP19" s="12"/>
      <c r="DEQ19" s="13"/>
      <c r="DEW19" s="4"/>
      <c r="DEX19" s="12"/>
      <c r="DEY19" s="13"/>
      <c r="DFE19" s="4"/>
      <c r="DFF19" s="12"/>
      <c r="DFG19" s="13"/>
      <c r="DFM19" s="4"/>
      <c r="DFN19" s="12"/>
      <c r="DFO19" s="13"/>
      <c r="DFU19" s="4"/>
      <c r="DFV19" s="12"/>
      <c r="DFW19" s="13"/>
      <c r="DGC19" s="4"/>
      <c r="DGD19" s="12"/>
      <c r="DGE19" s="13"/>
      <c r="DGK19" s="4"/>
      <c r="DGL19" s="12"/>
      <c r="DGM19" s="13"/>
      <c r="DGS19" s="4"/>
      <c r="DGT19" s="12"/>
      <c r="DGU19" s="13"/>
      <c r="DHA19" s="4"/>
      <c r="DHB19" s="12"/>
      <c r="DHC19" s="13"/>
      <c r="DHI19" s="4"/>
      <c r="DHJ19" s="12"/>
      <c r="DHK19" s="13"/>
      <c r="DHQ19" s="4"/>
      <c r="DHR19" s="12"/>
      <c r="DHS19" s="13"/>
      <c r="DHY19" s="4"/>
      <c r="DHZ19" s="12"/>
      <c r="DIA19" s="13"/>
      <c r="DIG19" s="4"/>
      <c r="DIH19" s="12"/>
      <c r="DII19" s="13"/>
      <c r="DIO19" s="4"/>
      <c r="DIP19" s="12"/>
      <c r="DIQ19" s="13"/>
      <c r="DIW19" s="4"/>
      <c r="DIX19" s="12"/>
      <c r="DIY19" s="13"/>
      <c r="DJE19" s="4"/>
      <c r="DJF19" s="12"/>
      <c r="DJG19" s="13"/>
      <c r="DJM19" s="4"/>
      <c r="DJN19" s="12"/>
      <c r="DJO19" s="13"/>
      <c r="DJU19" s="4"/>
      <c r="DJV19" s="12"/>
      <c r="DJW19" s="13"/>
      <c r="DKC19" s="4"/>
      <c r="DKD19" s="12"/>
      <c r="DKE19" s="13"/>
      <c r="DKK19" s="4"/>
      <c r="DKL19" s="12"/>
      <c r="DKM19" s="13"/>
      <c r="DKS19" s="4"/>
      <c r="DKT19" s="12"/>
      <c r="DKU19" s="13"/>
      <c r="DLA19" s="4"/>
      <c r="DLB19" s="12"/>
      <c r="DLC19" s="13"/>
      <c r="DLI19" s="4"/>
      <c r="DLJ19" s="12"/>
      <c r="DLK19" s="13"/>
      <c r="DLQ19" s="4"/>
      <c r="DLR19" s="12"/>
      <c r="DLS19" s="13"/>
      <c r="DLY19" s="4"/>
      <c r="DLZ19" s="12"/>
      <c r="DMA19" s="13"/>
      <c r="DMG19" s="4"/>
      <c r="DMH19" s="12"/>
      <c r="DMI19" s="13"/>
      <c r="DMO19" s="4"/>
      <c r="DMP19" s="12"/>
      <c r="DMQ19" s="13"/>
      <c r="DMW19" s="4"/>
      <c r="DMX19" s="12"/>
      <c r="DMY19" s="13"/>
      <c r="DNE19" s="4"/>
      <c r="DNF19" s="12"/>
      <c r="DNG19" s="13"/>
      <c r="DNM19" s="4"/>
      <c r="DNN19" s="12"/>
      <c r="DNO19" s="13"/>
      <c r="DNU19" s="4"/>
      <c r="DNV19" s="12"/>
      <c r="DNW19" s="13"/>
      <c r="DOC19" s="4"/>
      <c r="DOD19" s="12"/>
      <c r="DOE19" s="13"/>
      <c r="DOK19" s="4"/>
      <c r="DOL19" s="12"/>
      <c r="DOM19" s="13"/>
      <c r="DOS19" s="4"/>
      <c r="DOT19" s="12"/>
      <c r="DOU19" s="13"/>
      <c r="DPA19" s="4"/>
      <c r="DPB19" s="12"/>
      <c r="DPC19" s="13"/>
      <c r="DPI19" s="4"/>
      <c r="DPJ19" s="12"/>
      <c r="DPK19" s="13"/>
      <c r="DPQ19" s="4"/>
      <c r="DPR19" s="12"/>
      <c r="DPS19" s="13"/>
      <c r="DPY19" s="4"/>
      <c r="DPZ19" s="12"/>
      <c r="DQA19" s="13"/>
      <c r="DQG19" s="4"/>
      <c r="DQH19" s="12"/>
      <c r="DQI19" s="13"/>
      <c r="DQO19" s="4"/>
      <c r="DQP19" s="12"/>
      <c r="DQQ19" s="13"/>
      <c r="DQW19" s="4"/>
      <c r="DQX19" s="12"/>
      <c r="DQY19" s="13"/>
      <c r="DRE19" s="4"/>
      <c r="DRF19" s="12"/>
      <c r="DRG19" s="13"/>
      <c r="DRM19" s="4"/>
      <c r="DRN19" s="12"/>
      <c r="DRO19" s="13"/>
      <c r="DRU19" s="4"/>
      <c r="DRV19" s="12"/>
      <c r="DRW19" s="13"/>
      <c r="DSC19" s="4"/>
      <c r="DSD19" s="12"/>
      <c r="DSE19" s="13"/>
      <c r="DSK19" s="4"/>
      <c r="DSL19" s="12"/>
      <c r="DSM19" s="13"/>
      <c r="DSS19" s="4"/>
      <c r="DST19" s="12"/>
      <c r="DSU19" s="13"/>
      <c r="DTA19" s="4"/>
      <c r="DTB19" s="12"/>
      <c r="DTC19" s="13"/>
      <c r="DTI19" s="4"/>
      <c r="DTJ19" s="12"/>
      <c r="DTK19" s="13"/>
      <c r="DTQ19" s="4"/>
      <c r="DTR19" s="12"/>
      <c r="DTS19" s="13"/>
      <c r="DTY19" s="4"/>
      <c r="DTZ19" s="12"/>
      <c r="DUA19" s="13"/>
      <c r="DUG19" s="4"/>
      <c r="DUH19" s="12"/>
      <c r="DUI19" s="13"/>
      <c r="DUO19" s="4"/>
      <c r="DUP19" s="12"/>
      <c r="DUQ19" s="13"/>
      <c r="DUW19" s="4"/>
      <c r="DUX19" s="12"/>
      <c r="DUY19" s="13"/>
      <c r="DVE19" s="4"/>
      <c r="DVF19" s="12"/>
      <c r="DVG19" s="13"/>
      <c r="DVM19" s="4"/>
      <c r="DVN19" s="12"/>
      <c r="DVO19" s="13"/>
      <c r="DVU19" s="4"/>
      <c r="DVV19" s="12"/>
      <c r="DVW19" s="13"/>
      <c r="DWC19" s="4"/>
      <c r="DWD19" s="12"/>
      <c r="DWE19" s="13"/>
      <c r="DWK19" s="4"/>
      <c r="DWL19" s="12"/>
      <c r="DWM19" s="13"/>
      <c r="DWS19" s="4"/>
      <c r="DWT19" s="12"/>
      <c r="DWU19" s="13"/>
      <c r="DXA19" s="4"/>
      <c r="DXB19" s="12"/>
      <c r="DXC19" s="13"/>
      <c r="DXI19" s="4"/>
      <c r="DXJ19" s="12"/>
      <c r="DXK19" s="13"/>
      <c r="DXQ19" s="4"/>
      <c r="DXR19" s="12"/>
      <c r="DXS19" s="13"/>
      <c r="DXY19" s="4"/>
      <c r="DXZ19" s="12"/>
      <c r="DYA19" s="13"/>
      <c r="DYG19" s="4"/>
      <c r="DYH19" s="12"/>
      <c r="DYI19" s="13"/>
      <c r="DYO19" s="4"/>
      <c r="DYP19" s="12"/>
      <c r="DYQ19" s="13"/>
      <c r="DYW19" s="4"/>
      <c r="DYX19" s="12"/>
      <c r="DYY19" s="13"/>
      <c r="DZE19" s="4"/>
      <c r="DZF19" s="12"/>
      <c r="DZG19" s="13"/>
      <c r="DZM19" s="4"/>
      <c r="DZN19" s="12"/>
      <c r="DZO19" s="13"/>
      <c r="DZU19" s="4"/>
      <c r="DZV19" s="12"/>
      <c r="DZW19" s="13"/>
      <c r="EAC19" s="4"/>
      <c r="EAD19" s="12"/>
      <c r="EAE19" s="13"/>
      <c r="EAK19" s="4"/>
      <c r="EAL19" s="12"/>
      <c r="EAM19" s="13"/>
      <c r="EAS19" s="4"/>
      <c r="EAT19" s="12"/>
      <c r="EAU19" s="13"/>
      <c r="EBA19" s="4"/>
      <c r="EBB19" s="12"/>
      <c r="EBC19" s="13"/>
      <c r="EBI19" s="4"/>
      <c r="EBJ19" s="12"/>
      <c r="EBK19" s="13"/>
      <c r="EBQ19" s="4"/>
      <c r="EBR19" s="12"/>
      <c r="EBS19" s="13"/>
      <c r="EBY19" s="4"/>
      <c r="EBZ19" s="12"/>
      <c r="ECA19" s="13"/>
      <c r="ECG19" s="4"/>
      <c r="ECH19" s="12"/>
      <c r="ECI19" s="13"/>
      <c r="ECO19" s="4"/>
      <c r="ECP19" s="12"/>
      <c r="ECQ19" s="13"/>
      <c r="ECW19" s="4"/>
      <c r="ECX19" s="12"/>
      <c r="ECY19" s="13"/>
      <c r="EDE19" s="4"/>
      <c r="EDF19" s="12"/>
      <c r="EDG19" s="13"/>
      <c r="EDM19" s="4"/>
      <c r="EDN19" s="12"/>
      <c r="EDO19" s="13"/>
      <c r="EDU19" s="4"/>
      <c r="EDV19" s="12"/>
      <c r="EDW19" s="13"/>
      <c r="EEC19" s="4"/>
      <c r="EED19" s="12"/>
      <c r="EEE19" s="13"/>
      <c r="EEK19" s="4"/>
      <c r="EEL19" s="12"/>
      <c r="EEM19" s="13"/>
      <c r="EES19" s="4"/>
      <c r="EET19" s="12"/>
      <c r="EEU19" s="13"/>
      <c r="EFA19" s="4"/>
      <c r="EFB19" s="12"/>
      <c r="EFC19" s="13"/>
      <c r="EFI19" s="4"/>
      <c r="EFJ19" s="12"/>
      <c r="EFK19" s="13"/>
      <c r="EFQ19" s="4"/>
      <c r="EFR19" s="12"/>
      <c r="EFS19" s="13"/>
      <c r="EFY19" s="4"/>
      <c r="EFZ19" s="12"/>
      <c r="EGA19" s="13"/>
      <c r="EGG19" s="4"/>
      <c r="EGH19" s="12"/>
      <c r="EGI19" s="13"/>
      <c r="EGO19" s="4"/>
      <c r="EGP19" s="12"/>
      <c r="EGQ19" s="13"/>
      <c r="EGW19" s="4"/>
      <c r="EGX19" s="12"/>
      <c r="EGY19" s="13"/>
      <c r="EHE19" s="4"/>
      <c r="EHF19" s="12"/>
      <c r="EHG19" s="13"/>
      <c r="EHM19" s="4"/>
      <c r="EHN19" s="12"/>
      <c r="EHO19" s="13"/>
      <c r="EHU19" s="4"/>
      <c r="EHV19" s="12"/>
      <c r="EHW19" s="13"/>
      <c r="EIC19" s="4"/>
      <c r="EID19" s="12"/>
      <c r="EIE19" s="13"/>
      <c r="EIK19" s="4"/>
      <c r="EIL19" s="12"/>
      <c r="EIM19" s="13"/>
      <c r="EIS19" s="4"/>
      <c r="EIT19" s="12"/>
      <c r="EIU19" s="13"/>
      <c r="EJA19" s="4"/>
      <c r="EJB19" s="12"/>
      <c r="EJC19" s="13"/>
      <c r="EJI19" s="4"/>
      <c r="EJJ19" s="12"/>
      <c r="EJK19" s="13"/>
      <c r="EJQ19" s="4"/>
      <c r="EJR19" s="12"/>
      <c r="EJS19" s="13"/>
      <c r="EJY19" s="4"/>
      <c r="EJZ19" s="12"/>
      <c r="EKA19" s="13"/>
      <c r="EKG19" s="4"/>
      <c r="EKH19" s="12"/>
      <c r="EKI19" s="13"/>
      <c r="EKO19" s="4"/>
      <c r="EKP19" s="12"/>
      <c r="EKQ19" s="13"/>
      <c r="EKW19" s="4"/>
      <c r="EKX19" s="12"/>
      <c r="EKY19" s="13"/>
      <c r="ELE19" s="4"/>
      <c r="ELF19" s="12"/>
      <c r="ELG19" s="13"/>
      <c r="ELM19" s="4"/>
      <c r="ELN19" s="12"/>
      <c r="ELO19" s="13"/>
      <c r="ELU19" s="4"/>
      <c r="ELV19" s="12"/>
      <c r="ELW19" s="13"/>
      <c r="EMC19" s="4"/>
      <c r="EMD19" s="12"/>
      <c r="EME19" s="13"/>
      <c r="EMK19" s="4"/>
      <c r="EML19" s="12"/>
      <c r="EMM19" s="13"/>
      <c r="EMS19" s="4"/>
      <c r="EMT19" s="12"/>
      <c r="EMU19" s="13"/>
      <c r="ENA19" s="4"/>
      <c r="ENB19" s="12"/>
      <c r="ENC19" s="13"/>
      <c r="ENI19" s="4"/>
      <c r="ENJ19" s="12"/>
      <c r="ENK19" s="13"/>
      <c r="ENQ19" s="4"/>
      <c r="ENR19" s="12"/>
      <c r="ENS19" s="13"/>
      <c r="ENY19" s="4"/>
      <c r="ENZ19" s="12"/>
      <c r="EOA19" s="13"/>
      <c r="EOG19" s="4"/>
      <c r="EOH19" s="12"/>
      <c r="EOI19" s="13"/>
      <c r="EOO19" s="4"/>
      <c r="EOP19" s="12"/>
      <c r="EOQ19" s="13"/>
      <c r="EOW19" s="4"/>
      <c r="EOX19" s="12"/>
      <c r="EOY19" s="13"/>
      <c r="EPE19" s="4"/>
      <c r="EPF19" s="12"/>
      <c r="EPG19" s="13"/>
      <c r="EPM19" s="4"/>
      <c r="EPN19" s="12"/>
      <c r="EPO19" s="13"/>
      <c r="EPU19" s="4"/>
      <c r="EPV19" s="12"/>
      <c r="EPW19" s="13"/>
      <c r="EQC19" s="4"/>
      <c r="EQD19" s="12"/>
      <c r="EQE19" s="13"/>
      <c r="EQK19" s="4"/>
      <c r="EQL19" s="12"/>
      <c r="EQM19" s="13"/>
      <c r="EQS19" s="4"/>
      <c r="EQT19" s="12"/>
      <c r="EQU19" s="13"/>
      <c r="ERA19" s="4"/>
      <c r="ERB19" s="12"/>
      <c r="ERC19" s="13"/>
      <c r="ERI19" s="4"/>
      <c r="ERJ19" s="12"/>
      <c r="ERK19" s="13"/>
      <c r="ERQ19" s="4"/>
      <c r="ERR19" s="12"/>
      <c r="ERS19" s="13"/>
      <c r="ERY19" s="4"/>
      <c r="ERZ19" s="12"/>
      <c r="ESA19" s="13"/>
      <c r="ESG19" s="4"/>
      <c r="ESH19" s="12"/>
      <c r="ESI19" s="13"/>
      <c r="ESO19" s="4"/>
      <c r="ESP19" s="12"/>
      <c r="ESQ19" s="13"/>
      <c r="ESW19" s="4"/>
      <c r="ESX19" s="12"/>
      <c r="ESY19" s="13"/>
      <c r="ETE19" s="4"/>
      <c r="ETF19" s="12"/>
      <c r="ETG19" s="13"/>
      <c r="ETM19" s="4"/>
      <c r="ETN19" s="12"/>
      <c r="ETO19" s="13"/>
      <c r="ETU19" s="4"/>
      <c r="ETV19" s="12"/>
      <c r="ETW19" s="13"/>
      <c r="EUC19" s="4"/>
      <c r="EUD19" s="12"/>
      <c r="EUE19" s="13"/>
      <c r="EUK19" s="4"/>
      <c r="EUL19" s="12"/>
      <c r="EUM19" s="13"/>
      <c r="EUS19" s="4"/>
      <c r="EUT19" s="12"/>
      <c r="EUU19" s="13"/>
      <c r="EVA19" s="4"/>
      <c r="EVB19" s="12"/>
      <c r="EVC19" s="13"/>
      <c r="EVI19" s="4"/>
      <c r="EVJ19" s="12"/>
      <c r="EVK19" s="13"/>
      <c r="EVQ19" s="4"/>
      <c r="EVR19" s="12"/>
      <c r="EVS19" s="13"/>
      <c r="EVY19" s="4"/>
      <c r="EVZ19" s="12"/>
      <c r="EWA19" s="13"/>
      <c r="EWG19" s="4"/>
      <c r="EWH19" s="12"/>
      <c r="EWI19" s="13"/>
      <c r="EWO19" s="4"/>
      <c r="EWP19" s="12"/>
      <c r="EWQ19" s="13"/>
      <c r="EWW19" s="4"/>
      <c r="EWX19" s="12"/>
      <c r="EWY19" s="13"/>
      <c r="EXE19" s="4"/>
      <c r="EXF19" s="12"/>
      <c r="EXG19" s="13"/>
      <c r="EXM19" s="4"/>
      <c r="EXN19" s="12"/>
      <c r="EXO19" s="13"/>
      <c r="EXU19" s="4"/>
      <c r="EXV19" s="12"/>
      <c r="EXW19" s="13"/>
      <c r="EYC19" s="4"/>
      <c r="EYD19" s="12"/>
      <c r="EYE19" s="13"/>
      <c r="EYK19" s="4"/>
      <c r="EYL19" s="12"/>
      <c r="EYM19" s="13"/>
      <c r="EYS19" s="4"/>
      <c r="EYT19" s="12"/>
      <c r="EYU19" s="13"/>
      <c r="EZA19" s="4"/>
      <c r="EZB19" s="12"/>
      <c r="EZC19" s="13"/>
      <c r="EZI19" s="4"/>
      <c r="EZJ19" s="12"/>
      <c r="EZK19" s="13"/>
      <c r="EZQ19" s="4"/>
      <c r="EZR19" s="12"/>
      <c r="EZS19" s="13"/>
      <c r="EZY19" s="4"/>
      <c r="EZZ19" s="12"/>
      <c r="FAA19" s="13"/>
      <c r="FAG19" s="4"/>
      <c r="FAH19" s="12"/>
      <c r="FAI19" s="13"/>
      <c r="FAO19" s="4"/>
      <c r="FAP19" s="12"/>
      <c r="FAQ19" s="13"/>
      <c r="FAW19" s="4"/>
      <c r="FAX19" s="12"/>
      <c r="FAY19" s="13"/>
      <c r="FBE19" s="4"/>
      <c r="FBF19" s="12"/>
      <c r="FBG19" s="13"/>
      <c r="FBM19" s="4"/>
      <c r="FBN19" s="12"/>
      <c r="FBO19" s="13"/>
      <c r="FBU19" s="4"/>
      <c r="FBV19" s="12"/>
      <c r="FBW19" s="13"/>
      <c r="FCC19" s="4"/>
      <c r="FCD19" s="12"/>
      <c r="FCE19" s="13"/>
      <c r="FCK19" s="4"/>
      <c r="FCL19" s="12"/>
      <c r="FCM19" s="13"/>
      <c r="FCS19" s="4"/>
      <c r="FCT19" s="12"/>
      <c r="FCU19" s="13"/>
      <c r="FDA19" s="4"/>
      <c r="FDB19" s="12"/>
      <c r="FDC19" s="13"/>
      <c r="FDI19" s="4"/>
      <c r="FDJ19" s="12"/>
      <c r="FDK19" s="13"/>
      <c r="FDQ19" s="4"/>
      <c r="FDR19" s="12"/>
      <c r="FDS19" s="13"/>
      <c r="FDY19" s="4"/>
      <c r="FDZ19" s="12"/>
      <c r="FEA19" s="13"/>
      <c r="FEG19" s="4"/>
      <c r="FEH19" s="12"/>
      <c r="FEI19" s="13"/>
      <c r="FEO19" s="4"/>
      <c r="FEP19" s="12"/>
      <c r="FEQ19" s="13"/>
      <c r="FEW19" s="4"/>
      <c r="FEX19" s="12"/>
      <c r="FEY19" s="13"/>
      <c r="FFE19" s="4"/>
      <c r="FFF19" s="12"/>
      <c r="FFG19" s="13"/>
      <c r="FFM19" s="4"/>
      <c r="FFN19" s="12"/>
      <c r="FFO19" s="13"/>
      <c r="FFU19" s="4"/>
      <c r="FFV19" s="12"/>
      <c r="FFW19" s="13"/>
      <c r="FGC19" s="4"/>
      <c r="FGD19" s="12"/>
      <c r="FGE19" s="13"/>
      <c r="FGK19" s="4"/>
      <c r="FGL19" s="12"/>
      <c r="FGM19" s="13"/>
      <c r="FGS19" s="4"/>
      <c r="FGT19" s="12"/>
      <c r="FGU19" s="13"/>
      <c r="FHA19" s="4"/>
      <c r="FHB19" s="12"/>
      <c r="FHC19" s="13"/>
      <c r="FHI19" s="4"/>
      <c r="FHJ19" s="12"/>
      <c r="FHK19" s="13"/>
      <c r="FHQ19" s="4"/>
      <c r="FHR19" s="12"/>
      <c r="FHS19" s="13"/>
      <c r="FHY19" s="4"/>
      <c r="FHZ19" s="12"/>
      <c r="FIA19" s="13"/>
      <c r="FIG19" s="4"/>
      <c r="FIH19" s="12"/>
      <c r="FII19" s="13"/>
      <c r="FIO19" s="4"/>
      <c r="FIP19" s="12"/>
      <c r="FIQ19" s="13"/>
      <c r="FIW19" s="4"/>
      <c r="FIX19" s="12"/>
      <c r="FIY19" s="13"/>
      <c r="FJE19" s="4"/>
      <c r="FJF19" s="12"/>
      <c r="FJG19" s="13"/>
      <c r="FJM19" s="4"/>
      <c r="FJN19" s="12"/>
      <c r="FJO19" s="13"/>
      <c r="FJU19" s="4"/>
      <c r="FJV19" s="12"/>
      <c r="FJW19" s="13"/>
      <c r="FKC19" s="4"/>
      <c r="FKD19" s="12"/>
      <c r="FKE19" s="13"/>
      <c r="FKK19" s="4"/>
      <c r="FKL19" s="12"/>
      <c r="FKM19" s="13"/>
      <c r="FKS19" s="4"/>
      <c r="FKT19" s="12"/>
      <c r="FKU19" s="13"/>
      <c r="FLA19" s="4"/>
      <c r="FLB19" s="12"/>
      <c r="FLC19" s="13"/>
      <c r="FLI19" s="4"/>
      <c r="FLJ19" s="12"/>
      <c r="FLK19" s="13"/>
      <c r="FLQ19" s="4"/>
      <c r="FLR19" s="12"/>
      <c r="FLS19" s="13"/>
      <c r="FLY19" s="4"/>
      <c r="FLZ19" s="12"/>
      <c r="FMA19" s="13"/>
      <c r="FMG19" s="4"/>
      <c r="FMH19" s="12"/>
      <c r="FMI19" s="13"/>
      <c r="FMO19" s="4"/>
      <c r="FMP19" s="12"/>
      <c r="FMQ19" s="13"/>
      <c r="FMW19" s="4"/>
      <c r="FMX19" s="12"/>
      <c r="FMY19" s="13"/>
      <c r="FNE19" s="4"/>
      <c r="FNF19" s="12"/>
      <c r="FNG19" s="13"/>
      <c r="FNM19" s="4"/>
      <c r="FNN19" s="12"/>
      <c r="FNO19" s="13"/>
      <c r="FNU19" s="4"/>
      <c r="FNV19" s="12"/>
      <c r="FNW19" s="13"/>
      <c r="FOC19" s="4"/>
      <c r="FOD19" s="12"/>
      <c r="FOE19" s="13"/>
      <c r="FOK19" s="4"/>
      <c r="FOL19" s="12"/>
      <c r="FOM19" s="13"/>
      <c r="FOS19" s="4"/>
      <c r="FOT19" s="12"/>
      <c r="FOU19" s="13"/>
      <c r="FPA19" s="4"/>
      <c r="FPB19" s="12"/>
      <c r="FPC19" s="13"/>
      <c r="FPI19" s="4"/>
      <c r="FPJ19" s="12"/>
      <c r="FPK19" s="13"/>
      <c r="FPQ19" s="4"/>
      <c r="FPR19" s="12"/>
      <c r="FPS19" s="13"/>
      <c r="FPY19" s="4"/>
      <c r="FPZ19" s="12"/>
      <c r="FQA19" s="13"/>
      <c r="FQG19" s="4"/>
      <c r="FQH19" s="12"/>
      <c r="FQI19" s="13"/>
      <c r="FQO19" s="4"/>
      <c r="FQP19" s="12"/>
      <c r="FQQ19" s="13"/>
      <c r="FQW19" s="4"/>
      <c r="FQX19" s="12"/>
      <c r="FQY19" s="13"/>
      <c r="FRE19" s="4"/>
      <c r="FRF19" s="12"/>
      <c r="FRG19" s="13"/>
      <c r="FRM19" s="4"/>
      <c r="FRN19" s="12"/>
      <c r="FRO19" s="13"/>
      <c r="FRU19" s="4"/>
      <c r="FRV19" s="12"/>
      <c r="FRW19" s="13"/>
      <c r="FSC19" s="4"/>
      <c r="FSD19" s="12"/>
      <c r="FSE19" s="13"/>
      <c r="FSK19" s="4"/>
      <c r="FSL19" s="12"/>
      <c r="FSM19" s="13"/>
      <c r="FSS19" s="4"/>
      <c r="FST19" s="12"/>
      <c r="FSU19" s="13"/>
      <c r="FTA19" s="4"/>
      <c r="FTB19" s="12"/>
      <c r="FTC19" s="13"/>
      <c r="FTI19" s="4"/>
      <c r="FTJ19" s="12"/>
      <c r="FTK19" s="13"/>
      <c r="FTQ19" s="4"/>
      <c r="FTR19" s="12"/>
      <c r="FTS19" s="13"/>
      <c r="FTY19" s="4"/>
      <c r="FTZ19" s="12"/>
      <c r="FUA19" s="13"/>
      <c r="FUG19" s="4"/>
      <c r="FUH19" s="12"/>
      <c r="FUI19" s="13"/>
      <c r="FUO19" s="4"/>
      <c r="FUP19" s="12"/>
      <c r="FUQ19" s="13"/>
      <c r="FUW19" s="4"/>
      <c r="FUX19" s="12"/>
      <c r="FUY19" s="13"/>
      <c r="FVE19" s="4"/>
      <c r="FVF19" s="12"/>
      <c r="FVG19" s="13"/>
      <c r="FVM19" s="4"/>
      <c r="FVN19" s="12"/>
      <c r="FVO19" s="13"/>
      <c r="FVU19" s="4"/>
      <c r="FVV19" s="12"/>
      <c r="FVW19" s="13"/>
      <c r="FWC19" s="4"/>
      <c r="FWD19" s="12"/>
      <c r="FWE19" s="13"/>
      <c r="FWK19" s="4"/>
      <c r="FWL19" s="12"/>
      <c r="FWM19" s="13"/>
      <c r="FWS19" s="4"/>
      <c r="FWT19" s="12"/>
      <c r="FWU19" s="13"/>
      <c r="FXA19" s="4"/>
      <c r="FXB19" s="12"/>
      <c r="FXC19" s="13"/>
      <c r="FXI19" s="4"/>
      <c r="FXJ19" s="12"/>
      <c r="FXK19" s="13"/>
      <c r="FXQ19" s="4"/>
      <c r="FXR19" s="12"/>
      <c r="FXS19" s="13"/>
      <c r="FXY19" s="4"/>
      <c r="FXZ19" s="12"/>
      <c r="FYA19" s="13"/>
      <c r="FYG19" s="4"/>
      <c r="FYH19" s="12"/>
      <c r="FYI19" s="13"/>
      <c r="FYO19" s="4"/>
      <c r="FYP19" s="12"/>
      <c r="FYQ19" s="13"/>
      <c r="FYW19" s="4"/>
      <c r="FYX19" s="12"/>
      <c r="FYY19" s="13"/>
      <c r="FZE19" s="4"/>
      <c r="FZF19" s="12"/>
      <c r="FZG19" s="13"/>
      <c r="FZM19" s="4"/>
      <c r="FZN19" s="12"/>
      <c r="FZO19" s="13"/>
      <c r="FZU19" s="4"/>
      <c r="FZV19" s="12"/>
      <c r="FZW19" s="13"/>
      <c r="GAC19" s="4"/>
      <c r="GAD19" s="12"/>
      <c r="GAE19" s="13"/>
      <c r="GAK19" s="4"/>
      <c r="GAL19" s="12"/>
      <c r="GAM19" s="13"/>
      <c r="GAS19" s="4"/>
      <c r="GAT19" s="12"/>
      <c r="GAU19" s="13"/>
      <c r="GBA19" s="4"/>
      <c r="GBB19" s="12"/>
      <c r="GBC19" s="13"/>
      <c r="GBI19" s="4"/>
      <c r="GBJ19" s="12"/>
      <c r="GBK19" s="13"/>
      <c r="GBQ19" s="4"/>
      <c r="GBR19" s="12"/>
      <c r="GBS19" s="13"/>
      <c r="GBY19" s="4"/>
      <c r="GBZ19" s="12"/>
      <c r="GCA19" s="13"/>
      <c r="GCG19" s="4"/>
      <c r="GCH19" s="12"/>
      <c r="GCI19" s="13"/>
      <c r="GCO19" s="4"/>
      <c r="GCP19" s="12"/>
      <c r="GCQ19" s="13"/>
      <c r="GCW19" s="4"/>
      <c r="GCX19" s="12"/>
      <c r="GCY19" s="13"/>
      <c r="GDE19" s="4"/>
      <c r="GDF19" s="12"/>
      <c r="GDG19" s="13"/>
      <c r="GDM19" s="4"/>
      <c r="GDN19" s="12"/>
      <c r="GDO19" s="13"/>
      <c r="GDU19" s="4"/>
      <c r="GDV19" s="12"/>
      <c r="GDW19" s="13"/>
      <c r="GEC19" s="4"/>
      <c r="GED19" s="12"/>
      <c r="GEE19" s="13"/>
      <c r="GEK19" s="4"/>
      <c r="GEL19" s="12"/>
      <c r="GEM19" s="13"/>
      <c r="GES19" s="4"/>
      <c r="GET19" s="12"/>
      <c r="GEU19" s="13"/>
      <c r="GFA19" s="4"/>
      <c r="GFB19" s="12"/>
      <c r="GFC19" s="13"/>
      <c r="GFI19" s="4"/>
      <c r="GFJ19" s="12"/>
      <c r="GFK19" s="13"/>
      <c r="GFQ19" s="4"/>
      <c r="GFR19" s="12"/>
      <c r="GFS19" s="13"/>
      <c r="GFY19" s="4"/>
      <c r="GFZ19" s="12"/>
      <c r="GGA19" s="13"/>
      <c r="GGG19" s="4"/>
      <c r="GGH19" s="12"/>
      <c r="GGI19" s="13"/>
      <c r="GGO19" s="4"/>
      <c r="GGP19" s="12"/>
      <c r="GGQ19" s="13"/>
      <c r="GGW19" s="4"/>
      <c r="GGX19" s="12"/>
      <c r="GGY19" s="13"/>
      <c r="GHE19" s="4"/>
      <c r="GHF19" s="12"/>
      <c r="GHG19" s="13"/>
      <c r="GHM19" s="4"/>
      <c r="GHN19" s="12"/>
      <c r="GHO19" s="13"/>
      <c r="GHU19" s="4"/>
      <c r="GHV19" s="12"/>
      <c r="GHW19" s="13"/>
      <c r="GIC19" s="4"/>
      <c r="GID19" s="12"/>
      <c r="GIE19" s="13"/>
      <c r="GIK19" s="4"/>
      <c r="GIL19" s="12"/>
      <c r="GIM19" s="13"/>
      <c r="GIS19" s="4"/>
      <c r="GIT19" s="12"/>
      <c r="GIU19" s="13"/>
      <c r="GJA19" s="4"/>
      <c r="GJB19" s="12"/>
      <c r="GJC19" s="13"/>
      <c r="GJI19" s="4"/>
      <c r="GJJ19" s="12"/>
      <c r="GJK19" s="13"/>
      <c r="GJQ19" s="4"/>
      <c r="GJR19" s="12"/>
      <c r="GJS19" s="13"/>
      <c r="GJY19" s="4"/>
      <c r="GJZ19" s="12"/>
      <c r="GKA19" s="13"/>
      <c r="GKG19" s="4"/>
      <c r="GKH19" s="12"/>
      <c r="GKI19" s="13"/>
      <c r="GKO19" s="4"/>
      <c r="GKP19" s="12"/>
      <c r="GKQ19" s="13"/>
      <c r="GKW19" s="4"/>
      <c r="GKX19" s="12"/>
      <c r="GKY19" s="13"/>
      <c r="GLE19" s="4"/>
      <c r="GLF19" s="12"/>
      <c r="GLG19" s="13"/>
      <c r="GLM19" s="4"/>
      <c r="GLN19" s="12"/>
      <c r="GLO19" s="13"/>
      <c r="GLU19" s="4"/>
      <c r="GLV19" s="12"/>
      <c r="GLW19" s="13"/>
      <c r="GMC19" s="4"/>
      <c r="GMD19" s="12"/>
      <c r="GME19" s="13"/>
      <c r="GMK19" s="4"/>
      <c r="GML19" s="12"/>
      <c r="GMM19" s="13"/>
      <c r="GMS19" s="4"/>
      <c r="GMT19" s="12"/>
      <c r="GMU19" s="13"/>
      <c r="GNA19" s="4"/>
      <c r="GNB19" s="12"/>
      <c r="GNC19" s="13"/>
      <c r="GNI19" s="4"/>
      <c r="GNJ19" s="12"/>
      <c r="GNK19" s="13"/>
      <c r="GNQ19" s="4"/>
      <c r="GNR19" s="12"/>
      <c r="GNS19" s="13"/>
      <c r="GNY19" s="4"/>
      <c r="GNZ19" s="12"/>
      <c r="GOA19" s="13"/>
      <c r="GOG19" s="4"/>
      <c r="GOH19" s="12"/>
      <c r="GOI19" s="13"/>
      <c r="GOO19" s="4"/>
      <c r="GOP19" s="12"/>
      <c r="GOQ19" s="13"/>
      <c r="GOW19" s="4"/>
      <c r="GOX19" s="12"/>
      <c r="GOY19" s="13"/>
      <c r="GPE19" s="4"/>
      <c r="GPF19" s="12"/>
      <c r="GPG19" s="13"/>
      <c r="GPM19" s="4"/>
      <c r="GPN19" s="12"/>
      <c r="GPO19" s="13"/>
      <c r="GPU19" s="4"/>
      <c r="GPV19" s="12"/>
      <c r="GPW19" s="13"/>
      <c r="GQC19" s="4"/>
      <c r="GQD19" s="12"/>
      <c r="GQE19" s="13"/>
      <c r="GQK19" s="4"/>
      <c r="GQL19" s="12"/>
      <c r="GQM19" s="13"/>
      <c r="GQS19" s="4"/>
      <c r="GQT19" s="12"/>
      <c r="GQU19" s="13"/>
      <c r="GRA19" s="4"/>
      <c r="GRB19" s="12"/>
      <c r="GRC19" s="13"/>
      <c r="GRI19" s="4"/>
      <c r="GRJ19" s="12"/>
      <c r="GRK19" s="13"/>
      <c r="GRQ19" s="4"/>
      <c r="GRR19" s="12"/>
      <c r="GRS19" s="13"/>
      <c r="GRY19" s="4"/>
      <c r="GRZ19" s="12"/>
      <c r="GSA19" s="13"/>
      <c r="GSG19" s="4"/>
      <c r="GSH19" s="12"/>
      <c r="GSI19" s="13"/>
      <c r="GSO19" s="4"/>
      <c r="GSP19" s="12"/>
      <c r="GSQ19" s="13"/>
      <c r="GSW19" s="4"/>
      <c r="GSX19" s="12"/>
      <c r="GSY19" s="13"/>
      <c r="GTE19" s="4"/>
      <c r="GTF19" s="12"/>
      <c r="GTG19" s="13"/>
      <c r="GTM19" s="4"/>
      <c r="GTN19" s="12"/>
      <c r="GTO19" s="13"/>
      <c r="GTU19" s="4"/>
      <c r="GTV19" s="12"/>
      <c r="GTW19" s="13"/>
      <c r="GUC19" s="4"/>
      <c r="GUD19" s="12"/>
      <c r="GUE19" s="13"/>
      <c r="GUK19" s="4"/>
      <c r="GUL19" s="12"/>
      <c r="GUM19" s="13"/>
      <c r="GUS19" s="4"/>
      <c r="GUT19" s="12"/>
      <c r="GUU19" s="13"/>
      <c r="GVA19" s="4"/>
      <c r="GVB19" s="12"/>
      <c r="GVC19" s="13"/>
      <c r="GVI19" s="4"/>
      <c r="GVJ19" s="12"/>
      <c r="GVK19" s="13"/>
      <c r="GVQ19" s="4"/>
      <c r="GVR19" s="12"/>
      <c r="GVS19" s="13"/>
      <c r="GVY19" s="4"/>
      <c r="GVZ19" s="12"/>
      <c r="GWA19" s="13"/>
      <c r="GWG19" s="4"/>
      <c r="GWH19" s="12"/>
      <c r="GWI19" s="13"/>
      <c r="GWO19" s="4"/>
      <c r="GWP19" s="12"/>
      <c r="GWQ19" s="13"/>
      <c r="GWW19" s="4"/>
      <c r="GWX19" s="12"/>
      <c r="GWY19" s="13"/>
      <c r="GXE19" s="4"/>
      <c r="GXF19" s="12"/>
      <c r="GXG19" s="13"/>
      <c r="GXM19" s="4"/>
      <c r="GXN19" s="12"/>
      <c r="GXO19" s="13"/>
      <c r="GXU19" s="4"/>
      <c r="GXV19" s="12"/>
      <c r="GXW19" s="13"/>
      <c r="GYC19" s="4"/>
      <c r="GYD19" s="12"/>
      <c r="GYE19" s="13"/>
      <c r="GYK19" s="4"/>
      <c r="GYL19" s="12"/>
      <c r="GYM19" s="13"/>
      <c r="GYS19" s="4"/>
      <c r="GYT19" s="12"/>
      <c r="GYU19" s="13"/>
      <c r="GZA19" s="4"/>
      <c r="GZB19" s="12"/>
      <c r="GZC19" s="13"/>
      <c r="GZI19" s="4"/>
      <c r="GZJ19" s="12"/>
      <c r="GZK19" s="13"/>
      <c r="GZQ19" s="4"/>
      <c r="GZR19" s="12"/>
      <c r="GZS19" s="13"/>
      <c r="GZY19" s="4"/>
      <c r="GZZ19" s="12"/>
      <c r="HAA19" s="13"/>
      <c r="HAG19" s="4"/>
      <c r="HAH19" s="12"/>
      <c r="HAI19" s="13"/>
      <c r="HAO19" s="4"/>
      <c r="HAP19" s="12"/>
      <c r="HAQ19" s="13"/>
      <c r="HAW19" s="4"/>
      <c r="HAX19" s="12"/>
      <c r="HAY19" s="13"/>
      <c r="HBE19" s="4"/>
      <c r="HBF19" s="12"/>
      <c r="HBG19" s="13"/>
      <c r="HBM19" s="4"/>
      <c r="HBN19" s="12"/>
      <c r="HBO19" s="13"/>
      <c r="HBU19" s="4"/>
      <c r="HBV19" s="12"/>
      <c r="HBW19" s="13"/>
      <c r="HCC19" s="4"/>
      <c r="HCD19" s="12"/>
      <c r="HCE19" s="13"/>
      <c r="HCK19" s="4"/>
      <c r="HCL19" s="12"/>
      <c r="HCM19" s="13"/>
      <c r="HCS19" s="4"/>
      <c r="HCT19" s="12"/>
      <c r="HCU19" s="13"/>
      <c r="HDA19" s="4"/>
      <c r="HDB19" s="12"/>
      <c r="HDC19" s="13"/>
      <c r="HDI19" s="4"/>
      <c r="HDJ19" s="12"/>
      <c r="HDK19" s="13"/>
      <c r="HDQ19" s="4"/>
      <c r="HDR19" s="12"/>
      <c r="HDS19" s="13"/>
      <c r="HDY19" s="4"/>
      <c r="HDZ19" s="12"/>
      <c r="HEA19" s="13"/>
      <c r="HEG19" s="4"/>
      <c r="HEH19" s="12"/>
      <c r="HEI19" s="13"/>
      <c r="HEO19" s="4"/>
      <c r="HEP19" s="12"/>
      <c r="HEQ19" s="13"/>
      <c r="HEW19" s="4"/>
      <c r="HEX19" s="12"/>
      <c r="HEY19" s="13"/>
      <c r="HFE19" s="4"/>
      <c r="HFF19" s="12"/>
      <c r="HFG19" s="13"/>
      <c r="HFM19" s="4"/>
      <c r="HFN19" s="12"/>
      <c r="HFO19" s="13"/>
      <c r="HFU19" s="4"/>
      <c r="HFV19" s="12"/>
      <c r="HFW19" s="13"/>
      <c r="HGC19" s="4"/>
      <c r="HGD19" s="12"/>
      <c r="HGE19" s="13"/>
      <c r="HGK19" s="4"/>
      <c r="HGL19" s="12"/>
      <c r="HGM19" s="13"/>
      <c r="HGS19" s="4"/>
      <c r="HGT19" s="12"/>
      <c r="HGU19" s="13"/>
      <c r="HHA19" s="4"/>
      <c r="HHB19" s="12"/>
      <c r="HHC19" s="13"/>
      <c r="HHI19" s="4"/>
      <c r="HHJ19" s="12"/>
      <c r="HHK19" s="13"/>
      <c r="HHQ19" s="4"/>
      <c r="HHR19" s="12"/>
      <c r="HHS19" s="13"/>
      <c r="HHY19" s="4"/>
      <c r="HHZ19" s="12"/>
      <c r="HIA19" s="13"/>
      <c r="HIG19" s="4"/>
      <c r="HIH19" s="12"/>
      <c r="HII19" s="13"/>
      <c r="HIO19" s="4"/>
      <c r="HIP19" s="12"/>
      <c r="HIQ19" s="13"/>
      <c r="HIW19" s="4"/>
      <c r="HIX19" s="12"/>
      <c r="HIY19" s="13"/>
      <c r="HJE19" s="4"/>
      <c r="HJF19" s="12"/>
      <c r="HJG19" s="13"/>
      <c r="HJM19" s="4"/>
      <c r="HJN19" s="12"/>
      <c r="HJO19" s="13"/>
      <c r="HJU19" s="4"/>
      <c r="HJV19" s="12"/>
      <c r="HJW19" s="13"/>
      <c r="HKC19" s="4"/>
      <c r="HKD19" s="12"/>
      <c r="HKE19" s="13"/>
      <c r="HKK19" s="4"/>
      <c r="HKL19" s="12"/>
      <c r="HKM19" s="13"/>
      <c r="HKS19" s="4"/>
      <c r="HKT19" s="12"/>
      <c r="HKU19" s="13"/>
      <c r="HLA19" s="4"/>
      <c r="HLB19" s="12"/>
      <c r="HLC19" s="13"/>
      <c r="HLI19" s="4"/>
      <c r="HLJ19" s="12"/>
      <c r="HLK19" s="13"/>
      <c r="HLQ19" s="4"/>
      <c r="HLR19" s="12"/>
      <c r="HLS19" s="13"/>
      <c r="HLY19" s="4"/>
      <c r="HLZ19" s="12"/>
      <c r="HMA19" s="13"/>
      <c r="HMG19" s="4"/>
      <c r="HMH19" s="12"/>
      <c r="HMI19" s="13"/>
      <c r="HMO19" s="4"/>
      <c r="HMP19" s="12"/>
      <c r="HMQ19" s="13"/>
      <c r="HMW19" s="4"/>
      <c r="HMX19" s="12"/>
      <c r="HMY19" s="13"/>
      <c r="HNE19" s="4"/>
      <c r="HNF19" s="12"/>
      <c r="HNG19" s="13"/>
      <c r="HNM19" s="4"/>
      <c r="HNN19" s="12"/>
      <c r="HNO19" s="13"/>
      <c r="HNU19" s="4"/>
      <c r="HNV19" s="12"/>
      <c r="HNW19" s="13"/>
      <c r="HOC19" s="4"/>
      <c r="HOD19" s="12"/>
      <c r="HOE19" s="13"/>
      <c r="HOK19" s="4"/>
      <c r="HOL19" s="12"/>
      <c r="HOM19" s="13"/>
      <c r="HOS19" s="4"/>
      <c r="HOT19" s="12"/>
      <c r="HOU19" s="13"/>
      <c r="HPA19" s="4"/>
      <c r="HPB19" s="12"/>
      <c r="HPC19" s="13"/>
      <c r="HPI19" s="4"/>
      <c r="HPJ19" s="12"/>
      <c r="HPK19" s="13"/>
      <c r="HPQ19" s="4"/>
      <c r="HPR19" s="12"/>
      <c r="HPS19" s="13"/>
      <c r="HPY19" s="4"/>
      <c r="HPZ19" s="12"/>
      <c r="HQA19" s="13"/>
      <c r="HQG19" s="4"/>
      <c r="HQH19" s="12"/>
      <c r="HQI19" s="13"/>
      <c r="HQO19" s="4"/>
      <c r="HQP19" s="12"/>
      <c r="HQQ19" s="13"/>
      <c r="HQW19" s="4"/>
      <c r="HQX19" s="12"/>
      <c r="HQY19" s="13"/>
      <c r="HRE19" s="4"/>
      <c r="HRF19" s="12"/>
      <c r="HRG19" s="13"/>
      <c r="HRM19" s="4"/>
      <c r="HRN19" s="12"/>
      <c r="HRO19" s="13"/>
      <c r="HRU19" s="4"/>
      <c r="HRV19" s="12"/>
      <c r="HRW19" s="13"/>
      <c r="HSC19" s="4"/>
      <c r="HSD19" s="12"/>
      <c r="HSE19" s="13"/>
      <c r="HSK19" s="4"/>
      <c r="HSL19" s="12"/>
      <c r="HSM19" s="13"/>
      <c r="HSS19" s="4"/>
      <c r="HST19" s="12"/>
      <c r="HSU19" s="13"/>
      <c r="HTA19" s="4"/>
      <c r="HTB19" s="12"/>
      <c r="HTC19" s="13"/>
      <c r="HTI19" s="4"/>
      <c r="HTJ19" s="12"/>
      <c r="HTK19" s="13"/>
      <c r="HTQ19" s="4"/>
      <c r="HTR19" s="12"/>
      <c r="HTS19" s="13"/>
      <c r="HTY19" s="4"/>
      <c r="HTZ19" s="12"/>
      <c r="HUA19" s="13"/>
      <c r="HUG19" s="4"/>
      <c r="HUH19" s="12"/>
      <c r="HUI19" s="13"/>
      <c r="HUO19" s="4"/>
      <c r="HUP19" s="12"/>
      <c r="HUQ19" s="13"/>
      <c r="HUW19" s="4"/>
      <c r="HUX19" s="12"/>
      <c r="HUY19" s="13"/>
      <c r="HVE19" s="4"/>
      <c r="HVF19" s="12"/>
      <c r="HVG19" s="13"/>
      <c r="HVM19" s="4"/>
      <c r="HVN19" s="12"/>
      <c r="HVO19" s="13"/>
      <c r="HVU19" s="4"/>
      <c r="HVV19" s="12"/>
      <c r="HVW19" s="13"/>
      <c r="HWC19" s="4"/>
      <c r="HWD19" s="12"/>
      <c r="HWE19" s="13"/>
      <c r="HWK19" s="4"/>
      <c r="HWL19" s="12"/>
      <c r="HWM19" s="13"/>
      <c r="HWS19" s="4"/>
      <c r="HWT19" s="12"/>
      <c r="HWU19" s="13"/>
      <c r="HXA19" s="4"/>
      <c r="HXB19" s="12"/>
      <c r="HXC19" s="13"/>
      <c r="HXI19" s="4"/>
      <c r="HXJ19" s="12"/>
      <c r="HXK19" s="13"/>
      <c r="HXQ19" s="4"/>
      <c r="HXR19" s="12"/>
      <c r="HXS19" s="13"/>
      <c r="HXY19" s="4"/>
      <c r="HXZ19" s="12"/>
      <c r="HYA19" s="13"/>
      <c r="HYG19" s="4"/>
      <c r="HYH19" s="12"/>
      <c r="HYI19" s="13"/>
      <c r="HYO19" s="4"/>
      <c r="HYP19" s="12"/>
      <c r="HYQ19" s="13"/>
      <c r="HYW19" s="4"/>
      <c r="HYX19" s="12"/>
      <c r="HYY19" s="13"/>
      <c r="HZE19" s="4"/>
      <c r="HZF19" s="12"/>
      <c r="HZG19" s="13"/>
      <c r="HZM19" s="4"/>
      <c r="HZN19" s="12"/>
      <c r="HZO19" s="13"/>
      <c r="HZU19" s="4"/>
      <c r="HZV19" s="12"/>
      <c r="HZW19" s="13"/>
      <c r="IAC19" s="4"/>
      <c r="IAD19" s="12"/>
      <c r="IAE19" s="13"/>
      <c r="IAK19" s="4"/>
      <c r="IAL19" s="12"/>
      <c r="IAM19" s="13"/>
      <c r="IAS19" s="4"/>
      <c r="IAT19" s="12"/>
      <c r="IAU19" s="13"/>
      <c r="IBA19" s="4"/>
      <c r="IBB19" s="12"/>
      <c r="IBC19" s="13"/>
      <c r="IBI19" s="4"/>
      <c r="IBJ19" s="12"/>
      <c r="IBK19" s="13"/>
      <c r="IBQ19" s="4"/>
      <c r="IBR19" s="12"/>
      <c r="IBS19" s="13"/>
      <c r="IBY19" s="4"/>
      <c r="IBZ19" s="12"/>
      <c r="ICA19" s="13"/>
      <c r="ICG19" s="4"/>
      <c r="ICH19" s="12"/>
      <c r="ICI19" s="13"/>
      <c r="ICO19" s="4"/>
      <c r="ICP19" s="12"/>
      <c r="ICQ19" s="13"/>
      <c r="ICW19" s="4"/>
      <c r="ICX19" s="12"/>
      <c r="ICY19" s="13"/>
      <c r="IDE19" s="4"/>
      <c r="IDF19" s="12"/>
      <c r="IDG19" s="13"/>
      <c r="IDM19" s="4"/>
      <c r="IDN19" s="12"/>
      <c r="IDO19" s="13"/>
      <c r="IDU19" s="4"/>
      <c r="IDV19" s="12"/>
      <c r="IDW19" s="13"/>
      <c r="IEC19" s="4"/>
      <c r="IED19" s="12"/>
      <c r="IEE19" s="13"/>
      <c r="IEK19" s="4"/>
      <c r="IEL19" s="12"/>
      <c r="IEM19" s="13"/>
      <c r="IES19" s="4"/>
      <c r="IET19" s="12"/>
      <c r="IEU19" s="13"/>
      <c r="IFA19" s="4"/>
      <c r="IFB19" s="12"/>
      <c r="IFC19" s="13"/>
      <c r="IFI19" s="4"/>
      <c r="IFJ19" s="12"/>
      <c r="IFK19" s="13"/>
      <c r="IFQ19" s="4"/>
      <c r="IFR19" s="12"/>
      <c r="IFS19" s="13"/>
      <c r="IFY19" s="4"/>
      <c r="IFZ19" s="12"/>
      <c r="IGA19" s="13"/>
      <c r="IGG19" s="4"/>
      <c r="IGH19" s="12"/>
      <c r="IGI19" s="13"/>
      <c r="IGO19" s="4"/>
      <c r="IGP19" s="12"/>
      <c r="IGQ19" s="13"/>
      <c r="IGW19" s="4"/>
      <c r="IGX19" s="12"/>
      <c r="IGY19" s="13"/>
      <c r="IHE19" s="4"/>
      <c r="IHF19" s="12"/>
      <c r="IHG19" s="13"/>
      <c r="IHM19" s="4"/>
      <c r="IHN19" s="12"/>
      <c r="IHO19" s="13"/>
      <c r="IHU19" s="4"/>
      <c r="IHV19" s="12"/>
      <c r="IHW19" s="13"/>
      <c r="IIC19" s="4"/>
      <c r="IID19" s="12"/>
      <c r="IIE19" s="13"/>
      <c r="IIK19" s="4"/>
      <c r="IIL19" s="12"/>
      <c r="IIM19" s="13"/>
      <c r="IIS19" s="4"/>
      <c r="IIT19" s="12"/>
      <c r="IIU19" s="13"/>
      <c r="IJA19" s="4"/>
      <c r="IJB19" s="12"/>
      <c r="IJC19" s="13"/>
      <c r="IJI19" s="4"/>
      <c r="IJJ19" s="12"/>
      <c r="IJK19" s="13"/>
      <c r="IJQ19" s="4"/>
      <c r="IJR19" s="12"/>
      <c r="IJS19" s="13"/>
      <c r="IJY19" s="4"/>
      <c r="IJZ19" s="12"/>
      <c r="IKA19" s="13"/>
      <c r="IKG19" s="4"/>
      <c r="IKH19" s="12"/>
      <c r="IKI19" s="13"/>
      <c r="IKO19" s="4"/>
      <c r="IKP19" s="12"/>
      <c r="IKQ19" s="13"/>
      <c r="IKW19" s="4"/>
      <c r="IKX19" s="12"/>
      <c r="IKY19" s="13"/>
      <c r="ILE19" s="4"/>
      <c r="ILF19" s="12"/>
      <c r="ILG19" s="13"/>
      <c r="ILM19" s="4"/>
      <c r="ILN19" s="12"/>
      <c r="ILO19" s="13"/>
      <c r="ILU19" s="4"/>
      <c r="ILV19" s="12"/>
      <c r="ILW19" s="13"/>
      <c r="IMC19" s="4"/>
      <c r="IMD19" s="12"/>
      <c r="IME19" s="13"/>
      <c r="IMK19" s="4"/>
      <c r="IML19" s="12"/>
      <c r="IMM19" s="13"/>
      <c r="IMS19" s="4"/>
      <c r="IMT19" s="12"/>
      <c r="IMU19" s="13"/>
      <c r="INA19" s="4"/>
      <c r="INB19" s="12"/>
      <c r="INC19" s="13"/>
      <c r="INI19" s="4"/>
      <c r="INJ19" s="12"/>
      <c r="INK19" s="13"/>
      <c r="INQ19" s="4"/>
      <c r="INR19" s="12"/>
      <c r="INS19" s="13"/>
      <c r="INY19" s="4"/>
      <c r="INZ19" s="12"/>
      <c r="IOA19" s="13"/>
      <c r="IOG19" s="4"/>
      <c r="IOH19" s="12"/>
      <c r="IOI19" s="13"/>
      <c r="IOO19" s="4"/>
      <c r="IOP19" s="12"/>
      <c r="IOQ19" s="13"/>
      <c r="IOW19" s="4"/>
      <c r="IOX19" s="12"/>
      <c r="IOY19" s="13"/>
      <c r="IPE19" s="4"/>
      <c r="IPF19" s="12"/>
      <c r="IPG19" s="13"/>
      <c r="IPM19" s="4"/>
      <c r="IPN19" s="12"/>
      <c r="IPO19" s="13"/>
      <c r="IPU19" s="4"/>
      <c r="IPV19" s="12"/>
      <c r="IPW19" s="13"/>
      <c r="IQC19" s="4"/>
      <c r="IQD19" s="12"/>
      <c r="IQE19" s="13"/>
      <c r="IQK19" s="4"/>
      <c r="IQL19" s="12"/>
      <c r="IQM19" s="13"/>
      <c r="IQS19" s="4"/>
      <c r="IQT19" s="12"/>
      <c r="IQU19" s="13"/>
      <c r="IRA19" s="4"/>
      <c r="IRB19" s="12"/>
      <c r="IRC19" s="13"/>
      <c r="IRI19" s="4"/>
      <c r="IRJ19" s="12"/>
      <c r="IRK19" s="13"/>
      <c r="IRQ19" s="4"/>
      <c r="IRR19" s="12"/>
      <c r="IRS19" s="13"/>
      <c r="IRY19" s="4"/>
      <c r="IRZ19" s="12"/>
      <c r="ISA19" s="13"/>
      <c r="ISG19" s="4"/>
      <c r="ISH19" s="12"/>
      <c r="ISI19" s="13"/>
      <c r="ISO19" s="4"/>
      <c r="ISP19" s="12"/>
      <c r="ISQ19" s="13"/>
      <c r="ISW19" s="4"/>
      <c r="ISX19" s="12"/>
      <c r="ISY19" s="13"/>
      <c r="ITE19" s="4"/>
      <c r="ITF19" s="12"/>
      <c r="ITG19" s="13"/>
      <c r="ITM19" s="4"/>
      <c r="ITN19" s="12"/>
      <c r="ITO19" s="13"/>
      <c r="ITU19" s="4"/>
      <c r="ITV19" s="12"/>
      <c r="ITW19" s="13"/>
      <c r="IUC19" s="4"/>
      <c r="IUD19" s="12"/>
      <c r="IUE19" s="13"/>
      <c r="IUK19" s="4"/>
      <c r="IUL19" s="12"/>
      <c r="IUM19" s="13"/>
      <c r="IUS19" s="4"/>
      <c r="IUT19" s="12"/>
      <c r="IUU19" s="13"/>
      <c r="IVA19" s="4"/>
      <c r="IVB19" s="12"/>
      <c r="IVC19" s="13"/>
      <c r="IVI19" s="4"/>
      <c r="IVJ19" s="12"/>
      <c r="IVK19" s="13"/>
      <c r="IVQ19" s="4"/>
      <c r="IVR19" s="12"/>
      <c r="IVS19" s="13"/>
      <c r="IVY19" s="4"/>
      <c r="IVZ19" s="12"/>
      <c r="IWA19" s="13"/>
      <c r="IWG19" s="4"/>
      <c r="IWH19" s="12"/>
      <c r="IWI19" s="13"/>
      <c r="IWO19" s="4"/>
      <c r="IWP19" s="12"/>
      <c r="IWQ19" s="13"/>
      <c r="IWW19" s="4"/>
      <c r="IWX19" s="12"/>
      <c r="IWY19" s="13"/>
      <c r="IXE19" s="4"/>
      <c r="IXF19" s="12"/>
      <c r="IXG19" s="13"/>
      <c r="IXM19" s="4"/>
      <c r="IXN19" s="12"/>
      <c r="IXO19" s="13"/>
      <c r="IXU19" s="4"/>
      <c r="IXV19" s="12"/>
      <c r="IXW19" s="13"/>
      <c r="IYC19" s="4"/>
      <c r="IYD19" s="12"/>
      <c r="IYE19" s="13"/>
      <c r="IYK19" s="4"/>
      <c r="IYL19" s="12"/>
      <c r="IYM19" s="13"/>
      <c r="IYS19" s="4"/>
      <c r="IYT19" s="12"/>
      <c r="IYU19" s="13"/>
      <c r="IZA19" s="4"/>
      <c r="IZB19" s="12"/>
      <c r="IZC19" s="13"/>
      <c r="IZI19" s="4"/>
      <c r="IZJ19" s="12"/>
      <c r="IZK19" s="13"/>
      <c r="IZQ19" s="4"/>
      <c r="IZR19" s="12"/>
      <c r="IZS19" s="13"/>
      <c r="IZY19" s="4"/>
      <c r="IZZ19" s="12"/>
      <c r="JAA19" s="13"/>
      <c r="JAG19" s="4"/>
      <c r="JAH19" s="12"/>
      <c r="JAI19" s="13"/>
      <c r="JAO19" s="4"/>
      <c r="JAP19" s="12"/>
      <c r="JAQ19" s="13"/>
      <c r="JAW19" s="4"/>
      <c r="JAX19" s="12"/>
      <c r="JAY19" s="13"/>
      <c r="JBE19" s="4"/>
      <c r="JBF19" s="12"/>
      <c r="JBG19" s="13"/>
      <c r="JBM19" s="4"/>
      <c r="JBN19" s="12"/>
      <c r="JBO19" s="13"/>
      <c r="JBU19" s="4"/>
      <c r="JBV19" s="12"/>
      <c r="JBW19" s="13"/>
      <c r="JCC19" s="4"/>
      <c r="JCD19" s="12"/>
      <c r="JCE19" s="13"/>
      <c r="JCK19" s="4"/>
      <c r="JCL19" s="12"/>
      <c r="JCM19" s="13"/>
      <c r="JCS19" s="4"/>
      <c r="JCT19" s="12"/>
      <c r="JCU19" s="13"/>
      <c r="JDA19" s="4"/>
      <c r="JDB19" s="12"/>
      <c r="JDC19" s="13"/>
      <c r="JDI19" s="4"/>
      <c r="JDJ19" s="12"/>
      <c r="JDK19" s="13"/>
      <c r="JDQ19" s="4"/>
      <c r="JDR19" s="12"/>
      <c r="JDS19" s="13"/>
      <c r="JDY19" s="4"/>
      <c r="JDZ19" s="12"/>
      <c r="JEA19" s="13"/>
      <c r="JEG19" s="4"/>
      <c r="JEH19" s="12"/>
      <c r="JEI19" s="13"/>
      <c r="JEO19" s="4"/>
      <c r="JEP19" s="12"/>
      <c r="JEQ19" s="13"/>
      <c r="JEW19" s="4"/>
      <c r="JEX19" s="12"/>
      <c r="JEY19" s="13"/>
      <c r="JFE19" s="4"/>
      <c r="JFF19" s="12"/>
      <c r="JFG19" s="13"/>
      <c r="JFM19" s="4"/>
      <c r="JFN19" s="12"/>
      <c r="JFO19" s="13"/>
      <c r="JFU19" s="4"/>
      <c r="JFV19" s="12"/>
      <c r="JFW19" s="13"/>
      <c r="JGC19" s="4"/>
      <c r="JGD19" s="12"/>
      <c r="JGE19" s="13"/>
      <c r="JGK19" s="4"/>
      <c r="JGL19" s="12"/>
      <c r="JGM19" s="13"/>
      <c r="JGS19" s="4"/>
      <c r="JGT19" s="12"/>
      <c r="JGU19" s="13"/>
      <c r="JHA19" s="4"/>
      <c r="JHB19" s="12"/>
      <c r="JHC19" s="13"/>
      <c r="JHI19" s="4"/>
      <c r="JHJ19" s="12"/>
      <c r="JHK19" s="13"/>
      <c r="JHQ19" s="4"/>
      <c r="JHR19" s="12"/>
      <c r="JHS19" s="13"/>
      <c r="JHY19" s="4"/>
      <c r="JHZ19" s="12"/>
      <c r="JIA19" s="13"/>
      <c r="JIG19" s="4"/>
      <c r="JIH19" s="12"/>
      <c r="JII19" s="13"/>
      <c r="JIO19" s="4"/>
      <c r="JIP19" s="12"/>
      <c r="JIQ19" s="13"/>
      <c r="JIW19" s="4"/>
      <c r="JIX19" s="12"/>
      <c r="JIY19" s="13"/>
      <c r="JJE19" s="4"/>
      <c r="JJF19" s="12"/>
      <c r="JJG19" s="13"/>
      <c r="JJM19" s="4"/>
      <c r="JJN19" s="12"/>
      <c r="JJO19" s="13"/>
      <c r="JJU19" s="4"/>
      <c r="JJV19" s="12"/>
      <c r="JJW19" s="13"/>
      <c r="JKC19" s="4"/>
      <c r="JKD19" s="12"/>
      <c r="JKE19" s="13"/>
      <c r="JKK19" s="4"/>
      <c r="JKL19" s="12"/>
      <c r="JKM19" s="13"/>
      <c r="JKS19" s="4"/>
      <c r="JKT19" s="12"/>
      <c r="JKU19" s="13"/>
      <c r="JLA19" s="4"/>
      <c r="JLB19" s="12"/>
      <c r="JLC19" s="13"/>
      <c r="JLI19" s="4"/>
      <c r="JLJ19" s="12"/>
      <c r="JLK19" s="13"/>
      <c r="JLQ19" s="4"/>
      <c r="JLR19" s="12"/>
      <c r="JLS19" s="13"/>
      <c r="JLY19" s="4"/>
      <c r="JLZ19" s="12"/>
      <c r="JMA19" s="13"/>
      <c r="JMG19" s="4"/>
      <c r="JMH19" s="12"/>
      <c r="JMI19" s="13"/>
      <c r="JMO19" s="4"/>
      <c r="JMP19" s="12"/>
      <c r="JMQ19" s="13"/>
      <c r="JMW19" s="4"/>
      <c r="JMX19" s="12"/>
      <c r="JMY19" s="13"/>
      <c r="JNE19" s="4"/>
      <c r="JNF19" s="12"/>
      <c r="JNG19" s="13"/>
      <c r="JNM19" s="4"/>
      <c r="JNN19" s="12"/>
      <c r="JNO19" s="13"/>
      <c r="JNU19" s="4"/>
      <c r="JNV19" s="12"/>
      <c r="JNW19" s="13"/>
      <c r="JOC19" s="4"/>
      <c r="JOD19" s="12"/>
      <c r="JOE19" s="13"/>
      <c r="JOK19" s="4"/>
      <c r="JOL19" s="12"/>
      <c r="JOM19" s="13"/>
      <c r="JOS19" s="4"/>
      <c r="JOT19" s="12"/>
      <c r="JOU19" s="13"/>
      <c r="JPA19" s="4"/>
      <c r="JPB19" s="12"/>
      <c r="JPC19" s="13"/>
      <c r="JPI19" s="4"/>
      <c r="JPJ19" s="12"/>
      <c r="JPK19" s="13"/>
      <c r="JPQ19" s="4"/>
      <c r="JPR19" s="12"/>
      <c r="JPS19" s="13"/>
      <c r="JPY19" s="4"/>
      <c r="JPZ19" s="12"/>
      <c r="JQA19" s="13"/>
      <c r="JQG19" s="4"/>
      <c r="JQH19" s="12"/>
      <c r="JQI19" s="13"/>
      <c r="JQO19" s="4"/>
      <c r="JQP19" s="12"/>
      <c r="JQQ19" s="13"/>
      <c r="JQW19" s="4"/>
      <c r="JQX19" s="12"/>
      <c r="JQY19" s="13"/>
      <c r="JRE19" s="4"/>
      <c r="JRF19" s="12"/>
      <c r="JRG19" s="13"/>
      <c r="JRM19" s="4"/>
      <c r="JRN19" s="12"/>
      <c r="JRO19" s="13"/>
      <c r="JRU19" s="4"/>
      <c r="JRV19" s="12"/>
      <c r="JRW19" s="13"/>
      <c r="JSC19" s="4"/>
      <c r="JSD19" s="12"/>
      <c r="JSE19" s="13"/>
      <c r="JSK19" s="4"/>
      <c r="JSL19" s="12"/>
      <c r="JSM19" s="13"/>
      <c r="JSS19" s="4"/>
      <c r="JST19" s="12"/>
      <c r="JSU19" s="13"/>
      <c r="JTA19" s="4"/>
      <c r="JTB19" s="12"/>
      <c r="JTC19" s="13"/>
      <c r="JTI19" s="4"/>
      <c r="JTJ19" s="12"/>
      <c r="JTK19" s="13"/>
      <c r="JTQ19" s="4"/>
      <c r="JTR19" s="12"/>
      <c r="JTS19" s="13"/>
      <c r="JTY19" s="4"/>
      <c r="JTZ19" s="12"/>
      <c r="JUA19" s="13"/>
      <c r="JUG19" s="4"/>
      <c r="JUH19" s="12"/>
      <c r="JUI19" s="13"/>
      <c r="JUO19" s="4"/>
      <c r="JUP19" s="12"/>
      <c r="JUQ19" s="13"/>
      <c r="JUW19" s="4"/>
      <c r="JUX19" s="12"/>
      <c r="JUY19" s="13"/>
      <c r="JVE19" s="4"/>
      <c r="JVF19" s="12"/>
      <c r="JVG19" s="13"/>
      <c r="JVM19" s="4"/>
      <c r="JVN19" s="12"/>
      <c r="JVO19" s="13"/>
      <c r="JVU19" s="4"/>
      <c r="JVV19" s="12"/>
      <c r="JVW19" s="13"/>
      <c r="JWC19" s="4"/>
      <c r="JWD19" s="12"/>
      <c r="JWE19" s="13"/>
      <c r="JWK19" s="4"/>
      <c r="JWL19" s="12"/>
      <c r="JWM19" s="13"/>
      <c r="JWS19" s="4"/>
      <c r="JWT19" s="12"/>
      <c r="JWU19" s="13"/>
      <c r="JXA19" s="4"/>
      <c r="JXB19" s="12"/>
      <c r="JXC19" s="13"/>
      <c r="JXI19" s="4"/>
      <c r="JXJ19" s="12"/>
      <c r="JXK19" s="13"/>
      <c r="JXQ19" s="4"/>
      <c r="JXR19" s="12"/>
      <c r="JXS19" s="13"/>
      <c r="JXY19" s="4"/>
      <c r="JXZ19" s="12"/>
      <c r="JYA19" s="13"/>
      <c r="JYG19" s="4"/>
      <c r="JYH19" s="12"/>
      <c r="JYI19" s="13"/>
      <c r="JYO19" s="4"/>
      <c r="JYP19" s="12"/>
      <c r="JYQ19" s="13"/>
      <c r="JYW19" s="4"/>
      <c r="JYX19" s="12"/>
      <c r="JYY19" s="13"/>
      <c r="JZE19" s="4"/>
      <c r="JZF19" s="12"/>
      <c r="JZG19" s="13"/>
      <c r="JZM19" s="4"/>
      <c r="JZN19" s="12"/>
      <c r="JZO19" s="13"/>
      <c r="JZU19" s="4"/>
      <c r="JZV19" s="12"/>
      <c r="JZW19" s="13"/>
      <c r="KAC19" s="4"/>
      <c r="KAD19" s="12"/>
      <c r="KAE19" s="13"/>
      <c r="KAK19" s="4"/>
      <c r="KAL19" s="12"/>
      <c r="KAM19" s="13"/>
      <c r="KAS19" s="4"/>
      <c r="KAT19" s="12"/>
      <c r="KAU19" s="13"/>
      <c r="KBA19" s="4"/>
      <c r="KBB19" s="12"/>
      <c r="KBC19" s="13"/>
      <c r="KBI19" s="4"/>
      <c r="KBJ19" s="12"/>
      <c r="KBK19" s="13"/>
      <c r="KBQ19" s="4"/>
      <c r="KBR19" s="12"/>
      <c r="KBS19" s="13"/>
      <c r="KBY19" s="4"/>
      <c r="KBZ19" s="12"/>
      <c r="KCA19" s="13"/>
      <c r="KCG19" s="4"/>
      <c r="KCH19" s="12"/>
      <c r="KCI19" s="13"/>
      <c r="KCO19" s="4"/>
      <c r="KCP19" s="12"/>
      <c r="KCQ19" s="13"/>
      <c r="KCW19" s="4"/>
      <c r="KCX19" s="12"/>
      <c r="KCY19" s="13"/>
      <c r="KDE19" s="4"/>
      <c r="KDF19" s="12"/>
      <c r="KDG19" s="13"/>
      <c r="KDM19" s="4"/>
      <c r="KDN19" s="12"/>
      <c r="KDO19" s="13"/>
      <c r="KDU19" s="4"/>
      <c r="KDV19" s="12"/>
      <c r="KDW19" s="13"/>
      <c r="KEC19" s="4"/>
      <c r="KED19" s="12"/>
      <c r="KEE19" s="13"/>
      <c r="KEK19" s="4"/>
      <c r="KEL19" s="12"/>
      <c r="KEM19" s="13"/>
      <c r="KES19" s="4"/>
      <c r="KET19" s="12"/>
      <c r="KEU19" s="13"/>
      <c r="KFA19" s="4"/>
      <c r="KFB19" s="12"/>
      <c r="KFC19" s="13"/>
      <c r="KFI19" s="4"/>
      <c r="KFJ19" s="12"/>
      <c r="KFK19" s="13"/>
      <c r="KFQ19" s="4"/>
      <c r="KFR19" s="12"/>
      <c r="KFS19" s="13"/>
      <c r="KFY19" s="4"/>
      <c r="KFZ19" s="12"/>
      <c r="KGA19" s="13"/>
      <c r="KGG19" s="4"/>
      <c r="KGH19" s="12"/>
      <c r="KGI19" s="13"/>
      <c r="KGO19" s="4"/>
      <c r="KGP19" s="12"/>
      <c r="KGQ19" s="13"/>
      <c r="KGW19" s="4"/>
      <c r="KGX19" s="12"/>
      <c r="KGY19" s="13"/>
      <c r="KHE19" s="4"/>
      <c r="KHF19" s="12"/>
      <c r="KHG19" s="13"/>
      <c r="KHM19" s="4"/>
      <c r="KHN19" s="12"/>
      <c r="KHO19" s="13"/>
      <c r="KHU19" s="4"/>
      <c r="KHV19" s="12"/>
      <c r="KHW19" s="13"/>
      <c r="KIC19" s="4"/>
      <c r="KID19" s="12"/>
      <c r="KIE19" s="13"/>
      <c r="KIK19" s="4"/>
      <c r="KIL19" s="12"/>
      <c r="KIM19" s="13"/>
      <c r="KIS19" s="4"/>
      <c r="KIT19" s="12"/>
      <c r="KIU19" s="13"/>
      <c r="KJA19" s="4"/>
      <c r="KJB19" s="12"/>
      <c r="KJC19" s="13"/>
      <c r="KJI19" s="4"/>
      <c r="KJJ19" s="12"/>
      <c r="KJK19" s="13"/>
      <c r="KJQ19" s="4"/>
      <c r="KJR19" s="12"/>
      <c r="KJS19" s="13"/>
      <c r="KJY19" s="4"/>
      <c r="KJZ19" s="12"/>
      <c r="KKA19" s="13"/>
      <c r="KKG19" s="4"/>
      <c r="KKH19" s="12"/>
      <c r="KKI19" s="13"/>
      <c r="KKO19" s="4"/>
      <c r="KKP19" s="12"/>
      <c r="KKQ19" s="13"/>
      <c r="KKW19" s="4"/>
      <c r="KKX19" s="12"/>
      <c r="KKY19" s="13"/>
      <c r="KLE19" s="4"/>
      <c r="KLF19" s="12"/>
      <c r="KLG19" s="13"/>
      <c r="KLM19" s="4"/>
      <c r="KLN19" s="12"/>
      <c r="KLO19" s="13"/>
      <c r="KLU19" s="4"/>
      <c r="KLV19" s="12"/>
      <c r="KLW19" s="13"/>
      <c r="KMC19" s="4"/>
      <c r="KMD19" s="12"/>
      <c r="KME19" s="13"/>
      <c r="KMK19" s="4"/>
      <c r="KML19" s="12"/>
      <c r="KMM19" s="13"/>
      <c r="KMS19" s="4"/>
      <c r="KMT19" s="12"/>
      <c r="KMU19" s="13"/>
      <c r="KNA19" s="4"/>
      <c r="KNB19" s="12"/>
      <c r="KNC19" s="13"/>
      <c r="KNI19" s="4"/>
      <c r="KNJ19" s="12"/>
      <c r="KNK19" s="13"/>
      <c r="KNQ19" s="4"/>
      <c r="KNR19" s="12"/>
      <c r="KNS19" s="13"/>
      <c r="KNY19" s="4"/>
      <c r="KNZ19" s="12"/>
      <c r="KOA19" s="13"/>
      <c r="KOG19" s="4"/>
      <c r="KOH19" s="12"/>
      <c r="KOI19" s="13"/>
      <c r="KOO19" s="4"/>
      <c r="KOP19" s="12"/>
      <c r="KOQ19" s="13"/>
      <c r="KOW19" s="4"/>
      <c r="KOX19" s="12"/>
      <c r="KOY19" s="13"/>
      <c r="KPE19" s="4"/>
      <c r="KPF19" s="12"/>
      <c r="KPG19" s="13"/>
      <c r="KPM19" s="4"/>
      <c r="KPN19" s="12"/>
      <c r="KPO19" s="13"/>
      <c r="KPU19" s="4"/>
      <c r="KPV19" s="12"/>
      <c r="KPW19" s="13"/>
      <c r="KQC19" s="4"/>
      <c r="KQD19" s="12"/>
      <c r="KQE19" s="13"/>
      <c r="KQK19" s="4"/>
      <c r="KQL19" s="12"/>
      <c r="KQM19" s="13"/>
      <c r="KQS19" s="4"/>
      <c r="KQT19" s="12"/>
      <c r="KQU19" s="13"/>
      <c r="KRA19" s="4"/>
      <c r="KRB19" s="12"/>
      <c r="KRC19" s="13"/>
      <c r="KRI19" s="4"/>
      <c r="KRJ19" s="12"/>
      <c r="KRK19" s="13"/>
      <c r="KRQ19" s="4"/>
      <c r="KRR19" s="12"/>
      <c r="KRS19" s="13"/>
      <c r="KRY19" s="4"/>
      <c r="KRZ19" s="12"/>
      <c r="KSA19" s="13"/>
      <c r="KSG19" s="4"/>
      <c r="KSH19" s="12"/>
      <c r="KSI19" s="13"/>
      <c r="KSO19" s="4"/>
      <c r="KSP19" s="12"/>
      <c r="KSQ19" s="13"/>
      <c r="KSW19" s="4"/>
      <c r="KSX19" s="12"/>
      <c r="KSY19" s="13"/>
      <c r="KTE19" s="4"/>
      <c r="KTF19" s="12"/>
      <c r="KTG19" s="13"/>
      <c r="KTM19" s="4"/>
      <c r="KTN19" s="12"/>
      <c r="KTO19" s="13"/>
      <c r="KTU19" s="4"/>
      <c r="KTV19" s="12"/>
      <c r="KTW19" s="13"/>
      <c r="KUC19" s="4"/>
      <c r="KUD19" s="12"/>
      <c r="KUE19" s="13"/>
      <c r="KUK19" s="4"/>
      <c r="KUL19" s="12"/>
      <c r="KUM19" s="13"/>
      <c r="KUS19" s="4"/>
      <c r="KUT19" s="12"/>
      <c r="KUU19" s="13"/>
      <c r="KVA19" s="4"/>
      <c r="KVB19" s="12"/>
      <c r="KVC19" s="13"/>
      <c r="KVI19" s="4"/>
      <c r="KVJ19" s="12"/>
      <c r="KVK19" s="13"/>
      <c r="KVQ19" s="4"/>
      <c r="KVR19" s="12"/>
      <c r="KVS19" s="13"/>
      <c r="KVY19" s="4"/>
      <c r="KVZ19" s="12"/>
      <c r="KWA19" s="13"/>
      <c r="KWG19" s="4"/>
      <c r="KWH19" s="12"/>
      <c r="KWI19" s="13"/>
      <c r="KWO19" s="4"/>
      <c r="KWP19" s="12"/>
      <c r="KWQ19" s="13"/>
      <c r="KWW19" s="4"/>
      <c r="KWX19" s="12"/>
      <c r="KWY19" s="13"/>
      <c r="KXE19" s="4"/>
      <c r="KXF19" s="12"/>
      <c r="KXG19" s="13"/>
      <c r="KXM19" s="4"/>
      <c r="KXN19" s="12"/>
      <c r="KXO19" s="13"/>
      <c r="KXU19" s="4"/>
      <c r="KXV19" s="12"/>
      <c r="KXW19" s="13"/>
      <c r="KYC19" s="4"/>
      <c r="KYD19" s="12"/>
      <c r="KYE19" s="13"/>
      <c r="KYK19" s="4"/>
      <c r="KYL19" s="12"/>
      <c r="KYM19" s="13"/>
      <c r="KYS19" s="4"/>
      <c r="KYT19" s="12"/>
      <c r="KYU19" s="13"/>
      <c r="KZA19" s="4"/>
      <c r="KZB19" s="12"/>
      <c r="KZC19" s="13"/>
      <c r="KZI19" s="4"/>
      <c r="KZJ19" s="12"/>
      <c r="KZK19" s="13"/>
      <c r="KZQ19" s="4"/>
      <c r="KZR19" s="12"/>
      <c r="KZS19" s="13"/>
      <c r="KZY19" s="4"/>
      <c r="KZZ19" s="12"/>
      <c r="LAA19" s="13"/>
      <c r="LAG19" s="4"/>
      <c r="LAH19" s="12"/>
      <c r="LAI19" s="13"/>
      <c r="LAO19" s="4"/>
      <c r="LAP19" s="12"/>
      <c r="LAQ19" s="13"/>
      <c r="LAW19" s="4"/>
      <c r="LAX19" s="12"/>
      <c r="LAY19" s="13"/>
      <c r="LBE19" s="4"/>
      <c r="LBF19" s="12"/>
      <c r="LBG19" s="13"/>
      <c r="LBM19" s="4"/>
      <c r="LBN19" s="12"/>
      <c r="LBO19" s="13"/>
      <c r="LBU19" s="4"/>
      <c r="LBV19" s="12"/>
      <c r="LBW19" s="13"/>
      <c r="LCC19" s="4"/>
      <c r="LCD19" s="12"/>
      <c r="LCE19" s="13"/>
      <c r="LCK19" s="4"/>
      <c r="LCL19" s="12"/>
      <c r="LCM19" s="13"/>
      <c r="LCS19" s="4"/>
      <c r="LCT19" s="12"/>
      <c r="LCU19" s="13"/>
      <c r="LDA19" s="4"/>
      <c r="LDB19" s="12"/>
      <c r="LDC19" s="13"/>
      <c r="LDI19" s="4"/>
      <c r="LDJ19" s="12"/>
      <c r="LDK19" s="13"/>
      <c r="LDQ19" s="4"/>
      <c r="LDR19" s="12"/>
      <c r="LDS19" s="13"/>
      <c r="LDY19" s="4"/>
      <c r="LDZ19" s="12"/>
      <c r="LEA19" s="13"/>
      <c r="LEG19" s="4"/>
      <c r="LEH19" s="12"/>
      <c r="LEI19" s="13"/>
      <c r="LEO19" s="4"/>
      <c r="LEP19" s="12"/>
      <c r="LEQ19" s="13"/>
      <c r="LEW19" s="4"/>
      <c r="LEX19" s="12"/>
      <c r="LEY19" s="13"/>
      <c r="LFE19" s="4"/>
      <c r="LFF19" s="12"/>
      <c r="LFG19" s="13"/>
      <c r="LFM19" s="4"/>
      <c r="LFN19" s="12"/>
      <c r="LFO19" s="13"/>
      <c r="LFU19" s="4"/>
      <c r="LFV19" s="12"/>
      <c r="LFW19" s="13"/>
      <c r="LGC19" s="4"/>
      <c r="LGD19" s="12"/>
      <c r="LGE19" s="13"/>
      <c r="LGK19" s="4"/>
      <c r="LGL19" s="12"/>
      <c r="LGM19" s="13"/>
      <c r="LGS19" s="4"/>
      <c r="LGT19" s="12"/>
      <c r="LGU19" s="13"/>
      <c r="LHA19" s="4"/>
      <c r="LHB19" s="12"/>
      <c r="LHC19" s="13"/>
      <c r="LHI19" s="4"/>
      <c r="LHJ19" s="12"/>
      <c r="LHK19" s="13"/>
      <c r="LHQ19" s="4"/>
      <c r="LHR19" s="12"/>
      <c r="LHS19" s="13"/>
      <c r="LHY19" s="4"/>
      <c r="LHZ19" s="12"/>
      <c r="LIA19" s="13"/>
      <c r="LIG19" s="4"/>
      <c r="LIH19" s="12"/>
      <c r="LII19" s="13"/>
      <c r="LIO19" s="4"/>
      <c r="LIP19" s="12"/>
      <c r="LIQ19" s="13"/>
      <c r="LIW19" s="4"/>
      <c r="LIX19" s="12"/>
      <c r="LIY19" s="13"/>
      <c r="LJE19" s="4"/>
      <c r="LJF19" s="12"/>
      <c r="LJG19" s="13"/>
      <c r="LJM19" s="4"/>
      <c r="LJN19" s="12"/>
      <c r="LJO19" s="13"/>
      <c r="LJU19" s="4"/>
      <c r="LJV19" s="12"/>
      <c r="LJW19" s="13"/>
      <c r="LKC19" s="4"/>
      <c r="LKD19" s="12"/>
      <c r="LKE19" s="13"/>
      <c r="LKK19" s="4"/>
      <c r="LKL19" s="12"/>
      <c r="LKM19" s="13"/>
      <c r="LKS19" s="4"/>
      <c r="LKT19" s="12"/>
      <c r="LKU19" s="13"/>
      <c r="LLA19" s="4"/>
      <c r="LLB19" s="12"/>
      <c r="LLC19" s="13"/>
      <c r="LLI19" s="4"/>
      <c r="LLJ19" s="12"/>
      <c r="LLK19" s="13"/>
      <c r="LLQ19" s="4"/>
      <c r="LLR19" s="12"/>
      <c r="LLS19" s="13"/>
      <c r="LLY19" s="4"/>
      <c r="LLZ19" s="12"/>
      <c r="LMA19" s="13"/>
      <c r="LMG19" s="4"/>
      <c r="LMH19" s="12"/>
      <c r="LMI19" s="13"/>
      <c r="LMO19" s="4"/>
      <c r="LMP19" s="12"/>
      <c r="LMQ19" s="13"/>
      <c r="LMW19" s="4"/>
      <c r="LMX19" s="12"/>
      <c r="LMY19" s="13"/>
      <c r="LNE19" s="4"/>
      <c r="LNF19" s="12"/>
      <c r="LNG19" s="13"/>
      <c r="LNM19" s="4"/>
      <c r="LNN19" s="12"/>
      <c r="LNO19" s="13"/>
      <c r="LNU19" s="4"/>
      <c r="LNV19" s="12"/>
      <c r="LNW19" s="13"/>
      <c r="LOC19" s="4"/>
      <c r="LOD19" s="12"/>
      <c r="LOE19" s="13"/>
      <c r="LOK19" s="4"/>
      <c r="LOL19" s="12"/>
      <c r="LOM19" s="13"/>
      <c r="LOS19" s="4"/>
      <c r="LOT19" s="12"/>
      <c r="LOU19" s="13"/>
      <c r="LPA19" s="4"/>
      <c r="LPB19" s="12"/>
      <c r="LPC19" s="13"/>
      <c r="LPI19" s="4"/>
      <c r="LPJ19" s="12"/>
      <c r="LPK19" s="13"/>
      <c r="LPQ19" s="4"/>
      <c r="LPR19" s="12"/>
      <c r="LPS19" s="13"/>
      <c r="LPY19" s="4"/>
      <c r="LPZ19" s="12"/>
      <c r="LQA19" s="13"/>
      <c r="LQG19" s="4"/>
      <c r="LQH19" s="12"/>
      <c r="LQI19" s="13"/>
      <c r="LQO19" s="4"/>
      <c r="LQP19" s="12"/>
      <c r="LQQ19" s="13"/>
      <c r="LQW19" s="4"/>
      <c r="LQX19" s="12"/>
      <c r="LQY19" s="13"/>
      <c r="LRE19" s="4"/>
      <c r="LRF19" s="12"/>
      <c r="LRG19" s="13"/>
      <c r="LRM19" s="4"/>
      <c r="LRN19" s="12"/>
      <c r="LRO19" s="13"/>
      <c r="LRU19" s="4"/>
      <c r="LRV19" s="12"/>
      <c r="LRW19" s="13"/>
      <c r="LSC19" s="4"/>
      <c r="LSD19" s="12"/>
      <c r="LSE19" s="13"/>
      <c r="LSK19" s="4"/>
      <c r="LSL19" s="12"/>
      <c r="LSM19" s="13"/>
      <c r="LSS19" s="4"/>
      <c r="LST19" s="12"/>
      <c r="LSU19" s="13"/>
      <c r="LTA19" s="4"/>
      <c r="LTB19" s="12"/>
      <c r="LTC19" s="13"/>
      <c r="LTI19" s="4"/>
      <c r="LTJ19" s="12"/>
      <c r="LTK19" s="13"/>
      <c r="LTQ19" s="4"/>
      <c r="LTR19" s="12"/>
      <c r="LTS19" s="13"/>
      <c r="LTY19" s="4"/>
      <c r="LTZ19" s="12"/>
      <c r="LUA19" s="13"/>
      <c r="LUG19" s="4"/>
      <c r="LUH19" s="12"/>
      <c r="LUI19" s="13"/>
      <c r="LUO19" s="4"/>
      <c r="LUP19" s="12"/>
      <c r="LUQ19" s="13"/>
      <c r="LUW19" s="4"/>
      <c r="LUX19" s="12"/>
      <c r="LUY19" s="13"/>
      <c r="LVE19" s="4"/>
      <c r="LVF19" s="12"/>
      <c r="LVG19" s="13"/>
      <c r="LVM19" s="4"/>
      <c r="LVN19" s="12"/>
      <c r="LVO19" s="13"/>
      <c r="LVU19" s="4"/>
      <c r="LVV19" s="12"/>
      <c r="LVW19" s="13"/>
      <c r="LWC19" s="4"/>
      <c r="LWD19" s="12"/>
      <c r="LWE19" s="13"/>
      <c r="LWK19" s="4"/>
      <c r="LWL19" s="12"/>
      <c r="LWM19" s="13"/>
      <c r="LWS19" s="4"/>
      <c r="LWT19" s="12"/>
      <c r="LWU19" s="13"/>
      <c r="LXA19" s="4"/>
      <c r="LXB19" s="12"/>
      <c r="LXC19" s="13"/>
      <c r="LXI19" s="4"/>
      <c r="LXJ19" s="12"/>
      <c r="LXK19" s="13"/>
      <c r="LXQ19" s="4"/>
      <c r="LXR19" s="12"/>
      <c r="LXS19" s="13"/>
      <c r="LXY19" s="4"/>
      <c r="LXZ19" s="12"/>
      <c r="LYA19" s="13"/>
      <c r="LYG19" s="4"/>
      <c r="LYH19" s="12"/>
      <c r="LYI19" s="13"/>
      <c r="LYO19" s="4"/>
      <c r="LYP19" s="12"/>
      <c r="LYQ19" s="13"/>
      <c r="LYW19" s="4"/>
      <c r="LYX19" s="12"/>
      <c r="LYY19" s="13"/>
      <c r="LZE19" s="4"/>
      <c r="LZF19" s="12"/>
      <c r="LZG19" s="13"/>
      <c r="LZM19" s="4"/>
      <c r="LZN19" s="12"/>
      <c r="LZO19" s="13"/>
      <c r="LZU19" s="4"/>
      <c r="LZV19" s="12"/>
      <c r="LZW19" s="13"/>
      <c r="MAC19" s="4"/>
      <c r="MAD19" s="12"/>
      <c r="MAE19" s="13"/>
      <c r="MAK19" s="4"/>
      <c r="MAL19" s="12"/>
      <c r="MAM19" s="13"/>
      <c r="MAS19" s="4"/>
      <c r="MAT19" s="12"/>
      <c r="MAU19" s="13"/>
      <c r="MBA19" s="4"/>
      <c r="MBB19" s="12"/>
      <c r="MBC19" s="13"/>
      <c r="MBI19" s="4"/>
      <c r="MBJ19" s="12"/>
      <c r="MBK19" s="13"/>
      <c r="MBQ19" s="4"/>
      <c r="MBR19" s="12"/>
      <c r="MBS19" s="13"/>
      <c r="MBY19" s="4"/>
      <c r="MBZ19" s="12"/>
      <c r="MCA19" s="13"/>
      <c r="MCG19" s="4"/>
      <c r="MCH19" s="12"/>
      <c r="MCI19" s="13"/>
      <c r="MCO19" s="4"/>
      <c r="MCP19" s="12"/>
      <c r="MCQ19" s="13"/>
      <c r="MCW19" s="4"/>
      <c r="MCX19" s="12"/>
      <c r="MCY19" s="13"/>
      <c r="MDE19" s="4"/>
      <c r="MDF19" s="12"/>
      <c r="MDG19" s="13"/>
      <c r="MDM19" s="4"/>
      <c r="MDN19" s="12"/>
      <c r="MDO19" s="13"/>
      <c r="MDU19" s="4"/>
      <c r="MDV19" s="12"/>
      <c r="MDW19" s="13"/>
      <c r="MEC19" s="4"/>
      <c r="MED19" s="12"/>
      <c r="MEE19" s="13"/>
      <c r="MEK19" s="4"/>
      <c r="MEL19" s="12"/>
      <c r="MEM19" s="13"/>
      <c r="MES19" s="4"/>
      <c r="MET19" s="12"/>
      <c r="MEU19" s="13"/>
      <c r="MFA19" s="4"/>
      <c r="MFB19" s="12"/>
      <c r="MFC19" s="13"/>
      <c r="MFI19" s="4"/>
      <c r="MFJ19" s="12"/>
      <c r="MFK19" s="13"/>
      <c r="MFQ19" s="4"/>
      <c r="MFR19" s="12"/>
      <c r="MFS19" s="13"/>
      <c r="MFY19" s="4"/>
      <c r="MFZ19" s="12"/>
      <c r="MGA19" s="13"/>
      <c r="MGG19" s="4"/>
      <c r="MGH19" s="12"/>
      <c r="MGI19" s="13"/>
      <c r="MGO19" s="4"/>
      <c r="MGP19" s="12"/>
      <c r="MGQ19" s="13"/>
      <c r="MGW19" s="4"/>
      <c r="MGX19" s="12"/>
      <c r="MGY19" s="13"/>
      <c r="MHE19" s="4"/>
      <c r="MHF19" s="12"/>
      <c r="MHG19" s="13"/>
      <c r="MHM19" s="4"/>
      <c r="MHN19" s="12"/>
      <c r="MHO19" s="13"/>
      <c r="MHU19" s="4"/>
      <c r="MHV19" s="12"/>
      <c r="MHW19" s="13"/>
      <c r="MIC19" s="4"/>
      <c r="MID19" s="12"/>
      <c r="MIE19" s="13"/>
      <c r="MIK19" s="4"/>
      <c r="MIL19" s="12"/>
      <c r="MIM19" s="13"/>
      <c r="MIS19" s="4"/>
      <c r="MIT19" s="12"/>
      <c r="MIU19" s="13"/>
      <c r="MJA19" s="4"/>
      <c r="MJB19" s="12"/>
      <c r="MJC19" s="13"/>
      <c r="MJI19" s="4"/>
      <c r="MJJ19" s="12"/>
      <c r="MJK19" s="13"/>
      <c r="MJQ19" s="4"/>
      <c r="MJR19" s="12"/>
      <c r="MJS19" s="13"/>
      <c r="MJY19" s="4"/>
      <c r="MJZ19" s="12"/>
      <c r="MKA19" s="13"/>
      <c r="MKG19" s="4"/>
      <c r="MKH19" s="12"/>
      <c r="MKI19" s="13"/>
      <c r="MKO19" s="4"/>
      <c r="MKP19" s="12"/>
      <c r="MKQ19" s="13"/>
      <c r="MKW19" s="4"/>
      <c r="MKX19" s="12"/>
      <c r="MKY19" s="13"/>
      <c r="MLE19" s="4"/>
      <c r="MLF19" s="12"/>
      <c r="MLG19" s="13"/>
      <c r="MLM19" s="4"/>
      <c r="MLN19" s="12"/>
      <c r="MLO19" s="13"/>
      <c r="MLU19" s="4"/>
      <c r="MLV19" s="12"/>
      <c r="MLW19" s="13"/>
      <c r="MMC19" s="4"/>
      <c r="MMD19" s="12"/>
      <c r="MME19" s="13"/>
      <c r="MMK19" s="4"/>
      <c r="MML19" s="12"/>
      <c r="MMM19" s="13"/>
      <c r="MMS19" s="4"/>
      <c r="MMT19" s="12"/>
      <c r="MMU19" s="13"/>
      <c r="MNA19" s="4"/>
      <c r="MNB19" s="12"/>
      <c r="MNC19" s="13"/>
      <c r="MNI19" s="4"/>
      <c r="MNJ19" s="12"/>
      <c r="MNK19" s="13"/>
      <c r="MNQ19" s="4"/>
      <c r="MNR19" s="12"/>
      <c r="MNS19" s="13"/>
      <c r="MNY19" s="4"/>
      <c r="MNZ19" s="12"/>
      <c r="MOA19" s="13"/>
      <c r="MOG19" s="4"/>
      <c r="MOH19" s="12"/>
      <c r="MOI19" s="13"/>
      <c r="MOO19" s="4"/>
      <c r="MOP19" s="12"/>
      <c r="MOQ19" s="13"/>
      <c r="MOW19" s="4"/>
      <c r="MOX19" s="12"/>
      <c r="MOY19" s="13"/>
      <c r="MPE19" s="4"/>
      <c r="MPF19" s="12"/>
      <c r="MPG19" s="13"/>
      <c r="MPM19" s="4"/>
      <c r="MPN19" s="12"/>
      <c r="MPO19" s="13"/>
      <c r="MPU19" s="4"/>
      <c r="MPV19" s="12"/>
      <c r="MPW19" s="13"/>
      <c r="MQC19" s="4"/>
      <c r="MQD19" s="12"/>
      <c r="MQE19" s="13"/>
      <c r="MQK19" s="4"/>
      <c r="MQL19" s="12"/>
      <c r="MQM19" s="13"/>
      <c r="MQS19" s="4"/>
      <c r="MQT19" s="12"/>
      <c r="MQU19" s="13"/>
      <c r="MRA19" s="4"/>
      <c r="MRB19" s="12"/>
      <c r="MRC19" s="13"/>
      <c r="MRI19" s="4"/>
      <c r="MRJ19" s="12"/>
      <c r="MRK19" s="13"/>
      <c r="MRQ19" s="4"/>
      <c r="MRR19" s="12"/>
      <c r="MRS19" s="13"/>
      <c r="MRY19" s="4"/>
      <c r="MRZ19" s="12"/>
      <c r="MSA19" s="13"/>
      <c r="MSG19" s="4"/>
      <c r="MSH19" s="12"/>
      <c r="MSI19" s="13"/>
      <c r="MSO19" s="4"/>
      <c r="MSP19" s="12"/>
      <c r="MSQ19" s="13"/>
      <c r="MSW19" s="4"/>
      <c r="MSX19" s="12"/>
      <c r="MSY19" s="13"/>
      <c r="MTE19" s="4"/>
      <c r="MTF19" s="12"/>
      <c r="MTG19" s="13"/>
      <c r="MTM19" s="4"/>
      <c r="MTN19" s="12"/>
      <c r="MTO19" s="13"/>
      <c r="MTU19" s="4"/>
      <c r="MTV19" s="12"/>
      <c r="MTW19" s="13"/>
      <c r="MUC19" s="4"/>
      <c r="MUD19" s="12"/>
      <c r="MUE19" s="13"/>
      <c r="MUK19" s="4"/>
      <c r="MUL19" s="12"/>
      <c r="MUM19" s="13"/>
      <c r="MUS19" s="4"/>
      <c r="MUT19" s="12"/>
      <c r="MUU19" s="13"/>
      <c r="MVA19" s="4"/>
      <c r="MVB19" s="12"/>
      <c r="MVC19" s="13"/>
      <c r="MVI19" s="4"/>
      <c r="MVJ19" s="12"/>
      <c r="MVK19" s="13"/>
      <c r="MVQ19" s="4"/>
      <c r="MVR19" s="12"/>
      <c r="MVS19" s="13"/>
      <c r="MVY19" s="4"/>
      <c r="MVZ19" s="12"/>
      <c r="MWA19" s="13"/>
      <c r="MWG19" s="4"/>
      <c r="MWH19" s="12"/>
      <c r="MWI19" s="13"/>
      <c r="MWO19" s="4"/>
      <c r="MWP19" s="12"/>
      <c r="MWQ19" s="13"/>
      <c r="MWW19" s="4"/>
      <c r="MWX19" s="12"/>
      <c r="MWY19" s="13"/>
      <c r="MXE19" s="4"/>
      <c r="MXF19" s="12"/>
      <c r="MXG19" s="13"/>
      <c r="MXM19" s="4"/>
      <c r="MXN19" s="12"/>
      <c r="MXO19" s="13"/>
      <c r="MXU19" s="4"/>
      <c r="MXV19" s="12"/>
      <c r="MXW19" s="13"/>
      <c r="MYC19" s="4"/>
      <c r="MYD19" s="12"/>
      <c r="MYE19" s="13"/>
      <c r="MYK19" s="4"/>
      <c r="MYL19" s="12"/>
      <c r="MYM19" s="13"/>
      <c r="MYS19" s="4"/>
      <c r="MYT19" s="12"/>
      <c r="MYU19" s="13"/>
      <c r="MZA19" s="4"/>
      <c r="MZB19" s="12"/>
      <c r="MZC19" s="13"/>
      <c r="MZI19" s="4"/>
      <c r="MZJ19" s="12"/>
      <c r="MZK19" s="13"/>
      <c r="MZQ19" s="4"/>
      <c r="MZR19" s="12"/>
      <c r="MZS19" s="13"/>
      <c r="MZY19" s="4"/>
      <c r="MZZ19" s="12"/>
      <c r="NAA19" s="13"/>
      <c r="NAG19" s="4"/>
      <c r="NAH19" s="12"/>
      <c r="NAI19" s="13"/>
      <c r="NAO19" s="4"/>
      <c r="NAP19" s="12"/>
      <c r="NAQ19" s="13"/>
      <c r="NAW19" s="4"/>
      <c r="NAX19" s="12"/>
      <c r="NAY19" s="13"/>
      <c r="NBE19" s="4"/>
      <c r="NBF19" s="12"/>
      <c r="NBG19" s="13"/>
      <c r="NBM19" s="4"/>
      <c r="NBN19" s="12"/>
      <c r="NBO19" s="13"/>
      <c r="NBU19" s="4"/>
      <c r="NBV19" s="12"/>
      <c r="NBW19" s="13"/>
      <c r="NCC19" s="4"/>
      <c r="NCD19" s="12"/>
      <c r="NCE19" s="13"/>
      <c r="NCK19" s="4"/>
      <c r="NCL19" s="12"/>
      <c r="NCM19" s="13"/>
      <c r="NCS19" s="4"/>
      <c r="NCT19" s="12"/>
      <c r="NCU19" s="13"/>
      <c r="NDA19" s="4"/>
      <c r="NDB19" s="12"/>
      <c r="NDC19" s="13"/>
      <c r="NDI19" s="4"/>
      <c r="NDJ19" s="12"/>
      <c r="NDK19" s="13"/>
      <c r="NDQ19" s="4"/>
      <c r="NDR19" s="12"/>
      <c r="NDS19" s="13"/>
      <c r="NDY19" s="4"/>
      <c r="NDZ19" s="12"/>
      <c r="NEA19" s="13"/>
      <c r="NEG19" s="4"/>
      <c r="NEH19" s="12"/>
      <c r="NEI19" s="13"/>
      <c r="NEO19" s="4"/>
      <c r="NEP19" s="12"/>
      <c r="NEQ19" s="13"/>
      <c r="NEW19" s="4"/>
      <c r="NEX19" s="12"/>
      <c r="NEY19" s="13"/>
      <c r="NFE19" s="4"/>
      <c r="NFF19" s="12"/>
      <c r="NFG19" s="13"/>
      <c r="NFM19" s="4"/>
      <c r="NFN19" s="12"/>
      <c r="NFO19" s="13"/>
      <c r="NFU19" s="4"/>
      <c r="NFV19" s="12"/>
      <c r="NFW19" s="13"/>
      <c r="NGC19" s="4"/>
      <c r="NGD19" s="12"/>
      <c r="NGE19" s="13"/>
      <c r="NGK19" s="4"/>
      <c r="NGL19" s="12"/>
      <c r="NGM19" s="13"/>
      <c r="NGS19" s="4"/>
      <c r="NGT19" s="12"/>
      <c r="NGU19" s="13"/>
      <c r="NHA19" s="4"/>
      <c r="NHB19" s="12"/>
      <c r="NHC19" s="13"/>
      <c r="NHI19" s="4"/>
      <c r="NHJ19" s="12"/>
      <c r="NHK19" s="13"/>
      <c r="NHQ19" s="4"/>
      <c r="NHR19" s="12"/>
      <c r="NHS19" s="13"/>
      <c r="NHY19" s="4"/>
      <c r="NHZ19" s="12"/>
      <c r="NIA19" s="13"/>
      <c r="NIG19" s="4"/>
      <c r="NIH19" s="12"/>
      <c r="NII19" s="13"/>
      <c r="NIO19" s="4"/>
      <c r="NIP19" s="12"/>
      <c r="NIQ19" s="13"/>
      <c r="NIW19" s="4"/>
      <c r="NIX19" s="12"/>
      <c r="NIY19" s="13"/>
      <c r="NJE19" s="4"/>
      <c r="NJF19" s="12"/>
      <c r="NJG19" s="13"/>
      <c r="NJM19" s="4"/>
      <c r="NJN19" s="12"/>
      <c r="NJO19" s="13"/>
      <c r="NJU19" s="4"/>
      <c r="NJV19" s="12"/>
      <c r="NJW19" s="13"/>
      <c r="NKC19" s="4"/>
      <c r="NKD19" s="12"/>
      <c r="NKE19" s="13"/>
      <c r="NKK19" s="4"/>
      <c r="NKL19" s="12"/>
      <c r="NKM19" s="13"/>
      <c r="NKS19" s="4"/>
      <c r="NKT19" s="12"/>
      <c r="NKU19" s="13"/>
      <c r="NLA19" s="4"/>
      <c r="NLB19" s="12"/>
      <c r="NLC19" s="13"/>
      <c r="NLI19" s="4"/>
      <c r="NLJ19" s="12"/>
      <c r="NLK19" s="13"/>
      <c r="NLQ19" s="4"/>
      <c r="NLR19" s="12"/>
      <c r="NLS19" s="13"/>
      <c r="NLY19" s="4"/>
      <c r="NLZ19" s="12"/>
      <c r="NMA19" s="13"/>
      <c r="NMG19" s="4"/>
      <c r="NMH19" s="12"/>
      <c r="NMI19" s="13"/>
      <c r="NMO19" s="4"/>
      <c r="NMP19" s="12"/>
      <c r="NMQ19" s="13"/>
      <c r="NMW19" s="4"/>
      <c r="NMX19" s="12"/>
      <c r="NMY19" s="13"/>
      <c r="NNE19" s="4"/>
      <c r="NNF19" s="12"/>
      <c r="NNG19" s="13"/>
      <c r="NNM19" s="4"/>
      <c r="NNN19" s="12"/>
      <c r="NNO19" s="13"/>
      <c r="NNU19" s="4"/>
      <c r="NNV19" s="12"/>
      <c r="NNW19" s="13"/>
      <c r="NOC19" s="4"/>
      <c r="NOD19" s="12"/>
      <c r="NOE19" s="13"/>
      <c r="NOK19" s="4"/>
      <c r="NOL19" s="12"/>
      <c r="NOM19" s="13"/>
      <c r="NOS19" s="4"/>
      <c r="NOT19" s="12"/>
      <c r="NOU19" s="13"/>
      <c r="NPA19" s="4"/>
      <c r="NPB19" s="12"/>
      <c r="NPC19" s="13"/>
      <c r="NPI19" s="4"/>
      <c r="NPJ19" s="12"/>
      <c r="NPK19" s="13"/>
      <c r="NPQ19" s="4"/>
      <c r="NPR19" s="12"/>
      <c r="NPS19" s="13"/>
      <c r="NPY19" s="4"/>
      <c r="NPZ19" s="12"/>
      <c r="NQA19" s="13"/>
      <c r="NQG19" s="4"/>
      <c r="NQH19" s="12"/>
      <c r="NQI19" s="13"/>
      <c r="NQO19" s="4"/>
      <c r="NQP19" s="12"/>
      <c r="NQQ19" s="13"/>
      <c r="NQW19" s="4"/>
      <c r="NQX19" s="12"/>
      <c r="NQY19" s="13"/>
      <c r="NRE19" s="4"/>
      <c r="NRF19" s="12"/>
      <c r="NRG19" s="13"/>
      <c r="NRM19" s="4"/>
      <c r="NRN19" s="12"/>
      <c r="NRO19" s="13"/>
      <c r="NRU19" s="4"/>
      <c r="NRV19" s="12"/>
      <c r="NRW19" s="13"/>
      <c r="NSC19" s="4"/>
      <c r="NSD19" s="12"/>
      <c r="NSE19" s="13"/>
      <c r="NSK19" s="4"/>
      <c r="NSL19" s="12"/>
      <c r="NSM19" s="13"/>
      <c r="NSS19" s="4"/>
      <c r="NST19" s="12"/>
      <c r="NSU19" s="13"/>
      <c r="NTA19" s="4"/>
      <c r="NTB19" s="12"/>
      <c r="NTC19" s="13"/>
      <c r="NTI19" s="4"/>
      <c r="NTJ19" s="12"/>
      <c r="NTK19" s="13"/>
      <c r="NTQ19" s="4"/>
      <c r="NTR19" s="12"/>
      <c r="NTS19" s="13"/>
      <c r="NTY19" s="4"/>
      <c r="NTZ19" s="12"/>
      <c r="NUA19" s="13"/>
      <c r="NUG19" s="4"/>
      <c r="NUH19" s="12"/>
      <c r="NUI19" s="13"/>
      <c r="NUO19" s="4"/>
      <c r="NUP19" s="12"/>
      <c r="NUQ19" s="13"/>
      <c r="NUW19" s="4"/>
      <c r="NUX19" s="12"/>
      <c r="NUY19" s="13"/>
      <c r="NVE19" s="4"/>
      <c r="NVF19" s="12"/>
      <c r="NVG19" s="13"/>
      <c r="NVM19" s="4"/>
      <c r="NVN19" s="12"/>
      <c r="NVO19" s="13"/>
      <c r="NVU19" s="4"/>
      <c r="NVV19" s="12"/>
      <c r="NVW19" s="13"/>
      <c r="NWC19" s="4"/>
      <c r="NWD19" s="12"/>
      <c r="NWE19" s="13"/>
      <c r="NWK19" s="4"/>
      <c r="NWL19" s="12"/>
      <c r="NWM19" s="13"/>
      <c r="NWS19" s="4"/>
      <c r="NWT19" s="12"/>
      <c r="NWU19" s="13"/>
      <c r="NXA19" s="4"/>
      <c r="NXB19" s="12"/>
      <c r="NXC19" s="13"/>
      <c r="NXI19" s="4"/>
      <c r="NXJ19" s="12"/>
      <c r="NXK19" s="13"/>
      <c r="NXQ19" s="4"/>
      <c r="NXR19" s="12"/>
      <c r="NXS19" s="13"/>
      <c r="NXY19" s="4"/>
      <c r="NXZ19" s="12"/>
      <c r="NYA19" s="13"/>
      <c r="NYG19" s="4"/>
      <c r="NYH19" s="12"/>
      <c r="NYI19" s="13"/>
      <c r="NYO19" s="4"/>
      <c r="NYP19" s="12"/>
      <c r="NYQ19" s="13"/>
      <c r="NYW19" s="4"/>
      <c r="NYX19" s="12"/>
      <c r="NYY19" s="13"/>
      <c r="NZE19" s="4"/>
      <c r="NZF19" s="12"/>
      <c r="NZG19" s="13"/>
      <c r="NZM19" s="4"/>
      <c r="NZN19" s="12"/>
      <c r="NZO19" s="13"/>
      <c r="NZU19" s="4"/>
      <c r="NZV19" s="12"/>
      <c r="NZW19" s="13"/>
      <c r="OAC19" s="4"/>
      <c r="OAD19" s="12"/>
      <c r="OAE19" s="13"/>
      <c r="OAK19" s="4"/>
      <c r="OAL19" s="12"/>
      <c r="OAM19" s="13"/>
      <c r="OAS19" s="4"/>
      <c r="OAT19" s="12"/>
      <c r="OAU19" s="13"/>
      <c r="OBA19" s="4"/>
      <c r="OBB19" s="12"/>
      <c r="OBC19" s="13"/>
      <c r="OBI19" s="4"/>
      <c r="OBJ19" s="12"/>
      <c r="OBK19" s="13"/>
      <c r="OBQ19" s="4"/>
      <c r="OBR19" s="12"/>
      <c r="OBS19" s="13"/>
      <c r="OBY19" s="4"/>
      <c r="OBZ19" s="12"/>
      <c r="OCA19" s="13"/>
      <c r="OCG19" s="4"/>
      <c r="OCH19" s="12"/>
      <c r="OCI19" s="13"/>
      <c r="OCO19" s="4"/>
      <c r="OCP19" s="12"/>
      <c r="OCQ19" s="13"/>
      <c r="OCW19" s="4"/>
      <c r="OCX19" s="12"/>
      <c r="OCY19" s="13"/>
      <c r="ODE19" s="4"/>
      <c r="ODF19" s="12"/>
      <c r="ODG19" s="13"/>
      <c r="ODM19" s="4"/>
      <c r="ODN19" s="12"/>
      <c r="ODO19" s="13"/>
      <c r="ODU19" s="4"/>
      <c r="ODV19" s="12"/>
      <c r="ODW19" s="13"/>
      <c r="OEC19" s="4"/>
      <c r="OED19" s="12"/>
      <c r="OEE19" s="13"/>
      <c r="OEK19" s="4"/>
      <c r="OEL19" s="12"/>
      <c r="OEM19" s="13"/>
      <c r="OES19" s="4"/>
      <c r="OET19" s="12"/>
      <c r="OEU19" s="13"/>
      <c r="OFA19" s="4"/>
      <c r="OFB19" s="12"/>
      <c r="OFC19" s="13"/>
      <c r="OFI19" s="4"/>
      <c r="OFJ19" s="12"/>
      <c r="OFK19" s="13"/>
      <c r="OFQ19" s="4"/>
      <c r="OFR19" s="12"/>
      <c r="OFS19" s="13"/>
      <c r="OFY19" s="4"/>
      <c r="OFZ19" s="12"/>
      <c r="OGA19" s="13"/>
      <c r="OGG19" s="4"/>
      <c r="OGH19" s="12"/>
      <c r="OGI19" s="13"/>
      <c r="OGO19" s="4"/>
      <c r="OGP19" s="12"/>
      <c r="OGQ19" s="13"/>
      <c r="OGW19" s="4"/>
      <c r="OGX19" s="12"/>
      <c r="OGY19" s="13"/>
      <c r="OHE19" s="4"/>
      <c r="OHF19" s="12"/>
      <c r="OHG19" s="13"/>
      <c r="OHM19" s="4"/>
      <c r="OHN19" s="12"/>
      <c r="OHO19" s="13"/>
      <c r="OHU19" s="4"/>
      <c r="OHV19" s="12"/>
      <c r="OHW19" s="13"/>
      <c r="OIC19" s="4"/>
      <c r="OID19" s="12"/>
      <c r="OIE19" s="13"/>
      <c r="OIK19" s="4"/>
      <c r="OIL19" s="12"/>
      <c r="OIM19" s="13"/>
      <c r="OIS19" s="4"/>
      <c r="OIT19" s="12"/>
      <c r="OIU19" s="13"/>
      <c r="OJA19" s="4"/>
      <c r="OJB19" s="12"/>
      <c r="OJC19" s="13"/>
      <c r="OJI19" s="4"/>
      <c r="OJJ19" s="12"/>
      <c r="OJK19" s="13"/>
      <c r="OJQ19" s="4"/>
      <c r="OJR19" s="12"/>
      <c r="OJS19" s="13"/>
      <c r="OJY19" s="4"/>
      <c r="OJZ19" s="12"/>
      <c r="OKA19" s="13"/>
      <c r="OKG19" s="4"/>
      <c r="OKH19" s="12"/>
      <c r="OKI19" s="13"/>
      <c r="OKO19" s="4"/>
      <c r="OKP19" s="12"/>
      <c r="OKQ19" s="13"/>
      <c r="OKW19" s="4"/>
      <c r="OKX19" s="12"/>
      <c r="OKY19" s="13"/>
      <c r="OLE19" s="4"/>
      <c r="OLF19" s="12"/>
      <c r="OLG19" s="13"/>
      <c r="OLM19" s="4"/>
      <c r="OLN19" s="12"/>
      <c r="OLO19" s="13"/>
      <c r="OLU19" s="4"/>
      <c r="OLV19" s="12"/>
      <c r="OLW19" s="13"/>
      <c r="OMC19" s="4"/>
      <c r="OMD19" s="12"/>
      <c r="OME19" s="13"/>
      <c r="OMK19" s="4"/>
      <c r="OML19" s="12"/>
      <c r="OMM19" s="13"/>
      <c r="OMS19" s="4"/>
      <c r="OMT19" s="12"/>
      <c r="OMU19" s="13"/>
      <c r="ONA19" s="4"/>
      <c r="ONB19" s="12"/>
      <c r="ONC19" s="13"/>
      <c r="ONI19" s="4"/>
      <c r="ONJ19" s="12"/>
      <c r="ONK19" s="13"/>
      <c r="ONQ19" s="4"/>
      <c r="ONR19" s="12"/>
      <c r="ONS19" s="13"/>
      <c r="ONY19" s="4"/>
      <c r="ONZ19" s="12"/>
      <c r="OOA19" s="13"/>
      <c r="OOG19" s="4"/>
      <c r="OOH19" s="12"/>
      <c r="OOI19" s="13"/>
      <c r="OOO19" s="4"/>
      <c r="OOP19" s="12"/>
      <c r="OOQ19" s="13"/>
      <c r="OOW19" s="4"/>
      <c r="OOX19" s="12"/>
      <c r="OOY19" s="13"/>
      <c r="OPE19" s="4"/>
      <c r="OPF19" s="12"/>
      <c r="OPG19" s="13"/>
      <c r="OPM19" s="4"/>
      <c r="OPN19" s="12"/>
      <c r="OPO19" s="13"/>
      <c r="OPU19" s="4"/>
      <c r="OPV19" s="12"/>
      <c r="OPW19" s="13"/>
      <c r="OQC19" s="4"/>
      <c r="OQD19" s="12"/>
      <c r="OQE19" s="13"/>
      <c r="OQK19" s="4"/>
      <c r="OQL19" s="12"/>
      <c r="OQM19" s="13"/>
      <c r="OQS19" s="4"/>
      <c r="OQT19" s="12"/>
      <c r="OQU19" s="13"/>
      <c r="ORA19" s="4"/>
      <c r="ORB19" s="12"/>
      <c r="ORC19" s="13"/>
      <c r="ORI19" s="4"/>
      <c r="ORJ19" s="12"/>
      <c r="ORK19" s="13"/>
      <c r="ORQ19" s="4"/>
      <c r="ORR19" s="12"/>
      <c r="ORS19" s="13"/>
      <c r="ORY19" s="4"/>
      <c r="ORZ19" s="12"/>
      <c r="OSA19" s="13"/>
      <c r="OSG19" s="4"/>
      <c r="OSH19" s="12"/>
      <c r="OSI19" s="13"/>
      <c r="OSO19" s="4"/>
      <c r="OSP19" s="12"/>
      <c r="OSQ19" s="13"/>
      <c r="OSW19" s="4"/>
      <c r="OSX19" s="12"/>
      <c r="OSY19" s="13"/>
      <c r="OTE19" s="4"/>
      <c r="OTF19" s="12"/>
      <c r="OTG19" s="13"/>
      <c r="OTM19" s="4"/>
      <c r="OTN19" s="12"/>
      <c r="OTO19" s="13"/>
      <c r="OTU19" s="4"/>
      <c r="OTV19" s="12"/>
      <c r="OTW19" s="13"/>
      <c r="OUC19" s="4"/>
      <c r="OUD19" s="12"/>
      <c r="OUE19" s="13"/>
      <c r="OUK19" s="4"/>
      <c r="OUL19" s="12"/>
      <c r="OUM19" s="13"/>
      <c r="OUS19" s="4"/>
      <c r="OUT19" s="12"/>
      <c r="OUU19" s="13"/>
      <c r="OVA19" s="4"/>
      <c r="OVB19" s="12"/>
      <c r="OVC19" s="13"/>
      <c r="OVI19" s="4"/>
      <c r="OVJ19" s="12"/>
      <c r="OVK19" s="13"/>
      <c r="OVQ19" s="4"/>
      <c r="OVR19" s="12"/>
      <c r="OVS19" s="13"/>
      <c r="OVY19" s="4"/>
      <c r="OVZ19" s="12"/>
      <c r="OWA19" s="13"/>
      <c r="OWG19" s="4"/>
      <c r="OWH19" s="12"/>
      <c r="OWI19" s="13"/>
      <c r="OWO19" s="4"/>
      <c r="OWP19" s="12"/>
      <c r="OWQ19" s="13"/>
      <c r="OWW19" s="4"/>
      <c r="OWX19" s="12"/>
      <c r="OWY19" s="13"/>
      <c r="OXE19" s="4"/>
      <c r="OXF19" s="12"/>
      <c r="OXG19" s="13"/>
      <c r="OXM19" s="4"/>
      <c r="OXN19" s="12"/>
      <c r="OXO19" s="13"/>
      <c r="OXU19" s="4"/>
      <c r="OXV19" s="12"/>
      <c r="OXW19" s="13"/>
      <c r="OYC19" s="4"/>
      <c r="OYD19" s="12"/>
      <c r="OYE19" s="13"/>
      <c r="OYK19" s="4"/>
      <c r="OYL19" s="12"/>
      <c r="OYM19" s="13"/>
      <c r="OYS19" s="4"/>
      <c r="OYT19" s="12"/>
      <c r="OYU19" s="13"/>
      <c r="OZA19" s="4"/>
      <c r="OZB19" s="12"/>
      <c r="OZC19" s="13"/>
      <c r="OZI19" s="4"/>
      <c r="OZJ19" s="12"/>
      <c r="OZK19" s="13"/>
      <c r="OZQ19" s="4"/>
      <c r="OZR19" s="12"/>
      <c r="OZS19" s="13"/>
      <c r="OZY19" s="4"/>
      <c r="OZZ19" s="12"/>
      <c r="PAA19" s="13"/>
      <c r="PAG19" s="4"/>
      <c r="PAH19" s="12"/>
      <c r="PAI19" s="13"/>
      <c r="PAO19" s="4"/>
      <c r="PAP19" s="12"/>
      <c r="PAQ19" s="13"/>
      <c r="PAW19" s="4"/>
      <c r="PAX19" s="12"/>
      <c r="PAY19" s="13"/>
      <c r="PBE19" s="4"/>
      <c r="PBF19" s="12"/>
      <c r="PBG19" s="13"/>
      <c r="PBM19" s="4"/>
      <c r="PBN19" s="12"/>
      <c r="PBO19" s="13"/>
      <c r="PBU19" s="4"/>
      <c r="PBV19" s="12"/>
      <c r="PBW19" s="13"/>
      <c r="PCC19" s="4"/>
      <c r="PCD19" s="12"/>
      <c r="PCE19" s="13"/>
      <c r="PCK19" s="4"/>
      <c r="PCL19" s="12"/>
      <c r="PCM19" s="13"/>
      <c r="PCS19" s="4"/>
      <c r="PCT19" s="12"/>
      <c r="PCU19" s="13"/>
      <c r="PDA19" s="4"/>
      <c r="PDB19" s="12"/>
      <c r="PDC19" s="13"/>
      <c r="PDI19" s="4"/>
      <c r="PDJ19" s="12"/>
      <c r="PDK19" s="13"/>
      <c r="PDQ19" s="4"/>
      <c r="PDR19" s="12"/>
      <c r="PDS19" s="13"/>
      <c r="PDY19" s="4"/>
      <c r="PDZ19" s="12"/>
      <c r="PEA19" s="13"/>
      <c r="PEG19" s="4"/>
      <c r="PEH19" s="12"/>
      <c r="PEI19" s="13"/>
      <c r="PEO19" s="4"/>
      <c r="PEP19" s="12"/>
      <c r="PEQ19" s="13"/>
      <c r="PEW19" s="4"/>
      <c r="PEX19" s="12"/>
      <c r="PEY19" s="13"/>
      <c r="PFE19" s="4"/>
      <c r="PFF19" s="12"/>
      <c r="PFG19" s="13"/>
      <c r="PFM19" s="4"/>
      <c r="PFN19" s="12"/>
      <c r="PFO19" s="13"/>
      <c r="PFU19" s="4"/>
      <c r="PFV19" s="12"/>
      <c r="PFW19" s="13"/>
      <c r="PGC19" s="4"/>
      <c r="PGD19" s="12"/>
      <c r="PGE19" s="13"/>
      <c r="PGK19" s="4"/>
      <c r="PGL19" s="12"/>
      <c r="PGM19" s="13"/>
      <c r="PGS19" s="4"/>
      <c r="PGT19" s="12"/>
      <c r="PGU19" s="13"/>
      <c r="PHA19" s="4"/>
      <c r="PHB19" s="12"/>
      <c r="PHC19" s="13"/>
      <c r="PHI19" s="4"/>
      <c r="PHJ19" s="12"/>
      <c r="PHK19" s="13"/>
      <c r="PHQ19" s="4"/>
      <c r="PHR19" s="12"/>
      <c r="PHS19" s="13"/>
      <c r="PHY19" s="4"/>
      <c r="PHZ19" s="12"/>
      <c r="PIA19" s="13"/>
      <c r="PIG19" s="4"/>
      <c r="PIH19" s="12"/>
      <c r="PII19" s="13"/>
      <c r="PIO19" s="4"/>
      <c r="PIP19" s="12"/>
      <c r="PIQ19" s="13"/>
      <c r="PIW19" s="4"/>
      <c r="PIX19" s="12"/>
      <c r="PIY19" s="13"/>
      <c r="PJE19" s="4"/>
      <c r="PJF19" s="12"/>
      <c r="PJG19" s="13"/>
      <c r="PJM19" s="4"/>
      <c r="PJN19" s="12"/>
      <c r="PJO19" s="13"/>
      <c r="PJU19" s="4"/>
      <c r="PJV19" s="12"/>
      <c r="PJW19" s="13"/>
      <c r="PKC19" s="4"/>
      <c r="PKD19" s="12"/>
      <c r="PKE19" s="13"/>
      <c r="PKK19" s="4"/>
      <c r="PKL19" s="12"/>
      <c r="PKM19" s="13"/>
      <c r="PKS19" s="4"/>
      <c r="PKT19" s="12"/>
      <c r="PKU19" s="13"/>
      <c r="PLA19" s="4"/>
      <c r="PLB19" s="12"/>
      <c r="PLC19" s="13"/>
      <c r="PLI19" s="4"/>
      <c r="PLJ19" s="12"/>
      <c r="PLK19" s="13"/>
      <c r="PLQ19" s="4"/>
      <c r="PLR19" s="12"/>
      <c r="PLS19" s="13"/>
      <c r="PLY19" s="4"/>
      <c r="PLZ19" s="12"/>
      <c r="PMA19" s="13"/>
      <c r="PMG19" s="4"/>
      <c r="PMH19" s="12"/>
      <c r="PMI19" s="13"/>
      <c r="PMO19" s="4"/>
      <c r="PMP19" s="12"/>
      <c r="PMQ19" s="13"/>
      <c r="PMW19" s="4"/>
      <c r="PMX19" s="12"/>
      <c r="PMY19" s="13"/>
      <c r="PNE19" s="4"/>
      <c r="PNF19" s="12"/>
      <c r="PNG19" s="13"/>
      <c r="PNM19" s="4"/>
      <c r="PNN19" s="12"/>
      <c r="PNO19" s="13"/>
      <c r="PNU19" s="4"/>
      <c r="PNV19" s="12"/>
      <c r="PNW19" s="13"/>
      <c r="POC19" s="4"/>
      <c r="POD19" s="12"/>
      <c r="POE19" s="13"/>
      <c r="POK19" s="4"/>
      <c r="POL19" s="12"/>
      <c r="POM19" s="13"/>
      <c r="POS19" s="4"/>
      <c r="POT19" s="12"/>
      <c r="POU19" s="13"/>
      <c r="PPA19" s="4"/>
      <c r="PPB19" s="12"/>
      <c r="PPC19" s="13"/>
      <c r="PPI19" s="4"/>
      <c r="PPJ19" s="12"/>
      <c r="PPK19" s="13"/>
      <c r="PPQ19" s="4"/>
      <c r="PPR19" s="12"/>
      <c r="PPS19" s="13"/>
      <c r="PPY19" s="4"/>
      <c r="PPZ19" s="12"/>
      <c r="PQA19" s="13"/>
      <c r="PQG19" s="4"/>
      <c r="PQH19" s="12"/>
      <c r="PQI19" s="13"/>
      <c r="PQO19" s="4"/>
      <c r="PQP19" s="12"/>
      <c r="PQQ19" s="13"/>
      <c r="PQW19" s="4"/>
      <c r="PQX19" s="12"/>
      <c r="PQY19" s="13"/>
      <c r="PRE19" s="4"/>
      <c r="PRF19" s="12"/>
      <c r="PRG19" s="13"/>
      <c r="PRM19" s="4"/>
      <c r="PRN19" s="12"/>
      <c r="PRO19" s="13"/>
      <c r="PRU19" s="4"/>
      <c r="PRV19" s="12"/>
      <c r="PRW19" s="13"/>
      <c r="PSC19" s="4"/>
      <c r="PSD19" s="12"/>
      <c r="PSE19" s="13"/>
      <c r="PSK19" s="4"/>
      <c r="PSL19" s="12"/>
      <c r="PSM19" s="13"/>
      <c r="PSS19" s="4"/>
      <c r="PST19" s="12"/>
      <c r="PSU19" s="13"/>
      <c r="PTA19" s="4"/>
      <c r="PTB19" s="12"/>
      <c r="PTC19" s="13"/>
      <c r="PTI19" s="4"/>
      <c r="PTJ19" s="12"/>
      <c r="PTK19" s="13"/>
      <c r="PTQ19" s="4"/>
      <c r="PTR19" s="12"/>
      <c r="PTS19" s="13"/>
      <c r="PTY19" s="4"/>
      <c r="PTZ19" s="12"/>
      <c r="PUA19" s="13"/>
      <c r="PUG19" s="4"/>
      <c r="PUH19" s="12"/>
      <c r="PUI19" s="13"/>
      <c r="PUO19" s="4"/>
      <c r="PUP19" s="12"/>
      <c r="PUQ19" s="13"/>
      <c r="PUW19" s="4"/>
      <c r="PUX19" s="12"/>
      <c r="PUY19" s="13"/>
      <c r="PVE19" s="4"/>
      <c r="PVF19" s="12"/>
      <c r="PVG19" s="13"/>
      <c r="PVM19" s="4"/>
      <c r="PVN19" s="12"/>
      <c r="PVO19" s="13"/>
      <c r="PVU19" s="4"/>
      <c r="PVV19" s="12"/>
      <c r="PVW19" s="13"/>
      <c r="PWC19" s="4"/>
      <c r="PWD19" s="12"/>
      <c r="PWE19" s="13"/>
      <c r="PWK19" s="4"/>
      <c r="PWL19" s="12"/>
      <c r="PWM19" s="13"/>
      <c r="PWS19" s="4"/>
      <c r="PWT19" s="12"/>
      <c r="PWU19" s="13"/>
      <c r="PXA19" s="4"/>
      <c r="PXB19" s="12"/>
      <c r="PXC19" s="13"/>
      <c r="PXI19" s="4"/>
      <c r="PXJ19" s="12"/>
      <c r="PXK19" s="13"/>
      <c r="PXQ19" s="4"/>
      <c r="PXR19" s="12"/>
      <c r="PXS19" s="13"/>
      <c r="PXY19" s="4"/>
      <c r="PXZ19" s="12"/>
      <c r="PYA19" s="13"/>
      <c r="PYG19" s="4"/>
      <c r="PYH19" s="12"/>
      <c r="PYI19" s="13"/>
      <c r="PYO19" s="4"/>
      <c r="PYP19" s="12"/>
      <c r="PYQ19" s="13"/>
      <c r="PYW19" s="4"/>
      <c r="PYX19" s="12"/>
      <c r="PYY19" s="13"/>
      <c r="PZE19" s="4"/>
      <c r="PZF19" s="12"/>
      <c r="PZG19" s="13"/>
      <c r="PZM19" s="4"/>
      <c r="PZN19" s="12"/>
      <c r="PZO19" s="13"/>
      <c r="PZU19" s="4"/>
      <c r="PZV19" s="12"/>
      <c r="PZW19" s="13"/>
      <c r="QAC19" s="4"/>
      <c r="QAD19" s="12"/>
      <c r="QAE19" s="13"/>
      <c r="QAK19" s="4"/>
      <c r="QAL19" s="12"/>
      <c r="QAM19" s="13"/>
      <c r="QAS19" s="4"/>
      <c r="QAT19" s="12"/>
      <c r="QAU19" s="13"/>
      <c r="QBA19" s="4"/>
      <c r="QBB19" s="12"/>
      <c r="QBC19" s="13"/>
      <c r="QBI19" s="4"/>
      <c r="QBJ19" s="12"/>
      <c r="QBK19" s="13"/>
      <c r="QBQ19" s="4"/>
      <c r="QBR19" s="12"/>
      <c r="QBS19" s="13"/>
      <c r="QBY19" s="4"/>
      <c r="QBZ19" s="12"/>
      <c r="QCA19" s="13"/>
      <c r="QCG19" s="4"/>
      <c r="QCH19" s="12"/>
      <c r="QCI19" s="13"/>
      <c r="QCO19" s="4"/>
      <c r="QCP19" s="12"/>
      <c r="QCQ19" s="13"/>
      <c r="QCW19" s="4"/>
      <c r="QCX19" s="12"/>
      <c r="QCY19" s="13"/>
      <c r="QDE19" s="4"/>
      <c r="QDF19" s="12"/>
      <c r="QDG19" s="13"/>
      <c r="QDM19" s="4"/>
      <c r="QDN19" s="12"/>
      <c r="QDO19" s="13"/>
      <c r="QDU19" s="4"/>
      <c r="QDV19" s="12"/>
      <c r="QDW19" s="13"/>
      <c r="QEC19" s="4"/>
      <c r="QED19" s="12"/>
      <c r="QEE19" s="13"/>
      <c r="QEK19" s="4"/>
      <c r="QEL19" s="12"/>
      <c r="QEM19" s="13"/>
      <c r="QES19" s="4"/>
      <c r="QET19" s="12"/>
      <c r="QEU19" s="13"/>
      <c r="QFA19" s="4"/>
      <c r="QFB19" s="12"/>
      <c r="QFC19" s="13"/>
      <c r="QFI19" s="4"/>
      <c r="QFJ19" s="12"/>
      <c r="QFK19" s="13"/>
      <c r="QFQ19" s="4"/>
      <c r="QFR19" s="12"/>
      <c r="QFS19" s="13"/>
      <c r="QFY19" s="4"/>
      <c r="QFZ19" s="12"/>
      <c r="QGA19" s="13"/>
      <c r="QGG19" s="4"/>
      <c r="QGH19" s="12"/>
      <c r="QGI19" s="13"/>
      <c r="QGO19" s="4"/>
      <c r="QGP19" s="12"/>
      <c r="QGQ19" s="13"/>
      <c r="QGW19" s="4"/>
      <c r="QGX19" s="12"/>
      <c r="QGY19" s="13"/>
      <c r="QHE19" s="4"/>
      <c r="QHF19" s="12"/>
      <c r="QHG19" s="13"/>
      <c r="QHM19" s="4"/>
      <c r="QHN19" s="12"/>
      <c r="QHO19" s="13"/>
      <c r="QHU19" s="4"/>
      <c r="QHV19" s="12"/>
      <c r="QHW19" s="13"/>
      <c r="QIC19" s="4"/>
      <c r="QID19" s="12"/>
      <c r="QIE19" s="13"/>
      <c r="QIK19" s="4"/>
      <c r="QIL19" s="12"/>
      <c r="QIM19" s="13"/>
      <c r="QIS19" s="4"/>
      <c r="QIT19" s="12"/>
      <c r="QIU19" s="13"/>
      <c r="QJA19" s="4"/>
      <c r="QJB19" s="12"/>
      <c r="QJC19" s="13"/>
      <c r="QJI19" s="4"/>
      <c r="QJJ19" s="12"/>
      <c r="QJK19" s="13"/>
      <c r="QJQ19" s="4"/>
      <c r="QJR19" s="12"/>
      <c r="QJS19" s="13"/>
      <c r="QJY19" s="4"/>
      <c r="QJZ19" s="12"/>
      <c r="QKA19" s="13"/>
      <c r="QKG19" s="4"/>
      <c r="QKH19" s="12"/>
      <c r="QKI19" s="13"/>
      <c r="QKO19" s="4"/>
      <c r="QKP19" s="12"/>
      <c r="QKQ19" s="13"/>
      <c r="QKW19" s="4"/>
      <c r="QKX19" s="12"/>
      <c r="QKY19" s="13"/>
      <c r="QLE19" s="4"/>
      <c r="QLF19" s="12"/>
      <c r="QLG19" s="13"/>
      <c r="QLM19" s="4"/>
      <c r="QLN19" s="12"/>
      <c r="QLO19" s="13"/>
      <c r="QLU19" s="4"/>
      <c r="QLV19" s="12"/>
      <c r="QLW19" s="13"/>
      <c r="QMC19" s="4"/>
      <c r="QMD19" s="12"/>
      <c r="QME19" s="13"/>
      <c r="QMK19" s="4"/>
      <c r="QML19" s="12"/>
      <c r="QMM19" s="13"/>
      <c r="QMS19" s="4"/>
      <c r="QMT19" s="12"/>
      <c r="QMU19" s="13"/>
      <c r="QNA19" s="4"/>
      <c r="QNB19" s="12"/>
      <c r="QNC19" s="13"/>
      <c r="QNI19" s="4"/>
      <c r="QNJ19" s="12"/>
      <c r="QNK19" s="13"/>
      <c r="QNQ19" s="4"/>
      <c r="QNR19" s="12"/>
      <c r="QNS19" s="13"/>
      <c r="QNY19" s="4"/>
      <c r="QNZ19" s="12"/>
      <c r="QOA19" s="13"/>
      <c r="QOG19" s="4"/>
      <c r="QOH19" s="12"/>
      <c r="QOI19" s="13"/>
      <c r="QOO19" s="4"/>
      <c r="QOP19" s="12"/>
      <c r="QOQ19" s="13"/>
      <c r="QOW19" s="4"/>
      <c r="QOX19" s="12"/>
      <c r="QOY19" s="13"/>
      <c r="QPE19" s="4"/>
      <c r="QPF19" s="12"/>
      <c r="QPG19" s="13"/>
      <c r="QPM19" s="4"/>
      <c r="QPN19" s="12"/>
      <c r="QPO19" s="13"/>
      <c r="QPU19" s="4"/>
      <c r="QPV19" s="12"/>
      <c r="QPW19" s="13"/>
      <c r="QQC19" s="4"/>
      <c r="QQD19" s="12"/>
      <c r="QQE19" s="13"/>
      <c r="QQK19" s="4"/>
      <c r="QQL19" s="12"/>
      <c r="QQM19" s="13"/>
      <c r="QQS19" s="4"/>
      <c r="QQT19" s="12"/>
      <c r="QQU19" s="13"/>
      <c r="QRA19" s="4"/>
      <c r="QRB19" s="12"/>
      <c r="QRC19" s="13"/>
      <c r="QRI19" s="4"/>
      <c r="QRJ19" s="12"/>
      <c r="QRK19" s="13"/>
      <c r="QRQ19" s="4"/>
      <c r="QRR19" s="12"/>
      <c r="QRS19" s="13"/>
      <c r="QRY19" s="4"/>
      <c r="QRZ19" s="12"/>
      <c r="QSA19" s="13"/>
      <c r="QSG19" s="4"/>
      <c r="QSH19" s="12"/>
      <c r="QSI19" s="13"/>
      <c r="QSO19" s="4"/>
      <c r="QSP19" s="12"/>
      <c r="QSQ19" s="13"/>
      <c r="QSW19" s="4"/>
      <c r="QSX19" s="12"/>
      <c r="QSY19" s="13"/>
      <c r="QTE19" s="4"/>
      <c r="QTF19" s="12"/>
      <c r="QTG19" s="13"/>
      <c r="QTM19" s="4"/>
      <c r="QTN19" s="12"/>
      <c r="QTO19" s="13"/>
      <c r="QTU19" s="4"/>
      <c r="QTV19" s="12"/>
      <c r="QTW19" s="13"/>
      <c r="QUC19" s="4"/>
      <c r="QUD19" s="12"/>
      <c r="QUE19" s="13"/>
      <c r="QUK19" s="4"/>
      <c r="QUL19" s="12"/>
      <c r="QUM19" s="13"/>
      <c r="QUS19" s="4"/>
      <c r="QUT19" s="12"/>
      <c r="QUU19" s="13"/>
      <c r="QVA19" s="4"/>
      <c r="QVB19" s="12"/>
      <c r="QVC19" s="13"/>
      <c r="QVI19" s="4"/>
      <c r="QVJ19" s="12"/>
      <c r="QVK19" s="13"/>
      <c r="QVQ19" s="4"/>
      <c r="QVR19" s="12"/>
      <c r="QVS19" s="13"/>
      <c r="QVY19" s="4"/>
      <c r="QVZ19" s="12"/>
      <c r="QWA19" s="13"/>
      <c r="QWG19" s="4"/>
      <c r="QWH19" s="12"/>
      <c r="QWI19" s="13"/>
      <c r="QWO19" s="4"/>
      <c r="QWP19" s="12"/>
      <c r="QWQ19" s="13"/>
      <c r="QWW19" s="4"/>
      <c r="QWX19" s="12"/>
      <c r="QWY19" s="13"/>
      <c r="QXE19" s="4"/>
      <c r="QXF19" s="12"/>
      <c r="QXG19" s="13"/>
      <c r="QXM19" s="4"/>
      <c r="QXN19" s="12"/>
      <c r="QXO19" s="13"/>
      <c r="QXU19" s="4"/>
      <c r="QXV19" s="12"/>
      <c r="QXW19" s="13"/>
      <c r="QYC19" s="4"/>
      <c r="QYD19" s="12"/>
      <c r="QYE19" s="13"/>
      <c r="QYK19" s="4"/>
      <c r="QYL19" s="12"/>
      <c r="QYM19" s="13"/>
      <c r="QYS19" s="4"/>
      <c r="QYT19" s="12"/>
      <c r="QYU19" s="13"/>
      <c r="QZA19" s="4"/>
      <c r="QZB19" s="12"/>
      <c r="QZC19" s="13"/>
      <c r="QZI19" s="4"/>
      <c r="QZJ19" s="12"/>
      <c r="QZK19" s="13"/>
      <c r="QZQ19" s="4"/>
      <c r="QZR19" s="12"/>
      <c r="QZS19" s="13"/>
      <c r="QZY19" s="4"/>
      <c r="QZZ19" s="12"/>
      <c r="RAA19" s="13"/>
      <c r="RAG19" s="4"/>
      <c r="RAH19" s="12"/>
      <c r="RAI19" s="13"/>
      <c r="RAO19" s="4"/>
      <c r="RAP19" s="12"/>
      <c r="RAQ19" s="13"/>
      <c r="RAW19" s="4"/>
      <c r="RAX19" s="12"/>
      <c r="RAY19" s="13"/>
      <c r="RBE19" s="4"/>
      <c r="RBF19" s="12"/>
      <c r="RBG19" s="13"/>
      <c r="RBM19" s="4"/>
      <c r="RBN19" s="12"/>
      <c r="RBO19" s="13"/>
      <c r="RBU19" s="4"/>
      <c r="RBV19" s="12"/>
      <c r="RBW19" s="13"/>
      <c r="RCC19" s="4"/>
      <c r="RCD19" s="12"/>
      <c r="RCE19" s="13"/>
      <c r="RCK19" s="4"/>
      <c r="RCL19" s="12"/>
      <c r="RCM19" s="13"/>
      <c r="RCS19" s="4"/>
      <c r="RCT19" s="12"/>
      <c r="RCU19" s="13"/>
      <c r="RDA19" s="4"/>
      <c r="RDB19" s="12"/>
      <c r="RDC19" s="13"/>
      <c r="RDI19" s="4"/>
      <c r="RDJ19" s="12"/>
      <c r="RDK19" s="13"/>
      <c r="RDQ19" s="4"/>
      <c r="RDR19" s="12"/>
      <c r="RDS19" s="13"/>
      <c r="RDY19" s="4"/>
      <c r="RDZ19" s="12"/>
      <c r="REA19" s="13"/>
      <c r="REG19" s="4"/>
      <c r="REH19" s="12"/>
      <c r="REI19" s="13"/>
      <c r="REO19" s="4"/>
      <c r="REP19" s="12"/>
      <c r="REQ19" s="13"/>
      <c r="REW19" s="4"/>
      <c r="REX19" s="12"/>
      <c r="REY19" s="13"/>
      <c r="RFE19" s="4"/>
      <c r="RFF19" s="12"/>
      <c r="RFG19" s="13"/>
      <c r="RFM19" s="4"/>
      <c r="RFN19" s="12"/>
      <c r="RFO19" s="13"/>
      <c r="RFU19" s="4"/>
      <c r="RFV19" s="12"/>
      <c r="RFW19" s="13"/>
      <c r="RGC19" s="4"/>
      <c r="RGD19" s="12"/>
      <c r="RGE19" s="13"/>
      <c r="RGK19" s="4"/>
      <c r="RGL19" s="12"/>
      <c r="RGM19" s="13"/>
      <c r="RGS19" s="4"/>
      <c r="RGT19" s="12"/>
      <c r="RGU19" s="13"/>
      <c r="RHA19" s="4"/>
      <c r="RHB19" s="12"/>
      <c r="RHC19" s="13"/>
      <c r="RHI19" s="4"/>
      <c r="RHJ19" s="12"/>
      <c r="RHK19" s="13"/>
      <c r="RHQ19" s="4"/>
      <c r="RHR19" s="12"/>
      <c r="RHS19" s="13"/>
      <c r="RHY19" s="4"/>
      <c r="RHZ19" s="12"/>
      <c r="RIA19" s="13"/>
      <c r="RIG19" s="4"/>
      <c r="RIH19" s="12"/>
      <c r="RII19" s="13"/>
      <c r="RIO19" s="4"/>
      <c r="RIP19" s="12"/>
      <c r="RIQ19" s="13"/>
      <c r="RIW19" s="4"/>
      <c r="RIX19" s="12"/>
      <c r="RIY19" s="13"/>
      <c r="RJE19" s="4"/>
      <c r="RJF19" s="12"/>
      <c r="RJG19" s="13"/>
      <c r="RJM19" s="4"/>
      <c r="RJN19" s="12"/>
      <c r="RJO19" s="13"/>
      <c r="RJU19" s="4"/>
      <c r="RJV19" s="12"/>
      <c r="RJW19" s="13"/>
      <c r="RKC19" s="4"/>
      <c r="RKD19" s="12"/>
      <c r="RKE19" s="13"/>
      <c r="RKK19" s="4"/>
      <c r="RKL19" s="12"/>
      <c r="RKM19" s="13"/>
      <c r="RKS19" s="4"/>
      <c r="RKT19" s="12"/>
      <c r="RKU19" s="13"/>
      <c r="RLA19" s="4"/>
      <c r="RLB19" s="12"/>
      <c r="RLC19" s="13"/>
      <c r="RLI19" s="4"/>
      <c r="RLJ19" s="12"/>
      <c r="RLK19" s="13"/>
      <c r="RLQ19" s="4"/>
      <c r="RLR19" s="12"/>
      <c r="RLS19" s="13"/>
      <c r="RLY19" s="4"/>
      <c r="RLZ19" s="12"/>
      <c r="RMA19" s="13"/>
      <c r="RMG19" s="4"/>
      <c r="RMH19" s="12"/>
      <c r="RMI19" s="13"/>
      <c r="RMO19" s="4"/>
      <c r="RMP19" s="12"/>
      <c r="RMQ19" s="13"/>
      <c r="RMW19" s="4"/>
      <c r="RMX19" s="12"/>
      <c r="RMY19" s="13"/>
      <c r="RNE19" s="4"/>
      <c r="RNF19" s="12"/>
      <c r="RNG19" s="13"/>
      <c r="RNM19" s="4"/>
      <c r="RNN19" s="12"/>
      <c r="RNO19" s="13"/>
      <c r="RNU19" s="4"/>
      <c r="RNV19" s="12"/>
      <c r="RNW19" s="13"/>
      <c r="ROC19" s="4"/>
      <c r="ROD19" s="12"/>
      <c r="ROE19" s="13"/>
      <c r="ROK19" s="4"/>
      <c r="ROL19" s="12"/>
      <c r="ROM19" s="13"/>
      <c r="ROS19" s="4"/>
      <c r="ROT19" s="12"/>
      <c r="ROU19" s="13"/>
      <c r="RPA19" s="4"/>
      <c r="RPB19" s="12"/>
      <c r="RPC19" s="13"/>
      <c r="RPI19" s="4"/>
      <c r="RPJ19" s="12"/>
      <c r="RPK19" s="13"/>
      <c r="RPQ19" s="4"/>
      <c r="RPR19" s="12"/>
      <c r="RPS19" s="13"/>
      <c r="RPY19" s="4"/>
      <c r="RPZ19" s="12"/>
      <c r="RQA19" s="13"/>
      <c r="RQG19" s="4"/>
      <c r="RQH19" s="12"/>
      <c r="RQI19" s="13"/>
      <c r="RQO19" s="4"/>
      <c r="RQP19" s="12"/>
      <c r="RQQ19" s="13"/>
      <c r="RQW19" s="4"/>
      <c r="RQX19" s="12"/>
      <c r="RQY19" s="13"/>
      <c r="RRE19" s="4"/>
      <c r="RRF19" s="12"/>
      <c r="RRG19" s="13"/>
      <c r="RRM19" s="4"/>
      <c r="RRN19" s="12"/>
      <c r="RRO19" s="13"/>
      <c r="RRU19" s="4"/>
      <c r="RRV19" s="12"/>
      <c r="RRW19" s="13"/>
      <c r="RSC19" s="4"/>
      <c r="RSD19" s="12"/>
      <c r="RSE19" s="13"/>
      <c r="RSK19" s="4"/>
      <c r="RSL19" s="12"/>
      <c r="RSM19" s="13"/>
      <c r="RSS19" s="4"/>
      <c r="RST19" s="12"/>
      <c r="RSU19" s="13"/>
      <c r="RTA19" s="4"/>
      <c r="RTB19" s="12"/>
      <c r="RTC19" s="13"/>
      <c r="RTI19" s="4"/>
      <c r="RTJ19" s="12"/>
      <c r="RTK19" s="13"/>
      <c r="RTQ19" s="4"/>
      <c r="RTR19" s="12"/>
      <c r="RTS19" s="13"/>
      <c r="RTY19" s="4"/>
      <c r="RTZ19" s="12"/>
      <c r="RUA19" s="13"/>
      <c r="RUG19" s="4"/>
      <c r="RUH19" s="12"/>
      <c r="RUI19" s="13"/>
      <c r="RUO19" s="4"/>
      <c r="RUP19" s="12"/>
      <c r="RUQ19" s="13"/>
      <c r="RUW19" s="4"/>
      <c r="RUX19" s="12"/>
      <c r="RUY19" s="13"/>
      <c r="RVE19" s="4"/>
      <c r="RVF19" s="12"/>
      <c r="RVG19" s="13"/>
      <c r="RVM19" s="4"/>
      <c r="RVN19" s="12"/>
      <c r="RVO19" s="13"/>
      <c r="RVU19" s="4"/>
      <c r="RVV19" s="12"/>
      <c r="RVW19" s="13"/>
      <c r="RWC19" s="4"/>
      <c r="RWD19" s="12"/>
      <c r="RWE19" s="13"/>
      <c r="RWK19" s="4"/>
      <c r="RWL19" s="12"/>
      <c r="RWM19" s="13"/>
      <c r="RWS19" s="4"/>
      <c r="RWT19" s="12"/>
      <c r="RWU19" s="13"/>
      <c r="RXA19" s="4"/>
      <c r="RXB19" s="12"/>
      <c r="RXC19" s="13"/>
      <c r="RXI19" s="4"/>
      <c r="RXJ19" s="12"/>
      <c r="RXK19" s="13"/>
      <c r="RXQ19" s="4"/>
      <c r="RXR19" s="12"/>
      <c r="RXS19" s="13"/>
      <c r="RXY19" s="4"/>
      <c r="RXZ19" s="12"/>
      <c r="RYA19" s="13"/>
      <c r="RYG19" s="4"/>
      <c r="RYH19" s="12"/>
      <c r="RYI19" s="13"/>
      <c r="RYO19" s="4"/>
      <c r="RYP19" s="12"/>
      <c r="RYQ19" s="13"/>
      <c r="RYW19" s="4"/>
      <c r="RYX19" s="12"/>
      <c r="RYY19" s="13"/>
      <c r="RZE19" s="4"/>
      <c r="RZF19" s="12"/>
      <c r="RZG19" s="13"/>
      <c r="RZM19" s="4"/>
      <c r="RZN19" s="12"/>
      <c r="RZO19" s="13"/>
      <c r="RZU19" s="4"/>
      <c r="RZV19" s="12"/>
      <c r="RZW19" s="13"/>
      <c r="SAC19" s="4"/>
      <c r="SAD19" s="12"/>
      <c r="SAE19" s="13"/>
      <c r="SAK19" s="4"/>
      <c r="SAL19" s="12"/>
      <c r="SAM19" s="13"/>
      <c r="SAS19" s="4"/>
      <c r="SAT19" s="12"/>
      <c r="SAU19" s="13"/>
      <c r="SBA19" s="4"/>
      <c r="SBB19" s="12"/>
      <c r="SBC19" s="13"/>
      <c r="SBI19" s="4"/>
      <c r="SBJ19" s="12"/>
      <c r="SBK19" s="13"/>
      <c r="SBQ19" s="4"/>
      <c r="SBR19" s="12"/>
      <c r="SBS19" s="13"/>
      <c r="SBY19" s="4"/>
      <c r="SBZ19" s="12"/>
      <c r="SCA19" s="13"/>
      <c r="SCG19" s="4"/>
      <c r="SCH19" s="12"/>
      <c r="SCI19" s="13"/>
      <c r="SCO19" s="4"/>
      <c r="SCP19" s="12"/>
      <c r="SCQ19" s="13"/>
      <c r="SCW19" s="4"/>
      <c r="SCX19" s="12"/>
      <c r="SCY19" s="13"/>
      <c r="SDE19" s="4"/>
      <c r="SDF19" s="12"/>
      <c r="SDG19" s="13"/>
      <c r="SDM19" s="4"/>
      <c r="SDN19" s="12"/>
      <c r="SDO19" s="13"/>
      <c r="SDU19" s="4"/>
      <c r="SDV19" s="12"/>
      <c r="SDW19" s="13"/>
      <c r="SEC19" s="4"/>
      <c r="SED19" s="12"/>
      <c r="SEE19" s="13"/>
      <c r="SEK19" s="4"/>
      <c r="SEL19" s="12"/>
      <c r="SEM19" s="13"/>
      <c r="SES19" s="4"/>
      <c r="SET19" s="12"/>
      <c r="SEU19" s="13"/>
      <c r="SFA19" s="4"/>
      <c r="SFB19" s="12"/>
      <c r="SFC19" s="13"/>
      <c r="SFI19" s="4"/>
      <c r="SFJ19" s="12"/>
      <c r="SFK19" s="13"/>
      <c r="SFQ19" s="4"/>
      <c r="SFR19" s="12"/>
      <c r="SFS19" s="13"/>
      <c r="SFY19" s="4"/>
      <c r="SFZ19" s="12"/>
      <c r="SGA19" s="13"/>
      <c r="SGG19" s="4"/>
      <c r="SGH19" s="12"/>
      <c r="SGI19" s="13"/>
      <c r="SGO19" s="4"/>
      <c r="SGP19" s="12"/>
      <c r="SGQ19" s="13"/>
      <c r="SGW19" s="4"/>
      <c r="SGX19" s="12"/>
      <c r="SGY19" s="13"/>
      <c r="SHE19" s="4"/>
      <c r="SHF19" s="12"/>
      <c r="SHG19" s="13"/>
      <c r="SHM19" s="4"/>
      <c r="SHN19" s="12"/>
      <c r="SHO19" s="13"/>
      <c r="SHU19" s="4"/>
      <c r="SHV19" s="12"/>
      <c r="SHW19" s="13"/>
      <c r="SIC19" s="4"/>
      <c r="SID19" s="12"/>
      <c r="SIE19" s="13"/>
      <c r="SIK19" s="4"/>
      <c r="SIL19" s="12"/>
      <c r="SIM19" s="13"/>
      <c r="SIS19" s="4"/>
      <c r="SIT19" s="12"/>
      <c r="SIU19" s="13"/>
      <c r="SJA19" s="4"/>
      <c r="SJB19" s="12"/>
      <c r="SJC19" s="13"/>
      <c r="SJI19" s="4"/>
      <c r="SJJ19" s="12"/>
      <c r="SJK19" s="13"/>
      <c r="SJQ19" s="4"/>
      <c r="SJR19" s="12"/>
      <c r="SJS19" s="13"/>
      <c r="SJY19" s="4"/>
      <c r="SJZ19" s="12"/>
      <c r="SKA19" s="13"/>
      <c r="SKG19" s="4"/>
      <c r="SKH19" s="12"/>
      <c r="SKI19" s="13"/>
      <c r="SKO19" s="4"/>
      <c r="SKP19" s="12"/>
      <c r="SKQ19" s="13"/>
      <c r="SKW19" s="4"/>
      <c r="SKX19" s="12"/>
      <c r="SKY19" s="13"/>
      <c r="SLE19" s="4"/>
      <c r="SLF19" s="12"/>
      <c r="SLG19" s="13"/>
      <c r="SLM19" s="4"/>
      <c r="SLN19" s="12"/>
      <c r="SLO19" s="13"/>
      <c r="SLU19" s="4"/>
      <c r="SLV19" s="12"/>
      <c r="SLW19" s="13"/>
      <c r="SMC19" s="4"/>
      <c r="SMD19" s="12"/>
      <c r="SME19" s="13"/>
      <c r="SMK19" s="4"/>
      <c r="SML19" s="12"/>
      <c r="SMM19" s="13"/>
      <c r="SMS19" s="4"/>
      <c r="SMT19" s="12"/>
      <c r="SMU19" s="13"/>
      <c r="SNA19" s="4"/>
      <c r="SNB19" s="12"/>
      <c r="SNC19" s="13"/>
      <c r="SNI19" s="4"/>
      <c r="SNJ19" s="12"/>
      <c r="SNK19" s="13"/>
      <c r="SNQ19" s="4"/>
      <c r="SNR19" s="12"/>
      <c r="SNS19" s="13"/>
      <c r="SNY19" s="4"/>
      <c r="SNZ19" s="12"/>
      <c r="SOA19" s="13"/>
      <c r="SOG19" s="4"/>
      <c r="SOH19" s="12"/>
      <c r="SOI19" s="13"/>
      <c r="SOO19" s="4"/>
      <c r="SOP19" s="12"/>
      <c r="SOQ19" s="13"/>
      <c r="SOW19" s="4"/>
      <c r="SOX19" s="12"/>
      <c r="SOY19" s="13"/>
      <c r="SPE19" s="4"/>
      <c r="SPF19" s="12"/>
      <c r="SPG19" s="13"/>
      <c r="SPM19" s="4"/>
      <c r="SPN19" s="12"/>
      <c r="SPO19" s="13"/>
      <c r="SPU19" s="4"/>
      <c r="SPV19" s="12"/>
      <c r="SPW19" s="13"/>
      <c r="SQC19" s="4"/>
      <c r="SQD19" s="12"/>
      <c r="SQE19" s="13"/>
      <c r="SQK19" s="4"/>
      <c r="SQL19" s="12"/>
      <c r="SQM19" s="13"/>
      <c r="SQS19" s="4"/>
      <c r="SQT19" s="12"/>
      <c r="SQU19" s="13"/>
      <c r="SRA19" s="4"/>
      <c r="SRB19" s="12"/>
      <c r="SRC19" s="13"/>
      <c r="SRI19" s="4"/>
      <c r="SRJ19" s="12"/>
      <c r="SRK19" s="13"/>
      <c r="SRQ19" s="4"/>
      <c r="SRR19" s="12"/>
      <c r="SRS19" s="13"/>
      <c r="SRY19" s="4"/>
      <c r="SRZ19" s="12"/>
      <c r="SSA19" s="13"/>
      <c r="SSG19" s="4"/>
      <c r="SSH19" s="12"/>
      <c r="SSI19" s="13"/>
      <c r="SSO19" s="4"/>
      <c r="SSP19" s="12"/>
      <c r="SSQ19" s="13"/>
      <c r="SSW19" s="4"/>
      <c r="SSX19" s="12"/>
      <c r="SSY19" s="13"/>
      <c r="STE19" s="4"/>
      <c r="STF19" s="12"/>
      <c r="STG19" s="13"/>
      <c r="STM19" s="4"/>
      <c r="STN19" s="12"/>
      <c r="STO19" s="13"/>
      <c r="STU19" s="4"/>
      <c r="STV19" s="12"/>
      <c r="STW19" s="13"/>
      <c r="SUC19" s="4"/>
      <c r="SUD19" s="12"/>
      <c r="SUE19" s="13"/>
      <c r="SUK19" s="4"/>
      <c r="SUL19" s="12"/>
      <c r="SUM19" s="13"/>
      <c r="SUS19" s="4"/>
      <c r="SUT19" s="12"/>
      <c r="SUU19" s="13"/>
      <c r="SVA19" s="4"/>
      <c r="SVB19" s="12"/>
      <c r="SVC19" s="13"/>
      <c r="SVI19" s="4"/>
      <c r="SVJ19" s="12"/>
      <c r="SVK19" s="13"/>
      <c r="SVQ19" s="4"/>
      <c r="SVR19" s="12"/>
      <c r="SVS19" s="13"/>
      <c r="SVY19" s="4"/>
      <c r="SVZ19" s="12"/>
      <c r="SWA19" s="13"/>
      <c r="SWG19" s="4"/>
      <c r="SWH19" s="12"/>
      <c r="SWI19" s="13"/>
      <c r="SWO19" s="4"/>
      <c r="SWP19" s="12"/>
      <c r="SWQ19" s="13"/>
      <c r="SWW19" s="4"/>
      <c r="SWX19" s="12"/>
      <c r="SWY19" s="13"/>
      <c r="SXE19" s="4"/>
      <c r="SXF19" s="12"/>
      <c r="SXG19" s="13"/>
      <c r="SXM19" s="4"/>
      <c r="SXN19" s="12"/>
      <c r="SXO19" s="13"/>
      <c r="SXU19" s="4"/>
      <c r="SXV19" s="12"/>
      <c r="SXW19" s="13"/>
      <c r="SYC19" s="4"/>
      <c r="SYD19" s="12"/>
      <c r="SYE19" s="13"/>
      <c r="SYK19" s="4"/>
      <c r="SYL19" s="12"/>
      <c r="SYM19" s="13"/>
      <c r="SYS19" s="4"/>
      <c r="SYT19" s="12"/>
      <c r="SYU19" s="13"/>
      <c r="SZA19" s="4"/>
      <c r="SZB19" s="12"/>
      <c r="SZC19" s="13"/>
      <c r="SZI19" s="4"/>
      <c r="SZJ19" s="12"/>
      <c r="SZK19" s="13"/>
      <c r="SZQ19" s="4"/>
      <c r="SZR19" s="12"/>
      <c r="SZS19" s="13"/>
      <c r="SZY19" s="4"/>
      <c r="SZZ19" s="12"/>
      <c r="TAA19" s="13"/>
      <c r="TAG19" s="4"/>
      <c r="TAH19" s="12"/>
      <c r="TAI19" s="13"/>
      <c r="TAO19" s="4"/>
      <c r="TAP19" s="12"/>
      <c r="TAQ19" s="13"/>
      <c r="TAW19" s="4"/>
      <c r="TAX19" s="12"/>
      <c r="TAY19" s="13"/>
      <c r="TBE19" s="4"/>
      <c r="TBF19" s="12"/>
      <c r="TBG19" s="13"/>
      <c r="TBM19" s="4"/>
      <c r="TBN19" s="12"/>
      <c r="TBO19" s="13"/>
      <c r="TBU19" s="4"/>
      <c r="TBV19" s="12"/>
      <c r="TBW19" s="13"/>
      <c r="TCC19" s="4"/>
      <c r="TCD19" s="12"/>
      <c r="TCE19" s="13"/>
      <c r="TCK19" s="4"/>
      <c r="TCL19" s="12"/>
      <c r="TCM19" s="13"/>
      <c r="TCS19" s="4"/>
      <c r="TCT19" s="12"/>
      <c r="TCU19" s="13"/>
      <c r="TDA19" s="4"/>
      <c r="TDB19" s="12"/>
      <c r="TDC19" s="13"/>
      <c r="TDI19" s="4"/>
      <c r="TDJ19" s="12"/>
      <c r="TDK19" s="13"/>
      <c r="TDQ19" s="4"/>
      <c r="TDR19" s="12"/>
      <c r="TDS19" s="13"/>
      <c r="TDY19" s="4"/>
      <c r="TDZ19" s="12"/>
      <c r="TEA19" s="13"/>
      <c r="TEG19" s="4"/>
      <c r="TEH19" s="12"/>
      <c r="TEI19" s="13"/>
      <c r="TEO19" s="4"/>
      <c r="TEP19" s="12"/>
      <c r="TEQ19" s="13"/>
      <c r="TEW19" s="4"/>
      <c r="TEX19" s="12"/>
      <c r="TEY19" s="13"/>
      <c r="TFE19" s="4"/>
      <c r="TFF19" s="12"/>
      <c r="TFG19" s="13"/>
      <c r="TFM19" s="4"/>
      <c r="TFN19" s="12"/>
      <c r="TFO19" s="13"/>
      <c r="TFU19" s="4"/>
      <c r="TFV19" s="12"/>
      <c r="TFW19" s="13"/>
      <c r="TGC19" s="4"/>
      <c r="TGD19" s="12"/>
      <c r="TGE19" s="13"/>
      <c r="TGK19" s="4"/>
      <c r="TGL19" s="12"/>
      <c r="TGM19" s="13"/>
      <c r="TGS19" s="4"/>
      <c r="TGT19" s="12"/>
      <c r="TGU19" s="13"/>
      <c r="THA19" s="4"/>
      <c r="THB19" s="12"/>
      <c r="THC19" s="13"/>
      <c r="THI19" s="4"/>
      <c r="THJ19" s="12"/>
      <c r="THK19" s="13"/>
      <c r="THQ19" s="4"/>
      <c r="THR19" s="12"/>
      <c r="THS19" s="13"/>
      <c r="THY19" s="4"/>
      <c r="THZ19" s="12"/>
      <c r="TIA19" s="13"/>
      <c r="TIG19" s="4"/>
      <c r="TIH19" s="12"/>
      <c r="TII19" s="13"/>
      <c r="TIO19" s="4"/>
      <c r="TIP19" s="12"/>
      <c r="TIQ19" s="13"/>
      <c r="TIW19" s="4"/>
      <c r="TIX19" s="12"/>
      <c r="TIY19" s="13"/>
      <c r="TJE19" s="4"/>
      <c r="TJF19" s="12"/>
      <c r="TJG19" s="13"/>
      <c r="TJM19" s="4"/>
      <c r="TJN19" s="12"/>
      <c r="TJO19" s="13"/>
      <c r="TJU19" s="4"/>
      <c r="TJV19" s="12"/>
      <c r="TJW19" s="13"/>
      <c r="TKC19" s="4"/>
      <c r="TKD19" s="12"/>
      <c r="TKE19" s="13"/>
      <c r="TKK19" s="4"/>
      <c r="TKL19" s="12"/>
      <c r="TKM19" s="13"/>
      <c r="TKS19" s="4"/>
      <c r="TKT19" s="12"/>
      <c r="TKU19" s="13"/>
      <c r="TLA19" s="4"/>
      <c r="TLB19" s="12"/>
      <c r="TLC19" s="13"/>
      <c r="TLI19" s="4"/>
      <c r="TLJ19" s="12"/>
      <c r="TLK19" s="13"/>
      <c r="TLQ19" s="4"/>
      <c r="TLR19" s="12"/>
      <c r="TLS19" s="13"/>
      <c r="TLY19" s="4"/>
      <c r="TLZ19" s="12"/>
      <c r="TMA19" s="13"/>
      <c r="TMG19" s="4"/>
      <c r="TMH19" s="12"/>
      <c r="TMI19" s="13"/>
      <c r="TMO19" s="4"/>
      <c r="TMP19" s="12"/>
      <c r="TMQ19" s="13"/>
      <c r="TMW19" s="4"/>
      <c r="TMX19" s="12"/>
      <c r="TMY19" s="13"/>
      <c r="TNE19" s="4"/>
      <c r="TNF19" s="12"/>
      <c r="TNG19" s="13"/>
      <c r="TNM19" s="4"/>
      <c r="TNN19" s="12"/>
      <c r="TNO19" s="13"/>
      <c r="TNU19" s="4"/>
      <c r="TNV19" s="12"/>
      <c r="TNW19" s="13"/>
      <c r="TOC19" s="4"/>
      <c r="TOD19" s="12"/>
      <c r="TOE19" s="13"/>
      <c r="TOK19" s="4"/>
      <c r="TOL19" s="12"/>
      <c r="TOM19" s="13"/>
      <c r="TOS19" s="4"/>
      <c r="TOT19" s="12"/>
      <c r="TOU19" s="13"/>
      <c r="TPA19" s="4"/>
      <c r="TPB19" s="12"/>
      <c r="TPC19" s="13"/>
      <c r="TPI19" s="4"/>
      <c r="TPJ19" s="12"/>
      <c r="TPK19" s="13"/>
      <c r="TPQ19" s="4"/>
      <c r="TPR19" s="12"/>
      <c r="TPS19" s="13"/>
      <c r="TPY19" s="4"/>
      <c r="TPZ19" s="12"/>
      <c r="TQA19" s="13"/>
      <c r="TQG19" s="4"/>
      <c r="TQH19" s="12"/>
      <c r="TQI19" s="13"/>
      <c r="TQO19" s="4"/>
      <c r="TQP19" s="12"/>
      <c r="TQQ19" s="13"/>
      <c r="TQW19" s="4"/>
      <c r="TQX19" s="12"/>
      <c r="TQY19" s="13"/>
      <c r="TRE19" s="4"/>
      <c r="TRF19" s="12"/>
      <c r="TRG19" s="13"/>
      <c r="TRM19" s="4"/>
      <c r="TRN19" s="12"/>
      <c r="TRO19" s="13"/>
      <c r="TRU19" s="4"/>
      <c r="TRV19" s="12"/>
      <c r="TRW19" s="13"/>
      <c r="TSC19" s="4"/>
      <c r="TSD19" s="12"/>
      <c r="TSE19" s="13"/>
      <c r="TSK19" s="4"/>
      <c r="TSL19" s="12"/>
      <c r="TSM19" s="13"/>
      <c r="TSS19" s="4"/>
      <c r="TST19" s="12"/>
      <c r="TSU19" s="13"/>
      <c r="TTA19" s="4"/>
      <c r="TTB19" s="12"/>
      <c r="TTC19" s="13"/>
      <c r="TTI19" s="4"/>
      <c r="TTJ19" s="12"/>
      <c r="TTK19" s="13"/>
      <c r="TTQ19" s="4"/>
      <c r="TTR19" s="12"/>
      <c r="TTS19" s="13"/>
      <c r="TTY19" s="4"/>
      <c r="TTZ19" s="12"/>
      <c r="TUA19" s="13"/>
      <c r="TUG19" s="4"/>
      <c r="TUH19" s="12"/>
      <c r="TUI19" s="13"/>
      <c r="TUO19" s="4"/>
      <c r="TUP19" s="12"/>
      <c r="TUQ19" s="13"/>
      <c r="TUW19" s="4"/>
      <c r="TUX19" s="12"/>
      <c r="TUY19" s="13"/>
      <c r="TVE19" s="4"/>
      <c r="TVF19" s="12"/>
      <c r="TVG19" s="13"/>
      <c r="TVM19" s="4"/>
      <c r="TVN19" s="12"/>
      <c r="TVO19" s="13"/>
      <c r="TVU19" s="4"/>
      <c r="TVV19" s="12"/>
      <c r="TVW19" s="13"/>
      <c r="TWC19" s="4"/>
      <c r="TWD19" s="12"/>
      <c r="TWE19" s="13"/>
      <c r="TWK19" s="4"/>
      <c r="TWL19" s="12"/>
      <c r="TWM19" s="13"/>
      <c r="TWS19" s="4"/>
      <c r="TWT19" s="12"/>
      <c r="TWU19" s="13"/>
      <c r="TXA19" s="4"/>
      <c r="TXB19" s="12"/>
      <c r="TXC19" s="13"/>
      <c r="TXI19" s="4"/>
      <c r="TXJ19" s="12"/>
      <c r="TXK19" s="13"/>
      <c r="TXQ19" s="4"/>
      <c r="TXR19" s="12"/>
      <c r="TXS19" s="13"/>
      <c r="TXY19" s="4"/>
      <c r="TXZ19" s="12"/>
      <c r="TYA19" s="13"/>
      <c r="TYG19" s="4"/>
      <c r="TYH19" s="12"/>
      <c r="TYI19" s="13"/>
      <c r="TYO19" s="4"/>
      <c r="TYP19" s="12"/>
      <c r="TYQ19" s="13"/>
      <c r="TYW19" s="4"/>
      <c r="TYX19" s="12"/>
      <c r="TYY19" s="13"/>
      <c r="TZE19" s="4"/>
      <c r="TZF19" s="12"/>
      <c r="TZG19" s="13"/>
      <c r="TZM19" s="4"/>
      <c r="TZN19" s="12"/>
      <c r="TZO19" s="13"/>
      <c r="TZU19" s="4"/>
      <c r="TZV19" s="12"/>
      <c r="TZW19" s="13"/>
      <c r="UAC19" s="4"/>
      <c r="UAD19" s="12"/>
      <c r="UAE19" s="13"/>
      <c r="UAK19" s="4"/>
      <c r="UAL19" s="12"/>
      <c r="UAM19" s="13"/>
      <c r="UAS19" s="4"/>
      <c r="UAT19" s="12"/>
      <c r="UAU19" s="13"/>
      <c r="UBA19" s="4"/>
      <c r="UBB19" s="12"/>
      <c r="UBC19" s="13"/>
      <c r="UBI19" s="4"/>
      <c r="UBJ19" s="12"/>
      <c r="UBK19" s="13"/>
      <c r="UBQ19" s="4"/>
      <c r="UBR19" s="12"/>
      <c r="UBS19" s="13"/>
      <c r="UBY19" s="4"/>
      <c r="UBZ19" s="12"/>
      <c r="UCA19" s="13"/>
      <c r="UCG19" s="4"/>
      <c r="UCH19" s="12"/>
      <c r="UCI19" s="13"/>
      <c r="UCO19" s="4"/>
      <c r="UCP19" s="12"/>
      <c r="UCQ19" s="13"/>
      <c r="UCW19" s="4"/>
      <c r="UCX19" s="12"/>
      <c r="UCY19" s="13"/>
      <c r="UDE19" s="4"/>
      <c r="UDF19" s="12"/>
      <c r="UDG19" s="13"/>
      <c r="UDM19" s="4"/>
      <c r="UDN19" s="12"/>
      <c r="UDO19" s="13"/>
      <c r="UDU19" s="4"/>
      <c r="UDV19" s="12"/>
      <c r="UDW19" s="13"/>
      <c r="UEC19" s="4"/>
      <c r="UED19" s="12"/>
      <c r="UEE19" s="13"/>
      <c r="UEK19" s="4"/>
      <c r="UEL19" s="12"/>
      <c r="UEM19" s="13"/>
      <c r="UES19" s="4"/>
      <c r="UET19" s="12"/>
      <c r="UEU19" s="13"/>
      <c r="UFA19" s="4"/>
      <c r="UFB19" s="12"/>
      <c r="UFC19" s="13"/>
      <c r="UFI19" s="4"/>
      <c r="UFJ19" s="12"/>
      <c r="UFK19" s="13"/>
      <c r="UFQ19" s="4"/>
      <c r="UFR19" s="12"/>
      <c r="UFS19" s="13"/>
      <c r="UFY19" s="4"/>
      <c r="UFZ19" s="12"/>
      <c r="UGA19" s="13"/>
      <c r="UGG19" s="4"/>
      <c r="UGH19" s="12"/>
      <c r="UGI19" s="13"/>
      <c r="UGO19" s="4"/>
      <c r="UGP19" s="12"/>
      <c r="UGQ19" s="13"/>
      <c r="UGW19" s="4"/>
      <c r="UGX19" s="12"/>
      <c r="UGY19" s="13"/>
      <c r="UHE19" s="4"/>
      <c r="UHF19" s="12"/>
      <c r="UHG19" s="13"/>
      <c r="UHM19" s="4"/>
      <c r="UHN19" s="12"/>
      <c r="UHO19" s="13"/>
      <c r="UHU19" s="4"/>
      <c r="UHV19" s="12"/>
      <c r="UHW19" s="13"/>
      <c r="UIC19" s="4"/>
      <c r="UID19" s="12"/>
      <c r="UIE19" s="13"/>
      <c r="UIK19" s="4"/>
      <c r="UIL19" s="12"/>
      <c r="UIM19" s="13"/>
      <c r="UIS19" s="4"/>
      <c r="UIT19" s="12"/>
      <c r="UIU19" s="13"/>
      <c r="UJA19" s="4"/>
      <c r="UJB19" s="12"/>
      <c r="UJC19" s="13"/>
      <c r="UJI19" s="4"/>
      <c r="UJJ19" s="12"/>
      <c r="UJK19" s="13"/>
      <c r="UJQ19" s="4"/>
      <c r="UJR19" s="12"/>
      <c r="UJS19" s="13"/>
      <c r="UJY19" s="4"/>
      <c r="UJZ19" s="12"/>
      <c r="UKA19" s="13"/>
      <c r="UKG19" s="4"/>
      <c r="UKH19" s="12"/>
      <c r="UKI19" s="13"/>
      <c r="UKO19" s="4"/>
      <c r="UKP19" s="12"/>
      <c r="UKQ19" s="13"/>
      <c r="UKW19" s="4"/>
      <c r="UKX19" s="12"/>
      <c r="UKY19" s="13"/>
      <c r="ULE19" s="4"/>
      <c r="ULF19" s="12"/>
      <c r="ULG19" s="13"/>
      <c r="ULM19" s="4"/>
      <c r="ULN19" s="12"/>
      <c r="ULO19" s="13"/>
      <c r="ULU19" s="4"/>
      <c r="ULV19" s="12"/>
      <c r="ULW19" s="13"/>
      <c r="UMC19" s="4"/>
      <c r="UMD19" s="12"/>
      <c r="UME19" s="13"/>
      <c r="UMK19" s="4"/>
      <c r="UML19" s="12"/>
      <c r="UMM19" s="13"/>
      <c r="UMS19" s="4"/>
      <c r="UMT19" s="12"/>
      <c r="UMU19" s="13"/>
      <c r="UNA19" s="4"/>
      <c r="UNB19" s="12"/>
      <c r="UNC19" s="13"/>
      <c r="UNI19" s="4"/>
      <c r="UNJ19" s="12"/>
      <c r="UNK19" s="13"/>
      <c r="UNQ19" s="4"/>
      <c r="UNR19" s="12"/>
      <c r="UNS19" s="13"/>
      <c r="UNY19" s="4"/>
      <c r="UNZ19" s="12"/>
      <c r="UOA19" s="13"/>
      <c r="UOG19" s="4"/>
      <c r="UOH19" s="12"/>
      <c r="UOI19" s="13"/>
      <c r="UOO19" s="4"/>
      <c r="UOP19" s="12"/>
      <c r="UOQ19" s="13"/>
      <c r="UOW19" s="4"/>
      <c r="UOX19" s="12"/>
      <c r="UOY19" s="13"/>
      <c r="UPE19" s="4"/>
      <c r="UPF19" s="12"/>
      <c r="UPG19" s="13"/>
      <c r="UPM19" s="4"/>
      <c r="UPN19" s="12"/>
      <c r="UPO19" s="13"/>
      <c r="UPU19" s="4"/>
      <c r="UPV19" s="12"/>
      <c r="UPW19" s="13"/>
      <c r="UQC19" s="4"/>
      <c r="UQD19" s="12"/>
      <c r="UQE19" s="13"/>
      <c r="UQK19" s="4"/>
      <c r="UQL19" s="12"/>
      <c r="UQM19" s="13"/>
      <c r="UQS19" s="4"/>
      <c r="UQT19" s="12"/>
      <c r="UQU19" s="13"/>
      <c r="URA19" s="4"/>
      <c r="URB19" s="12"/>
      <c r="URC19" s="13"/>
      <c r="URI19" s="4"/>
      <c r="URJ19" s="12"/>
      <c r="URK19" s="13"/>
      <c r="URQ19" s="4"/>
      <c r="URR19" s="12"/>
      <c r="URS19" s="13"/>
      <c r="URY19" s="4"/>
      <c r="URZ19" s="12"/>
      <c r="USA19" s="13"/>
      <c r="USG19" s="4"/>
      <c r="USH19" s="12"/>
      <c r="USI19" s="13"/>
      <c r="USO19" s="4"/>
      <c r="USP19" s="12"/>
      <c r="USQ19" s="13"/>
      <c r="USW19" s="4"/>
      <c r="USX19" s="12"/>
      <c r="USY19" s="13"/>
      <c r="UTE19" s="4"/>
      <c r="UTF19" s="12"/>
      <c r="UTG19" s="13"/>
      <c r="UTM19" s="4"/>
      <c r="UTN19" s="12"/>
      <c r="UTO19" s="13"/>
      <c r="UTU19" s="4"/>
      <c r="UTV19" s="12"/>
      <c r="UTW19" s="13"/>
      <c r="UUC19" s="4"/>
      <c r="UUD19" s="12"/>
      <c r="UUE19" s="13"/>
      <c r="UUK19" s="4"/>
      <c r="UUL19" s="12"/>
      <c r="UUM19" s="13"/>
      <c r="UUS19" s="4"/>
      <c r="UUT19" s="12"/>
      <c r="UUU19" s="13"/>
      <c r="UVA19" s="4"/>
      <c r="UVB19" s="12"/>
      <c r="UVC19" s="13"/>
      <c r="UVI19" s="4"/>
      <c r="UVJ19" s="12"/>
      <c r="UVK19" s="13"/>
      <c r="UVQ19" s="4"/>
      <c r="UVR19" s="12"/>
      <c r="UVS19" s="13"/>
      <c r="UVY19" s="4"/>
      <c r="UVZ19" s="12"/>
      <c r="UWA19" s="13"/>
      <c r="UWG19" s="4"/>
      <c r="UWH19" s="12"/>
      <c r="UWI19" s="13"/>
      <c r="UWO19" s="4"/>
      <c r="UWP19" s="12"/>
      <c r="UWQ19" s="13"/>
      <c r="UWW19" s="4"/>
      <c r="UWX19" s="12"/>
      <c r="UWY19" s="13"/>
      <c r="UXE19" s="4"/>
      <c r="UXF19" s="12"/>
      <c r="UXG19" s="13"/>
      <c r="UXM19" s="4"/>
      <c r="UXN19" s="12"/>
      <c r="UXO19" s="13"/>
      <c r="UXU19" s="4"/>
      <c r="UXV19" s="12"/>
      <c r="UXW19" s="13"/>
      <c r="UYC19" s="4"/>
      <c r="UYD19" s="12"/>
      <c r="UYE19" s="13"/>
      <c r="UYK19" s="4"/>
      <c r="UYL19" s="12"/>
      <c r="UYM19" s="13"/>
      <c r="UYS19" s="4"/>
      <c r="UYT19" s="12"/>
      <c r="UYU19" s="13"/>
      <c r="UZA19" s="4"/>
      <c r="UZB19" s="12"/>
      <c r="UZC19" s="13"/>
      <c r="UZI19" s="4"/>
      <c r="UZJ19" s="12"/>
      <c r="UZK19" s="13"/>
      <c r="UZQ19" s="4"/>
      <c r="UZR19" s="12"/>
      <c r="UZS19" s="13"/>
      <c r="UZY19" s="4"/>
      <c r="UZZ19" s="12"/>
      <c r="VAA19" s="13"/>
      <c r="VAG19" s="4"/>
      <c r="VAH19" s="12"/>
      <c r="VAI19" s="13"/>
      <c r="VAO19" s="4"/>
      <c r="VAP19" s="12"/>
      <c r="VAQ19" s="13"/>
      <c r="VAW19" s="4"/>
      <c r="VAX19" s="12"/>
      <c r="VAY19" s="13"/>
      <c r="VBE19" s="4"/>
      <c r="VBF19" s="12"/>
      <c r="VBG19" s="13"/>
      <c r="VBM19" s="4"/>
      <c r="VBN19" s="12"/>
      <c r="VBO19" s="13"/>
      <c r="VBU19" s="4"/>
      <c r="VBV19" s="12"/>
      <c r="VBW19" s="13"/>
      <c r="VCC19" s="4"/>
      <c r="VCD19" s="12"/>
      <c r="VCE19" s="13"/>
      <c r="VCK19" s="4"/>
      <c r="VCL19" s="12"/>
      <c r="VCM19" s="13"/>
      <c r="VCS19" s="4"/>
      <c r="VCT19" s="12"/>
      <c r="VCU19" s="13"/>
      <c r="VDA19" s="4"/>
      <c r="VDB19" s="12"/>
      <c r="VDC19" s="13"/>
      <c r="VDI19" s="4"/>
      <c r="VDJ19" s="12"/>
      <c r="VDK19" s="13"/>
      <c r="VDQ19" s="4"/>
      <c r="VDR19" s="12"/>
      <c r="VDS19" s="13"/>
      <c r="VDY19" s="4"/>
      <c r="VDZ19" s="12"/>
      <c r="VEA19" s="13"/>
      <c r="VEG19" s="4"/>
      <c r="VEH19" s="12"/>
      <c r="VEI19" s="13"/>
      <c r="VEO19" s="4"/>
      <c r="VEP19" s="12"/>
      <c r="VEQ19" s="13"/>
      <c r="VEW19" s="4"/>
      <c r="VEX19" s="12"/>
      <c r="VEY19" s="13"/>
      <c r="VFE19" s="4"/>
      <c r="VFF19" s="12"/>
      <c r="VFG19" s="13"/>
      <c r="VFM19" s="4"/>
      <c r="VFN19" s="12"/>
      <c r="VFO19" s="13"/>
      <c r="VFU19" s="4"/>
      <c r="VFV19" s="12"/>
      <c r="VFW19" s="13"/>
      <c r="VGC19" s="4"/>
      <c r="VGD19" s="12"/>
      <c r="VGE19" s="13"/>
      <c r="VGK19" s="4"/>
      <c r="VGL19" s="12"/>
      <c r="VGM19" s="13"/>
      <c r="VGS19" s="4"/>
      <c r="VGT19" s="12"/>
      <c r="VGU19" s="13"/>
      <c r="VHA19" s="4"/>
      <c r="VHB19" s="12"/>
      <c r="VHC19" s="13"/>
      <c r="VHI19" s="4"/>
      <c r="VHJ19" s="12"/>
      <c r="VHK19" s="13"/>
      <c r="VHQ19" s="4"/>
      <c r="VHR19" s="12"/>
      <c r="VHS19" s="13"/>
      <c r="VHY19" s="4"/>
      <c r="VHZ19" s="12"/>
      <c r="VIA19" s="13"/>
      <c r="VIG19" s="4"/>
      <c r="VIH19" s="12"/>
      <c r="VII19" s="13"/>
      <c r="VIO19" s="4"/>
      <c r="VIP19" s="12"/>
      <c r="VIQ19" s="13"/>
      <c r="VIW19" s="4"/>
      <c r="VIX19" s="12"/>
      <c r="VIY19" s="13"/>
      <c r="VJE19" s="4"/>
      <c r="VJF19" s="12"/>
      <c r="VJG19" s="13"/>
      <c r="VJM19" s="4"/>
      <c r="VJN19" s="12"/>
      <c r="VJO19" s="13"/>
      <c r="VJU19" s="4"/>
      <c r="VJV19" s="12"/>
      <c r="VJW19" s="13"/>
      <c r="VKC19" s="4"/>
      <c r="VKD19" s="12"/>
      <c r="VKE19" s="13"/>
      <c r="VKK19" s="4"/>
      <c r="VKL19" s="12"/>
      <c r="VKM19" s="13"/>
      <c r="VKS19" s="4"/>
      <c r="VKT19" s="12"/>
      <c r="VKU19" s="13"/>
      <c r="VLA19" s="4"/>
      <c r="VLB19" s="12"/>
      <c r="VLC19" s="13"/>
      <c r="VLI19" s="4"/>
      <c r="VLJ19" s="12"/>
      <c r="VLK19" s="13"/>
      <c r="VLQ19" s="4"/>
      <c r="VLR19" s="12"/>
      <c r="VLS19" s="13"/>
      <c r="VLY19" s="4"/>
      <c r="VLZ19" s="12"/>
      <c r="VMA19" s="13"/>
      <c r="VMG19" s="4"/>
      <c r="VMH19" s="12"/>
      <c r="VMI19" s="13"/>
      <c r="VMO19" s="4"/>
      <c r="VMP19" s="12"/>
      <c r="VMQ19" s="13"/>
      <c r="VMW19" s="4"/>
      <c r="VMX19" s="12"/>
      <c r="VMY19" s="13"/>
      <c r="VNE19" s="4"/>
      <c r="VNF19" s="12"/>
      <c r="VNG19" s="13"/>
      <c r="VNM19" s="4"/>
      <c r="VNN19" s="12"/>
      <c r="VNO19" s="13"/>
      <c r="VNU19" s="4"/>
      <c r="VNV19" s="12"/>
      <c r="VNW19" s="13"/>
      <c r="VOC19" s="4"/>
      <c r="VOD19" s="12"/>
      <c r="VOE19" s="13"/>
      <c r="VOK19" s="4"/>
      <c r="VOL19" s="12"/>
      <c r="VOM19" s="13"/>
      <c r="VOS19" s="4"/>
      <c r="VOT19" s="12"/>
      <c r="VOU19" s="13"/>
      <c r="VPA19" s="4"/>
      <c r="VPB19" s="12"/>
      <c r="VPC19" s="13"/>
      <c r="VPI19" s="4"/>
      <c r="VPJ19" s="12"/>
      <c r="VPK19" s="13"/>
      <c r="VPQ19" s="4"/>
      <c r="VPR19" s="12"/>
      <c r="VPS19" s="13"/>
      <c r="VPY19" s="4"/>
      <c r="VPZ19" s="12"/>
      <c r="VQA19" s="13"/>
      <c r="VQG19" s="4"/>
      <c r="VQH19" s="12"/>
      <c r="VQI19" s="13"/>
      <c r="VQO19" s="4"/>
      <c r="VQP19" s="12"/>
      <c r="VQQ19" s="13"/>
      <c r="VQW19" s="4"/>
      <c r="VQX19" s="12"/>
      <c r="VQY19" s="13"/>
      <c r="VRE19" s="4"/>
      <c r="VRF19" s="12"/>
      <c r="VRG19" s="13"/>
      <c r="VRM19" s="4"/>
      <c r="VRN19" s="12"/>
      <c r="VRO19" s="13"/>
      <c r="VRU19" s="4"/>
      <c r="VRV19" s="12"/>
      <c r="VRW19" s="13"/>
      <c r="VSC19" s="4"/>
      <c r="VSD19" s="12"/>
      <c r="VSE19" s="13"/>
      <c r="VSK19" s="4"/>
      <c r="VSL19" s="12"/>
      <c r="VSM19" s="13"/>
      <c r="VSS19" s="4"/>
      <c r="VST19" s="12"/>
      <c r="VSU19" s="13"/>
      <c r="VTA19" s="4"/>
      <c r="VTB19" s="12"/>
      <c r="VTC19" s="13"/>
      <c r="VTI19" s="4"/>
      <c r="VTJ19" s="12"/>
      <c r="VTK19" s="13"/>
      <c r="VTQ19" s="4"/>
      <c r="VTR19" s="12"/>
      <c r="VTS19" s="13"/>
      <c r="VTY19" s="4"/>
      <c r="VTZ19" s="12"/>
      <c r="VUA19" s="13"/>
      <c r="VUG19" s="4"/>
      <c r="VUH19" s="12"/>
      <c r="VUI19" s="13"/>
      <c r="VUO19" s="4"/>
      <c r="VUP19" s="12"/>
      <c r="VUQ19" s="13"/>
      <c r="VUW19" s="4"/>
      <c r="VUX19" s="12"/>
      <c r="VUY19" s="13"/>
      <c r="VVE19" s="4"/>
      <c r="VVF19" s="12"/>
      <c r="VVG19" s="13"/>
      <c r="VVM19" s="4"/>
      <c r="VVN19" s="12"/>
      <c r="VVO19" s="13"/>
      <c r="VVU19" s="4"/>
      <c r="VVV19" s="12"/>
      <c r="VVW19" s="13"/>
      <c r="VWC19" s="4"/>
      <c r="VWD19" s="12"/>
      <c r="VWE19" s="13"/>
      <c r="VWK19" s="4"/>
      <c r="VWL19" s="12"/>
      <c r="VWM19" s="13"/>
      <c r="VWS19" s="4"/>
      <c r="VWT19" s="12"/>
      <c r="VWU19" s="13"/>
      <c r="VXA19" s="4"/>
      <c r="VXB19" s="12"/>
      <c r="VXC19" s="13"/>
      <c r="VXI19" s="4"/>
      <c r="VXJ19" s="12"/>
      <c r="VXK19" s="13"/>
      <c r="VXQ19" s="4"/>
      <c r="VXR19" s="12"/>
      <c r="VXS19" s="13"/>
      <c r="VXY19" s="4"/>
      <c r="VXZ19" s="12"/>
      <c r="VYA19" s="13"/>
      <c r="VYG19" s="4"/>
      <c r="VYH19" s="12"/>
      <c r="VYI19" s="13"/>
      <c r="VYO19" s="4"/>
      <c r="VYP19" s="12"/>
      <c r="VYQ19" s="13"/>
      <c r="VYW19" s="4"/>
      <c r="VYX19" s="12"/>
      <c r="VYY19" s="13"/>
      <c r="VZE19" s="4"/>
      <c r="VZF19" s="12"/>
      <c r="VZG19" s="13"/>
      <c r="VZM19" s="4"/>
      <c r="VZN19" s="12"/>
      <c r="VZO19" s="13"/>
      <c r="VZU19" s="4"/>
      <c r="VZV19" s="12"/>
      <c r="VZW19" s="13"/>
      <c r="WAC19" s="4"/>
      <c r="WAD19" s="12"/>
      <c r="WAE19" s="13"/>
      <c r="WAK19" s="4"/>
      <c r="WAL19" s="12"/>
      <c r="WAM19" s="13"/>
      <c r="WAS19" s="4"/>
      <c r="WAT19" s="12"/>
      <c r="WAU19" s="13"/>
      <c r="WBA19" s="4"/>
      <c r="WBB19" s="12"/>
      <c r="WBC19" s="13"/>
      <c r="WBI19" s="4"/>
      <c r="WBJ19" s="12"/>
      <c r="WBK19" s="13"/>
      <c r="WBQ19" s="4"/>
      <c r="WBR19" s="12"/>
      <c r="WBS19" s="13"/>
      <c r="WBY19" s="4"/>
      <c r="WBZ19" s="12"/>
      <c r="WCA19" s="13"/>
      <c r="WCG19" s="4"/>
      <c r="WCH19" s="12"/>
      <c r="WCI19" s="13"/>
      <c r="WCO19" s="4"/>
      <c r="WCP19" s="12"/>
      <c r="WCQ19" s="13"/>
      <c r="WCW19" s="4"/>
      <c r="WCX19" s="12"/>
      <c r="WCY19" s="13"/>
      <c r="WDE19" s="4"/>
      <c r="WDF19" s="12"/>
      <c r="WDG19" s="13"/>
      <c r="WDM19" s="4"/>
      <c r="WDN19" s="12"/>
      <c r="WDO19" s="13"/>
      <c r="WDU19" s="4"/>
      <c r="WDV19" s="12"/>
      <c r="WDW19" s="13"/>
      <c r="WEC19" s="4"/>
      <c r="WED19" s="12"/>
      <c r="WEE19" s="13"/>
      <c r="WEK19" s="4"/>
      <c r="WEL19" s="12"/>
      <c r="WEM19" s="13"/>
      <c r="WES19" s="4"/>
      <c r="WET19" s="12"/>
      <c r="WEU19" s="13"/>
      <c r="WFA19" s="4"/>
      <c r="WFB19" s="12"/>
      <c r="WFC19" s="13"/>
      <c r="WFI19" s="4"/>
      <c r="WFJ19" s="12"/>
      <c r="WFK19" s="13"/>
      <c r="WFQ19" s="4"/>
      <c r="WFR19" s="12"/>
      <c r="WFS19" s="13"/>
      <c r="WFY19" s="4"/>
      <c r="WFZ19" s="12"/>
      <c r="WGA19" s="13"/>
      <c r="WGG19" s="4"/>
      <c r="WGH19" s="12"/>
      <c r="WGI19" s="13"/>
      <c r="WGO19" s="4"/>
      <c r="WGP19" s="12"/>
      <c r="WGQ19" s="13"/>
      <c r="WGW19" s="4"/>
      <c r="WGX19" s="12"/>
      <c r="WGY19" s="13"/>
      <c r="WHE19" s="4"/>
      <c r="WHF19" s="12"/>
      <c r="WHG19" s="13"/>
      <c r="WHM19" s="4"/>
      <c r="WHN19" s="12"/>
      <c r="WHO19" s="13"/>
      <c r="WHU19" s="4"/>
      <c r="WHV19" s="12"/>
      <c r="WHW19" s="13"/>
      <c r="WIC19" s="4"/>
      <c r="WID19" s="12"/>
      <c r="WIE19" s="13"/>
      <c r="WIK19" s="4"/>
      <c r="WIL19" s="12"/>
      <c r="WIM19" s="13"/>
      <c r="WIS19" s="4"/>
      <c r="WIT19" s="12"/>
      <c r="WIU19" s="13"/>
      <c r="WJA19" s="4"/>
      <c r="WJB19" s="12"/>
      <c r="WJC19" s="13"/>
      <c r="WJI19" s="4"/>
      <c r="WJJ19" s="12"/>
      <c r="WJK19" s="13"/>
      <c r="WJQ19" s="4"/>
      <c r="WJR19" s="12"/>
      <c r="WJS19" s="13"/>
      <c r="WJY19" s="4"/>
      <c r="WJZ19" s="12"/>
      <c r="WKA19" s="13"/>
      <c r="WKG19" s="4"/>
      <c r="WKH19" s="12"/>
      <c r="WKI19" s="13"/>
      <c r="WKO19" s="4"/>
      <c r="WKP19" s="12"/>
      <c r="WKQ19" s="13"/>
      <c r="WKW19" s="4"/>
      <c r="WKX19" s="12"/>
      <c r="WKY19" s="13"/>
      <c r="WLE19" s="4"/>
      <c r="WLF19" s="12"/>
      <c r="WLG19" s="13"/>
      <c r="WLM19" s="4"/>
      <c r="WLN19" s="12"/>
      <c r="WLO19" s="13"/>
      <c r="WLU19" s="4"/>
      <c r="WLV19" s="12"/>
      <c r="WLW19" s="13"/>
      <c r="WMC19" s="4"/>
      <c r="WMD19" s="12"/>
      <c r="WME19" s="13"/>
      <c r="WMK19" s="4"/>
      <c r="WML19" s="12"/>
      <c r="WMM19" s="13"/>
      <c r="WMS19" s="4"/>
      <c r="WMT19" s="12"/>
      <c r="WMU19" s="13"/>
      <c r="WNA19" s="4"/>
      <c r="WNB19" s="12"/>
      <c r="WNC19" s="13"/>
      <c r="WNI19" s="4"/>
      <c r="WNJ19" s="12"/>
      <c r="WNK19" s="13"/>
      <c r="WNQ19" s="4"/>
      <c r="WNR19" s="12"/>
      <c r="WNS19" s="13"/>
      <c r="WNY19" s="4"/>
      <c r="WNZ19" s="12"/>
      <c r="WOA19" s="13"/>
      <c r="WOG19" s="4"/>
      <c r="WOH19" s="12"/>
      <c r="WOI19" s="13"/>
      <c r="WOO19" s="4"/>
      <c r="WOP19" s="12"/>
      <c r="WOQ19" s="13"/>
      <c r="WOW19" s="4"/>
      <c r="WOX19" s="12"/>
      <c r="WOY19" s="13"/>
      <c r="WPE19" s="4"/>
      <c r="WPF19" s="12"/>
      <c r="WPG19" s="13"/>
      <c r="WPM19" s="4"/>
      <c r="WPN19" s="12"/>
      <c r="WPO19" s="13"/>
      <c r="WPU19" s="4"/>
      <c r="WPV19" s="12"/>
      <c r="WPW19" s="13"/>
      <c r="WQC19" s="4"/>
      <c r="WQD19" s="12"/>
      <c r="WQE19" s="13"/>
      <c r="WQK19" s="4"/>
      <c r="WQL19" s="12"/>
      <c r="WQM19" s="13"/>
      <c r="WQS19" s="4"/>
      <c r="WQT19" s="12"/>
      <c r="WQU19" s="13"/>
      <c r="WRA19" s="4"/>
      <c r="WRB19" s="12"/>
      <c r="WRC19" s="13"/>
      <c r="WRI19" s="4"/>
      <c r="WRJ19" s="12"/>
      <c r="WRK19" s="13"/>
      <c r="WRQ19" s="4"/>
      <c r="WRR19" s="12"/>
      <c r="WRS19" s="13"/>
      <c r="WRY19" s="4"/>
      <c r="WRZ19" s="12"/>
      <c r="WSA19" s="13"/>
      <c r="WSG19" s="4"/>
      <c r="WSH19" s="12"/>
      <c r="WSI19" s="13"/>
      <c r="WSO19" s="4"/>
      <c r="WSP19" s="12"/>
      <c r="WSQ19" s="13"/>
      <c r="WSW19" s="4"/>
      <c r="WSX19" s="12"/>
      <c r="WSY19" s="13"/>
      <c r="WTE19" s="4"/>
      <c r="WTF19" s="12"/>
      <c r="WTG19" s="13"/>
      <c r="WTM19" s="4"/>
      <c r="WTN19" s="12"/>
      <c r="WTO19" s="13"/>
      <c r="WTU19" s="4"/>
      <c r="WTV19" s="12"/>
      <c r="WTW19" s="13"/>
      <c r="WUC19" s="4"/>
      <c r="WUD19" s="12"/>
      <c r="WUE19" s="13"/>
      <c r="WUK19" s="4"/>
      <c r="WUL19" s="12"/>
      <c r="WUM19" s="13"/>
      <c r="WUS19" s="4"/>
      <c r="WUT19" s="12"/>
      <c r="WUU19" s="13"/>
      <c r="WVA19" s="4"/>
      <c r="WVB19" s="12"/>
      <c r="WVC19" s="13"/>
      <c r="WVI19" s="4"/>
      <c r="WVJ19" s="12"/>
      <c r="WVK19" s="13"/>
      <c r="WVQ19" s="4"/>
      <c r="WVR19" s="12"/>
      <c r="WVS19" s="13"/>
      <c r="WVY19" s="4"/>
      <c r="WVZ19" s="12"/>
      <c r="WWA19" s="13"/>
      <c r="WWG19" s="4"/>
      <c r="WWH19" s="12"/>
      <c r="WWI19" s="13"/>
      <c r="WWO19" s="4"/>
      <c r="WWP19" s="12"/>
      <c r="WWQ19" s="13"/>
      <c r="WWW19" s="4"/>
      <c r="WWX19" s="12"/>
      <c r="WWY19" s="13"/>
      <c r="WXE19" s="4"/>
      <c r="WXF19" s="12"/>
      <c r="WXG19" s="13"/>
      <c r="WXM19" s="4"/>
      <c r="WXN19" s="12"/>
      <c r="WXO19" s="13"/>
      <c r="WXU19" s="4"/>
      <c r="WXV19" s="12"/>
      <c r="WXW19" s="13"/>
      <c r="WYC19" s="4"/>
      <c r="WYD19" s="12"/>
      <c r="WYE19" s="13"/>
      <c r="WYK19" s="4"/>
      <c r="WYL19" s="12"/>
      <c r="WYM19" s="13"/>
      <c r="WYS19" s="4"/>
      <c r="WYT19" s="12"/>
      <c r="WYU19" s="13"/>
      <c r="WZA19" s="4"/>
      <c r="WZB19" s="12"/>
      <c r="WZC19" s="13"/>
      <c r="WZI19" s="4"/>
      <c r="WZJ19" s="12"/>
      <c r="WZK19" s="13"/>
      <c r="WZQ19" s="4"/>
      <c r="WZR19" s="12"/>
      <c r="WZS19" s="13"/>
      <c r="WZY19" s="4"/>
      <c r="WZZ19" s="12"/>
      <c r="XAA19" s="13"/>
      <c r="XAG19" s="4"/>
      <c r="XAH19" s="12"/>
      <c r="XAI19" s="13"/>
      <c r="XAO19" s="4"/>
      <c r="XAP19" s="12"/>
      <c r="XAQ19" s="13"/>
      <c r="XAW19" s="4"/>
      <c r="XAX19" s="12"/>
      <c r="XAY19" s="13"/>
      <c r="XBE19" s="4"/>
      <c r="XBF19" s="12"/>
      <c r="XBG19" s="13"/>
      <c r="XBM19" s="4"/>
      <c r="XBN19" s="12"/>
      <c r="XBO19" s="13"/>
      <c r="XBU19" s="4"/>
      <c r="XBV19" s="12"/>
      <c r="XBW19" s="13"/>
      <c r="XCC19" s="4"/>
      <c r="XCD19" s="12"/>
      <c r="XCE19" s="13"/>
      <c r="XCK19" s="4"/>
      <c r="XCL19" s="12"/>
      <c r="XCM19" s="13"/>
      <c r="XCS19" s="4"/>
      <c r="XCT19" s="12"/>
      <c r="XCU19" s="13"/>
      <c r="XDA19" s="4"/>
      <c r="XDB19" s="12"/>
      <c r="XDC19" s="13"/>
      <c r="XDI19" s="4"/>
      <c r="XDJ19" s="12"/>
      <c r="XDK19" s="13"/>
      <c r="XDQ19" s="4"/>
      <c r="XDR19" s="12"/>
      <c r="XDS19" s="13"/>
      <c r="XDY19" s="4"/>
      <c r="XDZ19" s="12"/>
      <c r="XEA19" s="13"/>
      <c r="XEG19" s="4"/>
      <c r="XEH19" s="12"/>
      <c r="XEI19" s="13"/>
      <c r="XEO19" s="4"/>
      <c r="XEP19" s="12"/>
      <c r="XEQ19" s="13"/>
      <c r="XEW19" s="4"/>
      <c r="XEX19" s="12"/>
      <c r="XEY19" s="13"/>
    </row>
    <row r="20" spans="1:1019 1025:2043 2049:3067 3073:4091 4097:5115 5121:6139 6145:7163 7169:8187 8193:9211 9217:10235 10241:11259 11265:12283 12289:13307 13313:14331 14337:15355 15361:16379">
      <c r="A20" s="4" t="s">
        <v>1</v>
      </c>
      <c r="B20" s="12" t="s">
        <v>138</v>
      </c>
      <c r="C20" s="13"/>
      <c r="D20" s="9"/>
      <c r="E20" s="9"/>
      <c r="F20" s="9"/>
      <c r="G20" s="9"/>
      <c r="H20" s="9"/>
      <c r="I20" s="7"/>
      <c r="K20" s="8"/>
    </row>
    <row r="21" spans="1:1019 1025:2043 2049:3067 3073:4091 4097:5115 5121:6139 6145:7163 7169:8187 8193:9211 9217:10235 10241:11259 11265:12283 12289:13307 13313:14331 14337:15355 15361:16379">
      <c r="A21" s="6" t="s">
        <v>3</v>
      </c>
      <c r="B21" s="14">
        <v>1</v>
      </c>
      <c r="C21" s="9"/>
      <c r="D21" s="9"/>
      <c r="E21" s="9"/>
      <c r="F21" s="9"/>
      <c r="G21" s="9"/>
      <c r="H21" s="9"/>
      <c r="I21" s="6"/>
      <c r="K21" s="8"/>
    </row>
    <row r="22" spans="1:1019 1025:2043 2049:3067 3073:4091 4097:5115 5121:6139 6145:7163 7169:8187 8193:9211 9217:10235 10241:11259 11265:12283 12289:13307 13313:14331 14337:15355 15361:16379">
      <c r="A22" s="6" t="s">
        <v>11</v>
      </c>
      <c r="B22" t="s">
        <v>137</v>
      </c>
      <c r="C22" s="9"/>
      <c r="D22" s="9"/>
      <c r="E22" s="9"/>
      <c r="F22" s="9"/>
      <c r="G22" s="9"/>
      <c r="H22" s="9"/>
      <c r="I22" s="6"/>
      <c r="K22" s="8"/>
    </row>
    <row r="23" spans="1:1019 1025:2043 2049:3067 3073:4091 4097:5115 5121:6139 6145:7163 7169:8187 8193:9211 9217:10235 10241:11259 11265:12283 12289:13307 13313:14331 14337:15355 15361:16379">
      <c r="A23" s="6" t="s">
        <v>4</v>
      </c>
      <c r="B23" s="2" t="s">
        <v>28</v>
      </c>
      <c r="C23" s="9"/>
      <c r="D23" s="10"/>
      <c r="E23" s="9"/>
      <c r="F23" s="9"/>
      <c r="G23" s="9"/>
      <c r="H23" s="9"/>
      <c r="I23" s="6"/>
      <c r="K23" s="8"/>
    </row>
    <row r="24" spans="1:1019 1025:2043 2049:3067 3073:4091 4097:5115 5121:6139 6145:7163 7169:8187 8193:9211 9217:10235 10241:11259 11265:12283 12289:13307 13313:14331 14337:15355 15361:16379">
      <c r="A24" s="6" t="s">
        <v>2</v>
      </c>
      <c r="B24" s="15" t="s">
        <v>27</v>
      </c>
      <c r="C24" s="9"/>
      <c r="D24" s="9"/>
      <c r="E24" s="9"/>
      <c r="F24" s="9"/>
      <c r="G24" s="9"/>
      <c r="H24" s="9"/>
      <c r="I24" s="6"/>
      <c r="K24" s="8"/>
    </row>
    <row r="25" spans="1:1019 1025:2043 2049:3067 3073:4091 4097:5115 5121:6139 6145:7163 7169:8187 8193:9211 9217:10235 10241:11259 11265:12283 12289:13307 13313:14331 14337:15355 15361:16379">
      <c r="A25" s="6" t="s">
        <v>6</v>
      </c>
      <c r="B25" s="10" t="s">
        <v>19</v>
      </c>
      <c r="C25" s="9"/>
      <c r="D25" s="9"/>
      <c r="E25" s="9"/>
      <c r="F25" s="9"/>
      <c r="G25" s="9"/>
      <c r="H25" s="16"/>
      <c r="I25" s="6"/>
      <c r="K25" s="8"/>
    </row>
    <row r="26" spans="1:1019 1025:2043 2049:3067 3073:4091 4097:5115 5121:6139 6145:7163 7169:8187 8193:9211 9217:10235 10241:11259 11265:12283 12289:13307 13313:14331 14337:15355 15361:16379">
      <c r="A26" s="16" t="s">
        <v>7</v>
      </c>
      <c r="B26" s="12"/>
      <c r="C26" s="16"/>
      <c r="D26" s="16"/>
      <c r="E26" s="16"/>
      <c r="F26" s="16"/>
      <c r="G26" s="16"/>
      <c r="H26" s="13"/>
      <c r="I26" s="6"/>
      <c r="K26" s="8"/>
    </row>
    <row r="27" spans="1:1019 1025:2043 2049:3067 3073:4091 4097:5115 5121:6139 6145:7163 7169:8187 8193:9211 9217:10235 10241:11259 11265:12283 12289:13307 13313:14331 14337:15355 15361:16379">
      <c r="A27" t="s">
        <v>8</v>
      </c>
      <c r="B27" s="19" t="s">
        <v>9</v>
      </c>
      <c r="C27" t="s">
        <v>2</v>
      </c>
      <c r="D27" t="s">
        <v>6</v>
      </c>
      <c r="E27" t="s">
        <v>5</v>
      </c>
      <c r="F27" t="s">
        <v>4</v>
      </c>
      <c r="G27" t="s">
        <v>10</v>
      </c>
      <c r="H27" s="20" t="s">
        <v>11</v>
      </c>
      <c r="I27" s="6"/>
      <c r="K27" s="8"/>
    </row>
    <row r="28" spans="1:1019 1025:2043 2049:3067 3073:4091 4097:5115 5121:6139 6145:7163 7169:8187 8193:9211 9217:10235 10241:11259 11265:12283 12289:13307 13313:14331 14337:15355 15361:16379">
      <c r="A28" s="12" t="s">
        <v>138</v>
      </c>
      <c r="B28" s="19">
        <v>1</v>
      </c>
      <c r="C28" t="str">
        <f>B24</f>
        <v>FR</v>
      </c>
      <c r="D28" t="s">
        <v>19</v>
      </c>
      <c r="E28" s="48" t="s">
        <v>18</v>
      </c>
      <c r="F28" t="s">
        <v>28</v>
      </c>
      <c r="G28" s="13"/>
      <c r="H28" s="18"/>
      <c r="I28" s="6"/>
      <c r="K28" s="8"/>
    </row>
    <row r="29" spans="1:1019 1025:2043 2049:3067 3073:4091 4097:5115 5121:6139 6145:7163 7169:8187 8193:9211 9217:10235 10241:11259 11265:12283 12289:13307 13313:14331 14337:15355 15361:16379">
      <c r="A29" t="s">
        <v>82</v>
      </c>
      <c r="B29" s="19">
        <v>1</v>
      </c>
      <c r="C29" s="34" t="s">
        <v>27</v>
      </c>
      <c r="D29" t="s">
        <v>19</v>
      </c>
      <c r="E29" t="s">
        <v>12</v>
      </c>
      <c r="F29" t="s">
        <v>28</v>
      </c>
    </row>
    <row r="30" spans="1:1019 1025:2043 2049:3067 3073:4091 4097:5115 5121:6139 6145:7163 7169:8187 8193:9211 9217:10235 10241:11259 11265:12283 12289:13307 13313:14331 14337:15355 15361:16379" s="9" customFormat="1">
      <c r="A30" s="6"/>
      <c r="B30" s="19"/>
      <c r="C30"/>
      <c r="D30"/>
      <c r="E30"/>
      <c r="F30"/>
      <c r="G30" s="13"/>
      <c r="H30" s="1"/>
      <c r="I30" s="4"/>
      <c r="J30" s="12"/>
      <c r="K30" s="13"/>
      <c r="Q30" s="4"/>
      <c r="R30" s="12"/>
      <c r="S30" s="13"/>
      <c r="Y30" s="4"/>
      <c r="Z30" s="12"/>
      <c r="AA30" s="13"/>
      <c r="AG30" s="4"/>
      <c r="AH30" s="12"/>
      <c r="AI30" s="13"/>
      <c r="AO30" s="4"/>
      <c r="AP30" s="12"/>
      <c r="AQ30" s="13"/>
      <c r="AW30" s="4"/>
      <c r="AX30" s="12"/>
      <c r="AY30" s="13"/>
      <c r="BE30" s="4"/>
      <c r="BF30" s="12"/>
      <c r="BG30" s="13"/>
      <c r="BM30" s="4"/>
      <c r="BN30" s="12"/>
      <c r="BO30" s="13"/>
      <c r="BU30" s="4"/>
      <c r="BV30" s="12"/>
      <c r="BW30" s="13"/>
      <c r="CC30" s="4"/>
      <c r="CD30" s="12"/>
      <c r="CE30" s="13"/>
      <c r="CK30" s="4"/>
      <c r="CL30" s="12"/>
      <c r="CM30" s="13"/>
      <c r="CS30" s="4"/>
      <c r="CT30" s="12"/>
      <c r="CU30" s="13"/>
      <c r="DA30" s="4"/>
      <c r="DB30" s="12"/>
      <c r="DC30" s="13"/>
      <c r="DI30" s="4"/>
      <c r="DJ30" s="12"/>
      <c r="DK30" s="13"/>
      <c r="DQ30" s="4"/>
      <c r="DR30" s="12"/>
      <c r="DS30" s="13"/>
      <c r="DY30" s="4"/>
      <c r="DZ30" s="12"/>
      <c r="EA30" s="13"/>
      <c r="EG30" s="4"/>
      <c r="EH30" s="12"/>
      <c r="EI30" s="13"/>
      <c r="EO30" s="4"/>
      <c r="EP30" s="12"/>
      <c r="EQ30" s="13"/>
      <c r="EW30" s="4"/>
      <c r="EX30" s="12"/>
      <c r="EY30" s="13"/>
      <c r="FE30" s="4"/>
      <c r="FF30" s="12"/>
      <c r="FG30" s="13"/>
      <c r="FM30" s="4"/>
      <c r="FN30" s="12"/>
      <c r="FO30" s="13"/>
      <c r="FU30" s="4"/>
      <c r="FV30" s="12"/>
      <c r="FW30" s="13"/>
      <c r="GC30" s="4"/>
      <c r="GD30" s="12"/>
      <c r="GE30" s="13"/>
      <c r="GK30" s="4"/>
      <c r="GL30" s="12"/>
      <c r="GM30" s="13"/>
      <c r="GS30" s="4"/>
      <c r="GT30" s="12"/>
      <c r="GU30" s="13"/>
      <c r="HA30" s="4"/>
      <c r="HB30" s="12"/>
      <c r="HC30" s="13"/>
      <c r="HI30" s="4"/>
      <c r="HJ30" s="12"/>
      <c r="HK30" s="13"/>
      <c r="HQ30" s="4"/>
      <c r="HR30" s="12"/>
      <c r="HS30" s="13"/>
      <c r="HY30" s="4"/>
      <c r="HZ30" s="12"/>
      <c r="IA30" s="13"/>
      <c r="IG30" s="4"/>
      <c r="IH30" s="12"/>
      <c r="II30" s="13"/>
      <c r="IO30" s="4"/>
      <c r="IP30" s="12"/>
      <c r="IQ30" s="13"/>
      <c r="IW30" s="4"/>
      <c r="IX30" s="12"/>
      <c r="IY30" s="13"/>
      <c r="JE30" s="4"/>
      <c r="JF30" s="12"/>
      <c r="JG30" s="13"/>
      <c r="JM30" s="4"/>
      <c r="JN30" s="12"/>
      <c r="JO30" s="13"/>
      <c r="JU30" s="4"/>
      <c r="JV30" s="12"/>
      <c r="JW30" s="13"/>
      <c r="KC30" s="4"/>
      <c r="KD30" s="12"/>
      <c r="KE30" s="13"/>
      <c r="KK30" s="4"/>
      <c r="KL30" s="12"/>
      <c r="KM30" s="13"/>
      <c r="KS30" s="4"/>
      <c r="KT30" s="12"/>
      <c r="KU30" s="13"/>
      <c r="LA30" s="4"/>
      <c r="LB30" s="12"/>
      <c r="LC30" s="13"/>
      <c r="LI30" s="4"/>
      <c r="LJ30" s="12"/>
      <c r="LK30" s="13"/>
      <c r="LQ30" s="4"/>
      <c r="LR30" s="12"/>
      <c r="LS30" s="13"/>
      <c r="LY30" s="4"/>
      <c r="LZ30" s="12"/>
      <c r="MA30" s="13"/>
      <c r="MG30" s="4"/>
      <c r="MH30" s="12"/>
      <c r="MI30" s="13"/>
      <c r="MO30" s="4"/>
      <c r="MP30" s="12"/>
      <c r="MQ30" s="13"/>
      <c r="MW30" s="4"/>
      <c r="MX30" s="12"/>
      <c r="MY30" s="13"/>
      <c r="NE30" s="4"/>
      <c r="NF30" s="12"/>
      <c r="NG30" s="13"/>
      <c r="NM30" s="4"/>
      <c r="NN30" s="12"/>
      <c r="NO30" s="13"/>
      <c r="NU30" s="4"/>
      <c r="NV30" s="12"/>
      <c r="NW30" s="13"/>
      <c r="OC30" s="4"/>
      <c r="OD30" s="12"/>
      <c r="OE30" s="13"/>
      <c r="OK30" s="4"/>
      <c r="OL30" s="12"/>
      <c r="OM30" s="13"/>
      <c r="OS30" s="4"/>
      <c r="OT30" s="12"/>
      <c r="OU30" s="13"/>
      <c r="PA30" s="4"/>
      <c r="PB30" s="12"/>
      <c r="PC30" s="13"/>
      <c r="PI30" s="4"/>
      <c r="PJ30" s="12"/>
      <c r="PK30" s="13"/>
      <c r="PQ30" s="4"/>
      <c r="PR30" s="12"/>
      <c r="PS30" s="13"/>
      <c r="PY30" s="4"/>
      <c r="PZ30" s="12"/>
      <c r="QA30" s="13"/>
      <c r="QG30" s="4"/>
      <c r="QH30" s="12"/>
      <c r="QI30" s="13"/>
      <c r="QO30" s="4"/>
      <c r="QP30" s="12"/>
      <c r="QQ30" s="13"/>
      <c r="QW30" s="4"/>
      <c r="QX30" s="12"/>
      <c r="QY30" s="13"/>
      <c r="RE30" s="4"/>
      <c r="RF30" s="12"/>
      <c r="RG30" s="13"/>
      <c r="RM30" s="4"/>
      <c r="RN30" s="12"/>
      <c r="RO30" s="13"/>
      <c r="RU30" s="4"/>
      <c r="RV30" s="12"/>
      <c r="RW30" s="13"/>
      <c r="SC30" s="4"/>
      <c r="SD30" s="12"/>
      <c r="SE30" s="13"/>
      <c r="SK30" s="4"/>
      <c r="SL30" s="12"/>
      <c r="SM30" s="13"/>
      <c r="SS30" s="4"/>
      <c r="ST30" s="12"/>
      <c r="SU30" s="13"/>
      <c r="TA30" s="4"/>
      <c r="TB30" s="12"/>
      <c r="TC30" s="13"/>
      <c r="TI30" s="4"/>
      <c r="TJ30" s="12"/>
      <c r="TK30" s="13"/>
      <c r="TQ30" s="4"/>
      <c r="TR30" s="12"/>
      <c r="TS30" s="13"/>
      <c r="TY30" s="4"/>
      <c r="TZ30" s="12"/>
      <c r="UA30" s="13"/>
      <c r="UG30" s="4"/>
      <c r="UH30" s="12"/>
      <c r="UI30" s="13"/>
      <c r="UO30" s="4"/>
      <c r="UP30" s="12"/>
      <c r="UQ30" s="13"/>
      <c r="UW30" s="4"/>
      <c r="UX30" s="12"/>
      <c r="UY30" s="13"/>
      <c r="VE30" s="4"/>
      <c r="VF30" s="12"/>
      <c r="VG30" s="13"/>
      <c r="VM30" s="4"/>
      <c r="VN30" s="12"/>
      <c r="VO30" s="13"/>
      <c r="VU30" s="4"/>
      <c r="VV30" s="12"/>
      <c r="VW30" s="13"/>
      <c r="WC30" s="4"/>
      <c r="WD30" s="12"/>
      <c r="WE30" s="13"/>
      <c r="WK30" s="4"/>
      <c r="WL30" s="12"/>
      <c r="WM30" s="13"/>
      <c r="WS30" s="4"/>
      <c r="WT30" s="12"/>
      <c r="WU30" s="13"/>
      <c r="XA30" s="4"/>
      <c r="XB30" s="12"/>
      <c r="XC30" s="13"/>
      <c r="XI30" s="4"/>
      <c r="XJ30" s="12"/>
      <c r="XK30" s="13"/>
      <c r="XQ30" s="4"/>
      <c r="XR30" s="12"/>
      <c r="XS30" s="13"/>
      <c r="XY30" s="4"/>
      <c r="XZ30" s="12"/>
      <c r="YA30" s="13"/>
      <c r="YG30" s="4"/>
      <c r="YH30" s="12"/>
      <c r="YI30" s="13"/>
      <c r="YO30" s="4"/>
      <c r="YP30" s="12"/>
      <c r="YQ30" s="13"/>
      <c r="YW30" s="4"/>
      <c r="YX30" s="12"/>
      <c r="YY30" s="13"/>
      <c r="ZE30" s="4"/>
      <c r="ZF30" s="12"/>
      <c r="ZG30" s="13"/>
      <c r="ZM30" s="4"/>
      <c r="ZN30" s="12"/>
      <c r="ZO30" s="13"/>
      <c r="ZU30" s="4"/>
      <c r="ZV30" s="12"/>
      <c r="ZW30" s="13"/>
      <c r="AAC30" s="4"/>
      <c r="AAD30" s="12"/>
      <c r="AAE30" s="13"/>
      <c r="AAK30" s="4"/>
      <c r="AAL30" s="12"/>
      <c r="AAM30" s="13"/>
      <c r="AAS30" s="4"/>
      <c r="AAT30" s="12"/>
      <c r="AAU30" s="13"/>
      <c r="ABA30" s="4"/>
      <c r="ABB30" s="12"/>
      <c r="ABC30" s="13"/>
      <c r="ABI30" s="4"/>
      <c r="ABJ30" s="12"/>
      <c r="ABK30" s="13"/>
      <c r="ABQ30" s="4"/>
      <c r="ABR30" s="12"/>
      <c r="ABS30" s="13"/>
      <c r="ABY30" s="4"/>
      <c r="ABZ30" s="12"/>
      <c r="ACA30" s="13"/>
      <c r="ACG30" s="4"/>
      <c r="ACH30" s="12"/>
      <c r="ACI30" s="13"/>
      <c r="ACO30" s="4"/>
      <c r="ACP30" s="12"/>
      <c r="ACQ30" s="13"/>
      <c r="ACW30" s="4"/>
      <c r="ACX30" s="12"/>
      <c r="ACY30" s="13"/>
      <c r="ADE30" s="4"/>
      <c r="ADF30" s="12"/>
      <c r="ADG30" s="13"/>
      <c r="ADM30" s="4"/>
      <c r="ADN30" s="12"/>
      <c r="ADO30" s="13"/>
      <c r="ADU30" s="4"/>
      <c r="ADV30" s="12"/>
      <c r="ADW30" s="13"/>
      <c r="AEC30" s="4"/>
      <c r="AED30" s="12"/>
      <c r="AEE30" s="13"/>
      <c r="AEK30" s="4"/>
      <c r="AEL30" s="12"/>
      <c r="AEM30" s="13"/>
      <c r="AES30" s="4"/>
      <c r="AET30" s="12"/>
      <c r="AEU30" s="13"/>
      <c r="AFA30" s="4"/>
      <c r="AFB30" s="12"/>
      <c r="AFC30" s="13"/>
      <c r="AFI30" s="4"/>
      <c r="AFJ30" s="12"/>
      <c r="AFK30" s="13"/>
      <c r="AFQ30" s="4"/>
      <c r="AFR30" s="12"/>
      <c r="AFS30" s="13"/>
      <c r="AFY30" s="4"/>
      <c r="AFZ30" s="12"/>
      <c r="AGA30" s="13"/>
      <c r="AGG30" s="4"/>
      <c r="AGH30" s="12"/>
      <c r="AGI30" s="13"/>
      <c r="AGO30" s="4"/>
      <c r="AGP30" s="12"/>
      <c r="AGQ30" s="13"/>
      <c r="AGW30" s="4"/>
      <c r="AGX30" s="12"/>
      <c r="AGY30" s="13"/>
      <c r="AHE30" s="4"/>
      <c r="AHF30" s="12"/>
      <c r="AHG30" s="13"/>
      <c r="AHM30" s="4"/>
      <c r="AHN30" s="12"/>
      <c r="AHO30" s="13"/>
      <c r="AHU30" s="4"/>
      <c r="AHV30" s="12"/>
      <c r="AHW30" s="13"/>
      <c r="AIC30" s="4"/>
      <c r="AID30" s="12"/>
      <c r="AIE30" s="13"/>
      <c r="AIK30" s="4"/>
      <c r="AIL30" s="12"/>
      <c r="AIM30" s="13"/>
      <c r="AIS30" s="4"/>
      <c r="AIT30" s="12"/>
      <c r="AIU30" s="13"/>
      <c r="AJA30" s="4"/>
      <c r="AJB30" s="12"/>
      <c r="AJC30" s="13"/>
      <c r="AJI30" s="4"/>
      <c r="AJJ30" s="12"/>
      <c r="AJK30" s="13"/>
      <c r="AJQ30" s="4"/>
      <c r="AJR30" s="12"/>
      <c r="AJS30" s="13"/>
      <c r="AJY30" s="4"/>
      <c r="AJZ30" s="12"/>
      <c r="AKA30" s="13"/>
      <c r="AKG30" s="4"/>
      <c r="AKH30" s="12"/>
      <c r="AKI30" s="13"/>
      <c r="AKO30" s="4"/>
      <c r="AKP30" s="12"/>
      <c r="AKQ30" s="13"/>
      <c r="AKW30" s="4"/>
      <c r="AKX30" s="12"/>
      <c r="AKY30" s="13"/>
      <c r="ALE30" s="4"/>
      <c r="ALF30" s="12"/>
      <c r="ALG30" s="13"/>
      <c r="ALM30" s="4"/>
      <c r="ALN30" s="12"/>
      <c r="ALO30" s="13"/>
      <c r="ALU30" s="4"/>
      <c r="ALV30" s="12"/>
      <c r="ALW30" s="13"/>
      <c r="AMC30" s="4"/>
      <c r="AMD30" s="12"/>
      <c r="AME30" s="13"/>
      <c r="AMK30" s="4"/>
      <c r="AML30" s="12"/>
      <c r="AMM30" s="13"/>
      <c r="AMS30" s="4"/>
      <c r="AMT30" s="12"/>
      <c r="AMU30" s="13"/>
      <c r="ANA30" s="4"/>
      <c r="ANB30" s="12"/>
      <c r="ANC30" s="13"/>
      <c r="ANI30" s="4"/>
      <c r="ANJ30" s="12"/>
      <c r="ANK30" s="13"/>
      <c r="ANQ30" s="4"/>
      <c r="ANR30" s="12"/>
      <c r="ANS30" s="13"/>
      <c r="ANY30" s="4"/>
      <c r="ANZ30" s="12"/>
      <c r="AOA30" s="13"/>
      <c r="AOG30" s="4"/>
      <c r="AOH30" s="12"/>
      <c r="AOI30" s="13"/>
      <c r="AOO30" s="4"/>
      <c r="AOP30" s="12"/>
      <c r="AOQ30" s="13"/>
      <c r="AOW30" s="4"/>
      <c r="AOX30" s="12"/>
      <c r="AOY30" s="13"/>
      <c r="APE30" s="4"/>
      <c r="APF30" s="12"/>
      <c r="APG30" s="13"/>
      <c r="APM30" s="4"/>
      <c r="APN30" s="12"/>
      <c r="APO30" s="13"/>
      <c r="APU30" s="4"/>
      <c r="APV30" s="12"/>
      <c r="APW30" s="13"/>
      <c r="AQC30" s="4"/>
      <c r="AQD30" s="12"/>
      <c r="AQE30" s="13"/>
      <c r="AQK30" s="4"/>
      <c r="AQL30" s="12"/>
      <c r="AQM30" s="13"/>
      <c r="AQS30" s="4"/>
      <c r="AQT30" s="12"/>
      <c r="AQU30" s="13"/>
      <c r="ARA30" s="4"/>
      <c r="ARB30" s="12"/>
      <c r="ARC30" s="13"/>
      <c r="ARI30" s="4"/>
      <c r="ARJ30" s="12"/>
      <c r="ARK30" s="13"/>
      <c r="ARQ30" s="4"/>
      <c r="ARR30" s="12"/>
      <c r="ARS30" s="13"/>
      <c r="ARY30" s="4"/>
      <c r="ARZ30" s="12"/>
      <c r="ASA30" s="13"/>
      <c r="ASG30" s="4"/>
      <c r="ASH30" s="12"/>
      <c r="ASI30" s="13"/>
      <c r="ASO30" s="4"/>
      <c r="ASP30" s="12"/>
      <c r="ASQ30" s="13"/>
      <c r="ASW30" s="4"/>
      <c r="ASX30" s="12"/>
      <c r="ASY30" s="13"/>
      <c r="ATE30" s="4"/>
      <c r="ATF30" s="12"/>
      <c r="ATG30" s="13"/>
      <c r="ATM30" s="4"/>
      <c r="ATN30" s="12"/>
      <c r="ATO30" s="13"/>
      <c r="ATU30" s="4"/>
      <c r="ATV30" s="12"/>
      <c r="ATW30" s="13"/>
      <c r="AUC30" s="4"/>
      <c r="AUD30" s="12"/>
      <c r="AUE30" s="13"/>
      <c r="AUK30" s="4"/>
      <c r="AUL30" s="12"/>
      <c r="AUM30" s="13"/>
      <c r="AUS30" s="4"/>
      <c r="AUT30" s="12"/>
      <c r="AUU30" s="13"/>
      <c r="AVA30" s="4"/>
      <c r="AVB30" s="12"/>
      <c r="AVC30" s="13"/>
      <c r="AVI30" s="4"/>
      <c r="AVJ30" s="12"/>
      <c r="AVK30" s="13"/>
      <c r="AVQ30" s="4"/>
      <c r="AVR30" s="12"/>
      <c r="AVS30" s="13"/>
      <c r="AVY30" s="4"/>
      <c r="AVZ30" s="12"/>
      <c r="AWA30" s="13"/>
      <c r="AWG30" s="4"/>
      <c r="AWH30" s="12"/>
      <c r="AWI30" s="13"/>
      <c r="AWO30" s="4"/>
      <c r="AWP30" s="12"/>
      <c r="AWQ30" s="13"/>
      <c r="AWW30" s="4"/>
      <c r="AWX30" s="12"/>
      <c r="AWY30" s="13"/>
      <c r="AXE30" s="4"/>
      <c r="AXF30" s="12"/>
      <c r="AXG30" s="13"/>
      <c r="AXM30" s="4"/>
      <c r="AXN30" s="12"/>
      <c r="AXO30" s="13"/>
      <c r="AXU30" s="4"/>
      <c r="AXV30" s="12"/>
      <c r="AXW30" s="13"/>
      <c r="AYC30" s="4"/>
      <c r="AYD30" s="12"/>
      <c r="AYE30" s="13"/>
      <c r="AYK30" s="4"/>
      <c r="AYL30" s="12"/>
      <c r="AYM30" s="13"/>
      <c r="AYS30" s="4"/>
      <c r="AYT30" s="12"/>
      <c r="AYU30" s="13"/>
      <c r="AZA30" s="4"/>
      <c r="AZB30" s="12"/>
      <c r="AZC30" s="13"/>
      <c r="AZI30" s="4"/>
      <c r="AZJ30" s="12"/>
      <c r="AZK30" s="13"/>
      <c r="AZQ30" s="4"/>
      <c r="AZR30" s="12"/>
      <c r="AZS30" s="13"/>
      <c r="AZY30" s="4"/>
      <c r="AZZ30" s="12"/>
      <c r="BAA30" s="13"/>
      <c r="BAG30" s="4"/>
      <c r="BAH30" s="12"/>
      <c r="BAI30" s="13"/>
      <c r="BAO30" s="4"/>
      <c r="BAP30" s="12"/>
      <c r="BAQ30" s="13"/>
      <c r="BAW30" s="4"/>
      <c r="BAX30" s="12"/>
      <c r="BAY30" s="13"/>
      <c r="BBE30" s="4"/>
      <c r="BBF30" s="12"/>
      <c r="BBG30" s="13"/>
      <c r="BBM30" s="4"/>
      <c r="BBN30" s="12"/>
      <c r="BBO30" s="13"/>
      <c r="BBU30" s="4"/>
      <c r="BBV30" s="12"/>
      <c r="BBW30" s="13"/>
      <c r="BCC30" s="4"/>
      <c r="BCD30" s="12"/>
      <c r="BCE30" s="13"/>
      <c r="BCK30" s="4"/>
      <c r="BCL30" s="12"/>
      <c r="BCM30" s="13"/>
      <c r="BCS30" s="4"/>
      <c r="BCT30" s="12"/>
      <c r="BCU30" s="13"/>
      <c r="BDA30" s="4"/>
      <c r="BDB30" s="12"/>
      <c r="BDC30" s="13"/>
      <c r="BDI30" s="4"/>
      <c r="BDJ30" s="12"/>
      <c r="BDK30" s="13"/>
      <c r="BDQ30" s="4"/>
      <c r="BDR30" s="12"/>
      <c r="BDS30" s="13"/>
      <c r="BDY30" s="4"/>
      <c r="BDZ30" s="12"/>
      <c r="BEA30" s="13"/>
      <c r="BEG30" s="4"/>
      <c r="BEH30" s="12"/>
      <c r="BEI30" s="13"/>
      <c r="BEO30" s="4"/>
      <c r="BEP30" s="12"/>
      <c r="BEQ30" s="13"/>
      <c r="BEW30" s="4"/>
      <c r="BEX30" s="12"/>
      <c r="BEY30" s="13"/>
      <c r="BFE30" s="4"/>
      <c r="BFF30" s="12"/>
      <c r="BFG30" s="13"/>
      <c r="BFM30" s="4"/>
      <c r="BFN30" s="12"/>
      <c r="BFO30" s="13"/>
      <c r="BFU30" s="4"/>
      <c r="BFV30" s="12"/>
      <c r="BFW30" s="13"/>
      <c r="BGC30" s="4"/>
      <c r="BGD30" s="12"/>
      <c r="BGE30" s="13"/>
      <c r="BGK30" s="4"/>
      <c r="BGL30" s="12"/>
      <c r="BGM30" s="13"/>
      <c r="BGS30" s="4"/>
      <c r="BGT30" s="12"/>
      <c r="BGU30" s="13"/>
      <c r="BHA30" s="4"/>
      <c r="BHB30" s="12"/>
      <c r="BHC30" s="13"/>
      <c r="BHI30" s="4"/>
      <c r="BHJ30" s="12"/>
      <c r="BHK30" s="13"/>
      <c r="BHQ30" s="4"/>
      <c r="BHR30" s="12"/>
      <c r="BHS30" s="13"/>
      <c r="BHY30" s="4"/>
      <c r="BHZ30" s="12"/>
      <c r="BIA30" s="13"/>
      <c r="BIG30" s="4"/>
      <c r="BIH30" s="12"/>
      <c r="BII30" s="13"/>
      <c r="BIO30" s="4"/>
      <c r="BIP30" s="12"/>
      <c r="BIQ30" s="13"/>
      <c r="BIW30" s="4"/>
      <c r="BIX30" s="12"/>
      <c r="BIY30" s="13"/>
      <c r="BJE30" s="4"/>
      <c r="BJF30" s="12"/>
      <c r="BJG30" s="13"/>
      <c r="BJM30" s="4"/>
      <c r="BJN30" s="12"/>
      <c r="BJO30" s="13"/>
      <c r="BJU30" s="4"/>
      <c r="BJV30" s="12"/>
      <c r="BJW30" s="13"/>
      <c r="BKC30" s="4"/>
      <c r="BKD30" s="12"/>
      <c r="BKE30" s="13"/>
      <c r="BKK30" s="4"/>
      <c r="BKL30" s="12"/>
      <c r="BKM30" s="13"/>
      <c r="BKS30" s="4"/>
      <c r="BKT30" s="12"/>
      <c r="BKU30" s="13"/>
      <c r="BLA30" s="4"/>
      <c r="BLB30" s="12"/>
      <c r="BLC30" s="13"/>
      <c r="BLI30" s="4"/>
      <c r="BLJ30" s="12"/>
      <c r="BLK30" s="13"/>
      <c r="BLQ30" s="4"/>
      <c r="BLR30" s="12"/>
      <c r="BLS30" s="13"/>
      <c r="BLY30" s="4"/>
      <c r="BLZ30" s="12"/>
      <c r="BMA30" s="13"/>
      <c r="BMG30" s="4"/>
      <c r="BMH30" s="12"/>
      <c r="BMI30" s="13"/>
      <c r="BMO30" s="4"/>
      <c r="BMP30" s="12"/>
      <c r="BMQ30" s="13"/>
      <c r="BMW30" s="4"/>
      <c r="BMX30" s="12"/>
      <c r="BMY30" s="13"/>
      <c r="BNE30" s="4"/>
      <c r="BNF30" s="12"/>
      <c r="BNG30" s="13"/>
      <c r="BNM30" s="4"/>
      <c r="BNN30" s="12"/>
      <c r="BNO30" s="13"/>
      <c r="BNU30" s="4"/>
      <c r="BNV30" s="12"/>
      <c r="BNW30" s="13"/>
      <c r="BOC30" s="4"/>
      <c r="BOD30" s="12"/>
      <c r="BOE30" s="13"/>
      <c r="BOK30" s="4"/>
      <c r="BOL30" s="12"/>
      <c r="BOM30" s="13"/>
      <c r="BOS30" s="4"/>
      <c r="BOT30" s="12"/>
      <c r="BOU30" s="13"/>
      <c r="BPA30" s="4"/>
      <c r="BPB30" s="12"/>
      <c r="BPC30" s="13"/>
      <c r="BPI30" s="4"/>
      <c r="BPJ30" s="12"/>
      <c r="BPK30" s="13"/>
      <c r="BPQ30" s="4"/>
      <c r="BPR30" s="12"/>
      <c r="BPS30" s="13"/>
      <c r="BPY30" s="4"/>
      <c r="BPZ30" s="12"/>
      <c r="BQA30" s="13"/>
      <c r="BQG30" s="4"/>
      <c r="BQH30" s="12"/>
      <c r="BQI30" s="13"/>
      <c r="BQO30" s="4"/>
      <c r="BQP30" s="12"/>
      <c r="BQQ30" s="13"/>
      <c r="BQW30" s="4"/>
      <c r="BQX30" s="12"/>
      <c r="BQY30" s="13"/>
      <c r="BRE30" s="4"/>
      <c r="BRF30" s="12"/>
      <c r="BRG30" s="13"/>
      <c r="BRM30" s="4"/>
      <c r="BRN30" s="12"/>
      <c r="BRO30" s="13"/>
      <c r="BRU30" s="4"/>
      <c r="BRV30" s="12"/>
      <c r="BRW30" s="13"/>
      <c r="BSC30" s="4"/>
      <c r="BSD30" s="12"/>
      <c r="BSE30" s="13"/>
      <c r="BSK30" s="4"/>
      <c r="BSL30" s="12"/>
      <c r="BSM30" s="13"/>
      <c r="BSS30" s="4"/>
      <c r="BST30" s="12"/>
      <c r="BSU30" s="13"/>
      <c r="BTA30" s="4"/>
      <c r="BTB30" s="12"/>
      <c r="BTC30" s="13"/>
      <c r="BTI30" s="4"/>
      <c r="BTJ30" s="12"/>
      <c r="BTK30" s="13"/>
      <c r="BTQ30" s="4"/>
      <c r="BTR30" s="12"/>
      <c r="BTS30" s="13"/>
      <c r="BTY30" s="4"/>
      <c r="BTZ30" s="12"/>
      <c r="BUA30" s="13"/>
      <c r="BUG30" s="4"/>
      <c r="BUH30" s="12"/>
      <c r="BUI30" s="13"/>
      <c r="BUO30" s="4"/>
      <c r="BUP30" s="12"/>
      <c r="BUQ30" s="13"/>
      <c r="BUW30" s="4"/>
      <c r="BUX30" s="12"/>
      <c r="BUY30" s="13"/>
      <c r="BVE30" s="4"/>
      <c r="BVF30" s="12"/>
      <c r="BVG30" s="13"/>
      <c r="BVM30" s="4"/>
      <c r="BVN30" s="12"/>
      <c r="BVO30" s="13"/>
      <c r="BVU30" s="4"/>
      <c r="BVV30" s="12"/>
      <c r="BVW30" s="13"/>
      <c r="BWC30" s="4"/>
      <c r="BWD30" s="12"/>
      <c r="BWE30" s="13"/>
      <c r="BWK30" s="4"/>
      <c r="BWL30" s="12"/>
      <c r="BWM30" s="13"/>
      <c r="BWS30" s="4"/>
      <c r="BWT30" s="12"/>
      <c r="BWU30" s="13"/>
      <c r="BXA30" s="4"/>
      <c r="BXB30" s="12"/>
      <c r="BXC30" s="13"/>
      <c r="BXI30" s="4"/>
      <c r="BXJ30" s="12"/>
      <c r="BXK30" s="13"/>
      <c r="BXQ30" s="4"/>
      <c r="BXR30" s="12"/>
      <c r="BXS30" s="13"/>
      <c r="BXY30" s="4"/>
      <c r="BXZ30" s="12"/>
      <c r="BYA30" s="13"/>
      <c r="BYG30" s="4"/>
      <c r="BYH30" s="12"/>
      <c r="BYI30" s="13"/>
      <c r="BYO30" s="4"/>
      <c r="BYP30" s="12"/>
      <c r="BYQ30" s="13"/>
      <c r="BYW30" s="4"/>
      <c r="BYX30" s="12"/>
      <c r="BYY30" s="13"/>
      <c r="BZE30" s="4"/>
      <c r="BZF30" s="12"/>
      <c r="BZG30" s="13"/>
      <c r="BZM30" s="4"/>
      <c r="BZN30" s="12"/>
      <c r="BZO30" s="13"/>
      <c r="BZU30" s="4"/>
      <c r="BZV30" s="12"/>
      <c r="BZW30" s="13"/>
      <c r="CAC30" s="4"/>
      <c r="CAD30" s="12"/>
      <c r="CAE30" s="13"/>
      <c r="CAK30" s="4"/>
      <c r="CAL30" s="12"/>
      <c r="CAM30" s="13"/>
      <c r="CAS30" s="4"/>
      <c r="CAT30" s="12"/>
      <c r="CAU30" s="13"/>
      <c r="CBA30" s="4"/>
      <c r="CBB30" s="12"/>
      <c r="CBC30" s="13"/>
      <c r="CBI30" s="4"/>
      <c r="CBJ30" s="12"/>
      <c r="CBK30" s="13"/>
      <c r="CBQ30" s="4"/>
      <c r="CBR30" s="12"/>
      <c r="CBS30" s="13"/>
      <c r="CBY30" s="4"/>
      <c r="CBZ30" s="12"/>
      <c r="CCA30" s="13"/>
      <c r="CCG30" s="4"/>
      <c r="CCH30" s="12"/>
      <c r="CCI30" s="13"/>
      <c r="CCO30" s="4"/>
      <c r="CCP30" s="12"/>
      <c r="CCQ30" s="13"/>
      <c r="CCW30" s="4"/>
      <c r="CCX30" s="12"/>
      <c r="CCY30" s="13"/>
      <c r="CDE30" s="4"/>
      <c r="CDF30" s="12"/>
      <c r="CDG30" s="13"/>
      <c r="CDM30" s="4"/>
      <c r="CDN30" s="12"/>
      <c r="CDO30" s="13"/>
      <c r="CDU30" s="4"/>
      <c r="CDV30" s="12"/>
      <c r="CDW30" s="13"/>
      <c r="CEC30" s="4"/>
      <c r="CED30" s="12"/>
      <c r="CEE30" s="13"/>
      <c r="CEK30" s="4"/>
      <c r="CEL30" s="12"/>
      <c r="CEM30" s="13"/>
      <c r="CES30" s="4"/>
      <c r="CET30" s="12"/>
      <c r="CEU30" s="13"/>
      <c r="CFA30" s="4"/>
      <c r="CFB30" s="12"/>
      <c r="CFC30" s="13"/>
      <c r="CFI30" s="4"/>
      <c r="CFJ30" s="12"/>
      <c r="CFK30" s="13"/>
      <c r="CFQ30" s="4"/>
      <c r="CFR30" s="12"/>
      <c r="CFS30" s="13"/>
      <c r="CFY30" s="4"/>
      <c r="CFZ30" s="12"/>
      <c r="CGA30" s="13"/>
      <c r="CGG30" s="4"/>
      <c r="CGH30" s="12"/>
      <c r="CGI30" s="13"/>
      <c r="CGO30" s="4"/>
      <c r="CGP30" s="12"/>
      <c r="CGQ30" s="13"/>
      <c r="CGW30" s="4"/>
      <c r="CGX30" s="12"/>
      <c r="CGY30" s="13"/>
      <c r="CHE30" s="4"/>
      <c r="CHF30" s="12"/>
      <c r="CHG30" s="13"/>
      <c r="CHM30" s="4"/>
      <c r="CHN30" s="12"/>
      <c r="CHO30" s="13"/>
      <c r="CHU30" s="4"/>
      <c r="CHV30" s="12"/>
      <c r="CHW30" s="13"/>
      <c r="CIC30" s="4"/>
      <c r="CID30" s="12"/>
      <c r="CIE30" s="13"/>
      <c r="CIK30" s="4"/>
      <c r="CIL30" s="12"/>
      <c r="CIM30" s="13"/>
      <c r="CIS30" s="4"/>
      <c r="CIT30" s="12"/>
      <c r="CIU30" s="13"/>
      <c r="CJA30" s="4"/>
      <c r="CJB30" s="12"/>
      <c r="CJC30" s="13"/>
      <c r="CJI30" s="4"/>
      <c r="CJJ30" s="12"/>
      <c r="CJK30" s="13"/>
      <c r="CJQ30" s="4"/>
      <c r="CJR30" s="12"/>
      <c r="CJS30" s="13"/>
      <c r="CJY30" s="4"/>
      <c r="CJZ30" s="12"/>
      <c r="CKA30" s="13"/>
      <c r="CKG30" s="4"/>
      <c r="CKH30" s="12"/>
      <c r="CKI30" s="13"/>
      <c r="CKO30" s="4"/>
      <c r="CKP30" s="12"/>
      <c r="CKQ30" s="13"/>
      <c r="CKW30" s="4"/>
      <c r="CKX30" s="12"/>
      <c r="CKY30" s="13"/>
      <c r="CLE30" s="4"/>
      <c r="CLF30" s="12"/>
      <c r="CLG30" s="13"/>
      <c r="CLM30" s="4"/>
      <c r="CLN30" s="12"/>
      <c r="CLO30" s="13"/>
      <c r="CLU30" s="4"/>
      <c r="CLV30" s="12"/>
      <c r="CLW30" s="13"/>
      <c r="CMC30" s="4"/>
      <c r="CMD30" s="12"/>
      <c r="CME30" s="13"/>
      <c r="CMK30" s="4"/>
      <c r="CML30" s="12"/>
      <c r="CMM30" s="13"/>
      <c r="CMS30" s="4"/>
      <c r="CMT30" s="12"/>
      <c r="CMU30" s="13"/>
      <c r="CNA30" s="4"/>
      <c r="CNB30" s="12"/>
      <c r="CNC30" s="13"/>
      <c r="CNI30" s="4"/>
      <c r="CNJ30" s="12"/>
      <c r="CNK30" s="13"/>
      <c r="CNQ30" s="4"/>
      <c r="CNR30" s="12"/>
      <c r="CNS30" s="13"/>
      <c r="CNY30" s="4"/>
      <c r="CNZ30" s="12"/>
      <c r="COA30" s="13"/>
      <c r="COG30" s="4"/>
      <c r="COH30" s="12"/>
      <c r="COI30" s="13"/>
      <c r="COO30" s="4"/>
      <c r="COP30" s="12"/>
      <c r="COQ30" s="13"/>
      <c r="COW30" s="4"/>
      <c r="COX30" s="12"/>
      <c r="COY30" s="13"/>
      <c r="CPE30" s="4"/>
      <c r="CPF30" s="12"/>
      <c r="CPG30" s="13"/>
      <c r="CPM30" s="4"/>
      <c r="CPN30" s="12"/>
      <c r="CPO30" s="13"/>
      <c r="CPU30" s="4"/>
      <c r="CPV30" s="12"/>
      <c r="CPW30" s="13"/>
      <c r="CQC30" s="4"/>
      <c r="CQD30" s="12"/>
      <c r="CQE30" s="13"/>
      <c r="CQK30" s="4"/>
      <c r="CQL30" s="12"/>
      <c r="CQM30" s="13"/>
      <c r="CQS30" s="4"/>
      <c r="CQT30" s="12"/>
      <c r="CQU30" s="13"/>
      <c r="CRA30" s="4"/>
      <c r="CRB30" s="12"/>
      <c r="CRC30" s="13"/>
      <c r="CRI30" s="4"/>
      <c r="CRJ30" s="12"/>
      <c r="CRK30" s="13"/>
      <c r="CRQ30" s="4"/>
      <c r="CRR30" s="12"/>
      <c r="CRS30" s="13"/>
      <c r="CRY30" s="4"/>
      <c r="CRZ30" s="12"/>
      <c r="CSA30" s="13"/>
      <c r="CSG30" s="4"/>
      <c r="CSH30" s="12"/>
      <c r="CSI30" s="13"/>
      <c r="CSO30" s="4"/>
      <c r="CSP30" s="12"/>
      <c r="CSQ30" s="13"/>
      <c r="CSW30" s="4"/>
      <c r="CSX30" s="12"/>
      <c r="CSY30" s="13"/>
      <c r="CTE30" s="4"/>
      <c r="CTF30" s="12"/>
      <c r="CTG30" s="13"/>
      <c r="CTM30" s="4"/>
      <c r="CTN30" s="12"/>
      <c r="CTO30" s="13"/>
      <c r="CTU30" s="4"/>
      <c r="CTV30" s="12"/>
      <c r="CTW30" s="13"/>
      <c r="CUC30" s="4"/>
      <c r="CUD30" s="12"/>
      <c r="CUE30" s="13"/>
      <c r="CUK30" s="4"/>
      <c r="CUL30" s="12"/>
      <c r="CUM30" s="13"/>
      <c r="CUS30" s="4"/>
      <c r="CUT30" s="12"/>
      <c r="CUU30" s="13"/>
      <c r="CVA30" s="4"/>
      <c r="CVB30" s="12"/>
      <c r="CVC30" s="13"/>
      <c r="CVI30" s="4"/>
      <c r="CVJ30" s="12"/>
      <c r="CVK30" s="13"/>
      <c r="CVQ30" s="4"/>
      <c r="CVR30" s="12"/>
      <c r="CVS30" s="13"/>
      <c r="CVY30" s="4"/>
      <c r="CVZ30" s="12"/>
      <c r="CWA30" s="13"/>
      <c r="CWG30" s="4"/>
      <c r="CWH30" s="12"/>
      <c r="CWI30" s="13"/>
      <c r="CWO30" s="4"/>
      <c r="CWP30" s="12"/>
      <c r="CWQ30" s="13"/>
      <c r="CWW30" s="4"/>
      <c r="CWX30" s="12"/>
      <c r="CWY30" s="13"/>
      <c r="CXE30" s="4"/>
      <c r="CXF30" s="12"/>
      <c r="CXG30" s="13"/>
      <c r="CXM30" s="4"/>
      <c r="CXN30" s="12"/>
      <c r="CXO30" s="13"/>
      <c r="CXU30" s="4"/>
      <c r="CXV30" s="12"/>
      <c r="CXW30" s="13"/>
      <c r="CYC30" s="4"/>
      <c r="CYD30" s="12"/>
      <c r="CYE30" s="13"/>
      <c r="CYK30" s="4"/>
      <c r="CYL30" s="12"/>
      <c r="CYM30" s="13"/>
      <c r="CYS30" s="4"/>
      <c r="CYT30" s="12"/>
      <c r="CYU30" s="13"/>
      <c r="CZA30" s="4"/>
      <c r="CZB30" s="12"/>
      <c r="CZC30" s="13"/>
      <c r="CZI30" s="4"/>
      <c r="CZJ30" s="12"/>
      <c r="CZK30" s="13"/>
      <c r="CZQ30" s="4"/>
      <c r="CZR30" s="12"/>
      <c r="CZS30" s="13"/>
      <c r="CZY30" s="4"/>
      <c r="CZZ30" s="12"/>
      <c r="DAA30" s="13"/>
      <c r="DAG30" s="4"/>
      <c r="DAH30" s="12"/>
      <c r="DAI30" s="13"/>
      <c r="DAO30" s="4"/>
      <c r="DAP30" s="12"/>
      <c r="DAQ30" s="13"/>
      <c r="DAW30" s="4"/>
      <c r="DAX30" s="12"/>
      <c r="DAY30" s="13"/>
      <c r="DBE30" s="4"/>
      <c r="DBF30" s="12"/>
      <c r="DBG30" s="13"/>
      <c r="DBM30" s="4"/>
      <c r="DBN30" s="12"/>
      <c r="DBO30" s="13"/>
      <c r="DBU30" s="4"/>
      <c r="DBV30" s="12"/>
      <c r="DBW30" s="13"/>
      <c r="DCC30" s="4"/>
      <c r="DCD30" s="12"/>
      <c r="DCE30" s="13"/>
      <c r="DCK30" s="4"/>
      <c r="DCL30" s="12"/>
      <c r="DCM30" s="13"/>
      <c r="DCS30" s="4"/>
      <c r="DCT30" s="12"/>
      <c r="DCU30" s="13"/>
      <c r="DDA30" s="4"/>
      <c r="DDB30" s="12"/>
      <c r="DDC30" s="13"/>
      <c r="DDI30" s="4"/>
      <c r="DDJ30" s="12"/>
      <c r="DDK30" s="13"/>
      <c r="DDQ30" s="4"/>
      <c r="DDR30" s="12"/>
      <c r="DDS30" s="13"/>
      <c r="DDY30" s="4"/>
      <c r="DDZ30" s="12"/>
      <c r="DEA30" s="13"/>
      <c r="DEG30" s="4"/>
      <c r="DEH30" s="12"/>
      <c r="DEI30" s="13"/>
      <c r="DEO30" s="4"/>
      <c r="DEP30" s="12"/>
      <c r="DEQ30" s="13"/>
      <c r="DEW30" s="4"/>
      <c r="DEX30" s="12"/>
      <c r="DEY30" s="13"/>
      <c r="DFE30" s="4"/>
      <c r="DFF30" s="12"/>
      <c r="DFG30" s="13"/>
      <c r="DFM30" s="4"/>
      <c r="DFN30" s="12"/>
      <c r="DFO30" s="13"/>
      <c r="DFU30" s="4"/>
      <c r="DFV30" s="12"/>
      <c r="DFW30" s="13"/>
      <c r="DGC30" s="4"/>
      <c r="DGD30" s="12"/>
      <c r="DGE30" s="13"/>
      <c r="DGK30" s="4"/>
      <c r="DGL30" s="12"/>
      <c r="DGM30" s="13"/>
      <c r="DGS30" s="4"/>
      <c r="DGT30" s="12"/>
      <c r="DGU30" s="13"/>
      <c r="DHA30" s="4"/>
      <c r="DHB30" s="12"/>
      <c r="DHC30" s="13"/>
      <c r="DHI30" s="4"/>
      <c r="DHJ30" s="12"/>
      <c r="DHK30" s="13"/>
      <c r="DHQ30" s="4"/>
      <c r="DHR30" s="12"/>
      <c r="DHS30" s="13"/>
      <c r="DHY30" s="4"/>
      <c r="DHZ30" s="12"/>
      <c r="DIA30" s="13"/>
      <c r="DIG30" s="4"/>
      <c r="DIH30" s="12"/>
      <c r="DII30" s="13"/>
      <c r="DIO30" s="4"/>
      <c r="DIP30" s="12"/>
      <c r="DIQ30" s="13"/>
      <c r="DIW30" s="4"/>
      <c r="DIX30" s="12"/>
      <c r="DIY30" s="13"/>
      <c r="DJE30" s="4"/>
      <c r="DJF30" s="12"/>
      <c r="DJG30" s="13"/>
      <c r="DJM30" s="4"/>
      <c r="DJN30" s="12"/>
      <c r="DJO30" s="13"/>
      <c r="DJU30" s="4"/>
      <c r="DJV30" s="12"/>
      <c r="DJW30" s="13"/>
      <c r="DKC30" s="4"/>
      <c r="DKD30" s="12"/>
      <c r="DKE30" s="13"/>
      <c r="DKK30" s="4"/>
      <c r="DKL30" s="12"/>
      <c r="DKM30" s="13"/>
      <c r="DKS30" s="4"/>
      <c r="DKT30" s="12"/>
      <c r="DKU30" s="13"/>
      <c r="DLA30" s="4"/>
      <c r="DLB30" s="12"/>
      <c r="DLC30" s="13"/>
      <c r="DLI30" s="4"/>
      <c r="DLJ30" s="12"/>
      <c r="DLK30" s="13"/>
      <c r="DLQ30" s="4"/>
      <c r="DLR30" s="12"/>
      <c r="DLS30" s="13"/>
      <c r="DLY30" s="4"/>
      <c r="DLZ30" s="12"/>
      <c r="DMA30" s="13"/>
      <c r="DMG30" s="4"/>
      <c r="DMH30" s="12"/>
      <c r="DMI30" s="13"/>
      <c r="DMO30" s="4"/>
      <c r="DMP30" s="12"/>
      <c r="DMQ30" s="13"/>
      <c r="DMW30" s="4"/>
      <c r="DMX30" s="12"/>
      <c r="DMY30" s="13"/>
      <c r="DNE30" s="4"/>
      <c r="DNF30" s="12"/>
      <c r="DNG30" s="13"/>
      <c r="DNM30" s="4"/>
      <c r="DNN30" s="12"/>
      <c r="DNO30" s="13"/>
      <c r="DNU30" s="4"/>
      <c r="DNV30" s="12"/>
      <c r="DNW30" s="13"/>
      <c r="DOC30" s="4"/>
      <c r="DOD30" s="12"/>
      <c r="DOE30" s="13"/>
      <c r="DOK30" s="4"/>
      <c r="DOL30" s="12"/>
      <c r="DOM30" s="13"/>
      <c r="DOS30" s="4"/>
      <c r="DOT30" s="12"/>
      <c r="DOU30" s="13"/>
      <c r="DPA30" s="4"/>
      <c r="DPB30" s="12"/>
      <c r="DPC30" s="13"/>
      <c r="DPI30" s="4"/>
      <c r="DPJ30" s="12"/>
      <c r="DPK30" s="13"/>
      <c r="DPQ30" s="4"/>
      <c r="DPR30" s="12"/>
      <c r="DPS30" s="13"/>
      <c r="DPY30" s="4"/>
      <c r="DPZ30" s="12"/>
      <c r="DQA30" s="13"/>
      <c r="DQG30" s="4"/>
      <c r="DQH30" s="12"/>
      <c r="DQI30" s="13"/>
      <c r="DQO30" s="4"/>
      <c r="DQP30" s="12"/>
      <c r="DQQ30" s="13"/>
      <c r="DQW30" s="4"/>
      <c r="DQX30" s="12"/>
      <c r="DQY30" s="13"/>
      <c r="DRE30" s="4"/>
      <c r="DRF30" s="12"/>
      <c r="DRG30" s="13"/>
      <c r="DRM30" s="4"/>
      <c r="DRN30" s="12"/>
      <c r="DRO30" s="13"/>
      <c r="DRU30" s="4"/>
      <c r="DRV30" s="12"/>
      <c r="DRW30" s="13"/>
      <c r="DSC30" s="4"/>
      <c r="DSD30" s="12"/>
      <c r="DSE30" s="13"/>
      <c r="DSK30" s="4"/>
      <c r="DSL30" s="12"/>
      <c r="DSM30" s="13"/>
      <c r="DSS30" s="4"/>
      <c r="DST30" s="12"/>
      <c r="DSU30" s="13"/>
      <c r="DTA30" s="4"/>
      <c r="DTB30" s="12"/>
      <c r="DTC30" s="13"/>
      <c r="DTI30" s="4"/>
      <c r="DTJ30" s="12"/>
      <c r="DTK30" s="13"/>
      <c r="DTQ30" s="4"/>
      <c r="DTR30" s="12"/>
      <c r="DTS30" s="13"/>
      <c r="DTY30" s="4"/>
      <c r="DTZ30" s="12"/>
      <c r="DUA30" s="13"/>
      <c r="DUG30" s="4"/>
      <c r="DUH30" s="12"/>
      <c r="DUI30" s="13"/>
      <c r="DUO30" s="4"/>
      <c r="DUP30" s="12"/>
      <c r="DUQ30" s="13"/>
      <c r="DUW30" s="4"/>
      <c r="DUX30" s="12"/>
      <c r="DUY30" s="13"/>
      <c r="DVE30" s="4"/>
      <c r="DVF30" s="12"/>
      <c r="DVG30" s="13"/>
      <c r="DVM30" s="4"/>
      <c r="DVN30" s="12"/>
      <c r="DVO30" s="13"/>
      <c r="DVU30" s="4"/>
      <c r="DVV30" s="12"/>
      <c r="DVW30" s="13"/>
      <c r="DWC30" s="4"/>
      <c r="DWD30" s="12"/>
      <c r="DWE30" s="13"/>
      <c r="DWK30" s="4"/>
      <c r="DWL30" s="12"/>
      <c r="DWM30" s="13"/>
      <c r="DWS30" s="4"/>
      <c r="DWT30" s="12"/>
      <c r="DWU30" s="13"/>
      <c r="DXA30" s="4"/>
      <c r="DXB30" s="12"/>
      <c r="DXC30" s="13"/>
      <c r="DXI30" s="4"/>
      <c r="DXJ30" s="12"/>
      <c r="DXK30" s="13"/>
      <c r="DXQ30" s="4"/>
      <c r="DXR30" s="12"/>
      <c r="DXS30" s="13"/>
      <c r="DXY30" s="4"/>
      <c r="DXZ30" s="12"/>
      <c r="DYA30" s="13"/>
      <c r="DYG30" s="4"/>
      <c r="DYH30" s="12"/>
      <c r="DYI30" s="13"/>
      <c r="DYO30" s="4"/>
      <c r="DYP30" s="12"/>
      <c r="DYQ30" s="13"/>
      <c r="DYW30" s="4"/>
      <c r="DYX30" s="12"/>
      <c r="DYY30" s="13"/>
      <c r="DZE30" s="4"/>
      <c r="DZF30" s="12"/>
      <c r="DZG30" s="13"/>
      <c r="DZM30" s="4"/>
      <c r="DZN30" s="12"/>
      <c r="DZO30" s="13"/>
      <c r="DZU30" s="4"/>
      <c r="DZV30" s="12"/>
      <c r="DZW30" s="13"/>
      <c r="EAC30" s="4"/>
      <c r="EAD30" s="12"/>
      <c r="EAE30" s="13"/>
      <c r="EAK30" s="4"/>
      <c r="EAL30" s="12"/>
      <c r="EAM30" s="13"/>
      <c r="EAS30" s="4"/>
      <c r="EAT30" s="12"/>
      <c r="EAU30" s="13"/>
      <c r="EBA30" s="4"/>
      <c r="EBB30" s="12"/>
      <c r="EBC30" s="13"/>
      <c r="EBI30" s="4"/>
      <c r="EBJ30" s="12"/>
      <c r="EBK30" s="13"/>
      <c r="EBQ30" s="4"/>
      <c r="EBR30" s="12"/>
      <c r="EBS30" s="13"/>
      <c r="EBY30" s="4"/>
      <c r="EBZ30" s="12"/>
      <c r="ECA30" s="13"/>
      <c r="ECG30" s="4"/>
      <c r="ECH30" s="12"/>
      <c r="ECI30" s="13"/>
      <c r="ECO30" s="4"/>
      <c r="ECP30" s="12"/>
      <c r="ECQ30" s="13"/>
      <c r="ECW30" s="4"/>
      <c r="ECX30" s="12"/>
      <c r="ECY30" s="13"/>
      <c r="EDE30" s="4"/>
      <c r="EDF30" s="12"/>
      <c r="EDG30" s="13"/>
      <c r="EDM30" s="4"/>
      <c r="EDN30" s="12"/>
      <c r="EDO30" s="13"/>
      <c r="EDU30" s="4"/>
      <c r="EDV30" s="12"/>
      <c r="EDW30" s="13"/>
      <c r="EEC30" s="4"/>
      <c r="EED30" s="12"/>
      <c r="EEE30" s="13"/>
      <c r="EEK30" s="4"/>
      <c r="EEL30" s="12"/>
      <c r="EEM30" s="13"/>
      <c r="EES30" s="4"/>
      <c r="EET30" s="12"/>
      <c r="EEU30" s="13"/>
      <c r="EFA30" s="4"/>
      <c r="EFB30" s="12"/>
      <c r="EFC30" s="13"/>
      <c r="EFI30" s="4"/>
      <c r="EFJ30" s="12"/>
      <c r="EFK30" s="13"/>
      <c r="EFQ30" s="4"/>
      <c r="EFR30" s="12"/>
      <c r="EFS30" s="13"/>
      <c r="EFY30" s="4"/>
      <c r="EFZ30" s="12"/>
      <c r="EGA30" s="13"/>
      <c r="EGG30" s="4"/>
      <c r="EGH30" s="12"/>
      <c r="EGI30" s="13"/>
      <c r="EGO30" s="4"/>
      <c r="EGP30" s="12"/>
      <c r="EGQ30" s="13"/>
      <c r="EGW30" s="4"/>
      <c r="EGX30" s="12"/>
      <c r="EGY30" s="13"/>
      <c r="EHE30" s="4"/>
      <c r="EHF30" s="12"/>
      <c r="EHG30" s="13"/>
      <c r="EHM30" s="4"/>
      <c r="EHN30" s="12"/>
      <c r="EHO30" s="13"/>
      <c r="EHU30" s="4"/>
      <c r="EHV30" s="12"/>
      <c r="EHW30" s="13"/>
      <c r="EIC30" s="4"/>
      <c r="EID30" s="12"/>
      <c r="EIE30" s="13"/>
      <c r="EIK30" s="4"/>
      <c r="EIL30" s="12"/>
      <c r="EIM30" s="13"/>
      <c r="EIS30" s="4"/>
      <c r="EIT30" s="12"/>
      <c r="EIU30" s="13"/>
      <c r="EJA30" s="4"/>
      <c r="EJB30" s="12"/>
      <c r="EJC30" s="13"/>
      <c r="EJI30" s="4"/>
      <c r="EJJ30" s="12"/>
      <c r="EJK30" s="13"/>
      <c r="EJQ30" s="4"/>
      <c r="EJR30" s="12"/>
      <c r="EJS30" s="13"/>
      <c r="EJY30" s="4"/>
      <c r="EJZ30" s="12"/>
      <c r="EKA30" s="13"/>
      <c r="EKG30" s="4"/>
      <c r="EKH30" s="12"/>
      <c r="EKI30" s="13"/>
      <c r="EKO30" s="4"/>
      <c r="EKP30" s="12"/>
      <c r="EKQ30" s="13"/>
      <c r="EKW30" s="4"/>
      <c r="EKX30" s="12"/>
      <c r="EKY30" s="13"/>
      <c r="ELE30" s="4"/>
      <c r="ELF30" s="12"/>
      <c r="ELG30" s="13"/>
      <c r="ELM30" s="4"/>
      <c r="ELN30" s="12"/>
      <c r="ELO30" s="13"/>
      <c r="ELU30" s="4"/>
      <c r="ELV30" s="12"/>
      <c r="ELW30" s="13"/>
      <c r="EMC30" s="4"/>
      <c r="EMD30" s="12"/>
      <c r="EME30" s="13"/>
      <c r="EMK30" s="4"/>
      <c r="EML30" s="12"/>
      <c r="EMM30" s="13"/>
      <c r="EMS30" s="4"/>
      <c r="EMT30" s="12"/>
      <c r="EMU30" s="13"/>
      <c r="ENA30" s="4"/>
      <c r="ENB30" s="12"/>
      <c r="ENC30" s="13"/>
      <c r="ENI30" s="4"/>
      <c r="ENJ30" s="12"/>
      <c r="ENK30" s="13"/>
      <c r="ENQ30" s="4"/>
      <c r="ENR30" s="12"/>
      <c r="ENS30" s="13"/>
      <c r="ENY30" s="4"/>
      <c r="ENZ30" s="12"/>
      <c r="EOA30" s="13"/>
      <c r="EOG30" s="4"/>
      <c r="EOH30" s="12"/>
      <c r="EOI30" s="13"/>
      <c r="EOO30" s="4"/>
      <c r="EOP30" s="12"/>
      <c r="EOQ30" s="13"/>
      <c r="EOW30" s="4"/>
      <c r="EOX30" s="12"/>
      <c r="EOY30" s="13"/>
      <c r="EPE30" s="4"/>
      <c r="EPF30" s="12"/>
      <c r="EPG30" s="13"/>
      <c r="EPM30" s="4"/>
      <c r="EPN30" s="12"/>
      <c r="EPO30" s="13"/>
      <c r="EPU30" s="4"/>
      <c r="EPV30" s="12"/>
      <c r="EPW30" s="13"/>
      <c r="EQC30" s="4"/>
      <c r="EQD30" s="12"/>
      <c r="EQE30" s="13"/>
      <c r="EQK30" s="4"/>
      <c r="EQL30" s="12"/>
      <c r="EQM30" s="13"/>
      <c r="EQS30" s="4"/>
      <c r="EQT30" s="12"/>
      <c r="EQU30" s="13"/>
      <c r="ERA30" s="4"/>
      <c r="ERB30" s="12"/>
      <c r="ERC30" s="13"/>
      <c r="ERI30" s="4"/>
      <c r="ERJ30" s="12"/>
      <c r="ERK30" s="13"/>
      <c r="ERQ30" s="4"/>
      <c r="ERR30" s="12"/>
      <c r="ERS30" s="13"/>
      <c r="ERY30" s="4"/>
      <c r="ERZ30" s="12"/>
      <c r="ESA30" s="13"/>
      <c r="ESG30" s="4"/>
      <c r="ESH30" s="12"/>
      <c r="ESI30" s="13"/>
      <c r="ESO30" s="4"/>
      <c r="ESP30" s="12"/>
      <c r="ESQ30" s="13"/>
      <c r="ESW30" s="4"/>
      <c r="ESX30" s="12"/>
      <c r="ESY30" s="13"/>
      <c r="ETE30" s="4"/>
      <c r="ETF30" s="12"/>
      <c r="ETG30" s="13"/>
      <c r="ETM30" s="4"/>
      <c r="ETN30" s="12"/>
      <c r="ETO30" s="13"/>
      <c r="ETU30" s="4"/>
      <c r="ETV30" s="12"/>
      <c r="ETW30" s="13"/>
      <c r="EUC30" s="4"/>
      <c r="EUD30" s="12"/>
      <c r="EUE30" s="13"/>
      <c r="EUK30" s="4"/>
      <c r="EUL30" s="12"/>
      <c r="EUM30" s="13"/>
      <c r="EUS30" s="4"/>
      <c r="EUT30" s="12"/>
      <c r="EUU30" s="13"/>
      <c r="EVA30" s="4"/>
      <c r="EVB30" s="12"/>
      <c r="EVC30" s="13"/>
      <c r="EVI30" s="4"/>
      <c r="EVJ30" s="12"/>
      <c r="EVK30" s="13"/>
      <c r="EVQ30" s="4"/>
      <c r="EVR30" s="12"/>
      <c r="EVS30" s="13"/>
      <c r="EVY30" s="4"/>
      <c r="EVZ30" s="12"/>
      <c r="EWA30" s="13"/>
      <c r="EWG30" s="4"/>
      <c r="EWH30" s="12"/>
      <c r="EWI30" s="13"/>
      <c r="EWO30" s="4"/>
      <c r="EWP30" s="12"/>
      <c r="EWQ30" s="13"/>
      <c r="EWW30" s="4"/>
      <c r="EWX30" s="12"/>
      <c r="EWY30" s="13"/>
      <c r="EXE30" s="4"/>
      <c r="EXF30" s="12"/>
      <c r="EXG30" s="13"/>
      <c r="EXM30" s="4"/>
      <c r="EXN30" s="12"/>
      <c r="EXO30" s="13"/>
      <c r="EXU30" s="4"/>
      <c r="EXV30" s="12"/>
      <c r="EXW30" s="13"/>
      <c r="EYC30" s="4"/>
      <c r="EYD30" s="12"/>
      <c r="EYE30" s="13"/>
      <c r="EYK30" s="4"/>
      <c r="EYL30" s="12"/>
      <c r="EYM30" s="13"/>
      <c r="EYS30" s="4"/>
      <c r="EYT30" s="12"/>
      <c r="EYU30" s="13"/>
      <c r="EZA30" s="4"/>
      <c r="EZB30" s="12"/>
      <c r="EZC30" s="13"/>
      <c r="EZI30" s="4"/>
      <c r="EZJ30" s="12"/>
      <c r="EZK30" s="13"/>
      <c r="EZQ30" s="4"/>
      <c r="EZR30" s="12"/>
      <c r="EZS30" s="13"/>
      <c r="EZY30" s="4"/>
      <c r="EZZ30" s="12"/>
      <c r="FAA30" s="13"/>
      <c r="FAG30" s="4"/>
      <c r="FAH30" s="12"/>
      <c r="FAI30" s="13"/>
      <c r="FAO30" s="4"/>
      <c r="FAP30" s="12"/>
      <c r="FAQ30" s="13"/>
      <c r="FAW30" s="4"/>
      <c r="FAX30" s="12"/>
      <c r="FAY30" s="13"/>
      <c r="FBE30" s="4"/>
      <c r="FBF30" s="12"/>
      <c r="FBG30" s="13"/>
      <c r="FBM30" s="4"/>
      <c r="FBN30" s="12"/>
      <c r="FBO30" s="13"/>
      <c r="FBU30" s="4"/>
      <c r="FBV30" s="12"/>
      <c r="FBW30" s="13"/>
      <c r="FCC30" s="4"/>
      <c r="FCD30" s="12"/>
      <c r="FCE30" s="13"/>
      <c r="FCK30" s="4"/>
      <c r="FCL30" s="12"/>
      <c r="FCM30" s="13"/>
      <c r="FCS30" s="4"/>
      <c r="FCT30" s="12"/>
      <c r="FCU30" s="13"/>
      <c r="FDA30" s="4"/>
      <c r="FDB30" s="12"/>
      <c r="FDC30" s="13"/>
      <c r="FDI30" s="4"/>
      <c r="FDJ30" s="12"/>
      <c r="FDK30" s="13"/>
      <c r="FDQ30" s="4"/>
      <c r="FDR30" s="12"/>
      <c r="FDS30" s="13"/>
      <c r="FDY30" s="4"/>
      <c r="FDZ30" s="12"/>
      <c r="FEA30" s="13"/>
      <c r="FEG30" s="4"/>
      <c r="FEH30" s="12"/>
      <c r="FEI30" s="13"/>
      <c r="FEO30" s="4"/>
      <c r="FEP30" s="12"/>
      <c r="FEQ30" s="13"/>
      <c r="FEW30" s="4"/>
      <c r="FEX30" s="12"/>
      <c r="FEY30" s="13"/>
      <c r="FFE30" s="4"/>
      <c r="FFF30" s="12"/>
      <c r="FFG30" s="13"/>
      <c r="FFM30" s="4"/>
      <c r="FFN30" s="12"/>
      <c r="FFO30" s="13"/>
      <c r="FFU30" s="4"/>
      <c r="FFV30" s="12"/>
      <c r="FFW30" s="13"/>
      <c r="FGC30" s="4"/>
      <c r="FGD30" s="12"/>
      <c r="FGE30" s="13"/>
      <c r="FGK30" s="4"/>
      <c r="FGL30" s="12"/>
      <c r="FGM30" s="13"/>
      <c r="FGS30" s="4"/>
      <c r="FGT30" s="12"/>
      <c r="FGU30" s="13"/>
      <c r="FHA30" s="4"/>
      <c r="FHB30" s="12"/>
      <c r="FHC30" s="13"/>
      <c r="FHI30" s="4"/>
      <c r="FHJ30" s="12"/>
      <c r="FHK30" s="13"/>
      <c r="FHQ30" s="4"/>
      <c r="FHR30" s="12"/>
      <c r="FHS30" s="13"/>
      <c r="FHY30" s="4"/>
      <c r="FHZ30" s="12"/>
      <c r="FIA30" s="13"/>
      <c r="FIG30" s="4"/>
      <c r="FIH30" s="12"/>
      <c r="FII30" s="13"/>
      <c r="FIO30" s="4"/>
      <c r="FIP30" s="12"/>
      <c r="FIQ30" s="13"/>
      <c r="FIW30" s="4"/>
      <c r="FIX30" s="12"/>
      <c r="FIY30" s="13"/>
      <c r="FJE30" s="4"/>
      <c r="FJF30" s="12"/>
      <c r="FJG30" s="13"/>
      <c r="FJM30" s="4"/>
      <c r="FJN30" s="12"/>
      <c r="FJO30" s="13"/>
      <c r="FJU30" s="4"/>
      <c r="FJV30" s="12"/>
      <c r="FJW30" s="13"/>
      <c r="FKC30" s="4"/>
      <c r="FKD30" s="12"/>
      <c r="FKE30" s="13"/>
      <c r="FKK30" s="4"/>
      <c r="FKL30" s="12"/>
      <c r="FKM30" s="13"/>
      <c r="FKS30" s="4"/>
      <c r="FKT30" s="12"/>
      <c r="FKU30" s="13"/>
      <c r="FLA30" s="4"/>
      <c r="FLB30" s="12"/>
      <c r="FLC30" s="13"/>
      <c r="FLI30" s="4"/>
      <c r="FLJ30" s="12"/>
      <c r="FLK30" s="13"/>
      <c r="FLQ30" s="4"/>
      <c r="FLR30" s="12"/>
      <c r="FLS30" s="13"/>
      <c r="FLY30" s="4"/>
      <c r="FLZ30" s="12"/>
      <c r="FMA30" s="13"/>
      <c r="FMG30" s="4"/>
      <c r="FMH30" s="12"/>
      <c r="FMI30" s="13"/>
      <c r="FMO30" s="4"/>
      <c r="FMP30" s="12"/>
      <c r="FMQ30" s="13"/>
      <c r="FMW30" s="4"/>
      <c r="FMX30" s="12"/>
      <c r="FMY30" s="13"/>
      <c r="FNE30" s="4"/>
      <c r="FNF30" s="12"/>
      <c r="FNG30" s="13"/>
      <c r="FNM30" s="4"/>
      <c r="FNN30" s="12"/>
      <c r="FNO30" s="13"/>
      <c r="FNU30" s="4"/>
      <c r="FNV30" s="12"/>
      <c r="FNW30" s="13"/>
      <c r="FOC30" s="4"/>
      <c r="FOD30" s="12"/>
      <c r="FOE30" s="13"/>
      <c r="FOK30" s="4"/>
      <c r="FOL30" s="12"/>
      <c r="FOM30" s="13"/>
      <c r="FOS30" s="4"/>
      <c r="FOT30" s="12"/>
      <c r="FOU30" s="13"/>
      <c r="FPA30" s="4"/>
      <c r="FPB30" s="12"/>
      <c r="FPC30" s="13"/>
      <c r="FPI30" s="4"/>
      <c r="FPJ30" s="12"/>
      <c r="FPK30" s="13"/>
      <c r="FPQ30" s="4"/>
      <c r="FPR30" s="12"/>
      <c r="FPS30" s="13"/>
      <c r="FPY30" s="4"/>
      <c r="FPZ30" s="12"/>
      <c r="FQA30" s="13"/>
      <c r="FQG30" s="4"/>
      <c r="FQH30" s="12"/>
      <c r="FQI30" s="13"/>
      <c r="FQO30" s="4"/>
      <c r="FQP30" s="12"/>
      <c r="FQQ30" s="13"/>
      <c r="FQW30" s="4"/>
      <c r="FQX30" s="12"/>
      <c r="FQY30" s="13"/>
      <c r="FRE30" s="4"/>
      <c r="FRF30" s="12"/>
      <c r="FRG30" s="13"/>
      <c r="FRM30" s="4"/>
      <c r="FRN30" s="12"/>
      <c r="FRO30" s="13"/>
      <c r="FRU30" s="4"/>
      <c r="FRV30" s="12"/>
      <c r="FRW30" s="13"/>
      <c r="FSC30" s="4"/>
      <c r="FSD30" s="12"/>
      <c r="FSE30" s="13"/>
      <c r="FSK30" s="4"/>
      <c r="FSL30" s="12"/>
      <c r="FSM30" s="13"/>
      <c r="FSS30" s="4"/>
      <c r="FST30" s="12"/>
      <c r="FSU30" s="13"/>
      <c r="FTA30" s="4"/>
      <c r="FTB30" s="12"/>
      <c r="FTC30" s="13"/>
      <c r="FTI30" s="4"/>
      <c r="FTJ30" s="12"/>
      <c r="FTK30" s="13"/>
      <c r="FTQ30" s="4"/>
      <c r="FTR30" s="12"/>
      <c r="FTS30" s="13"/>
      <c r="FTY30" s="4"/>
      <c r="FTZ30" s="12"/>
      <c r="FUA30" s="13"/>
      <c r="FUG30" s="4"/>
      <c r="FUH30" s="12"/>
      <c r="FUI30" s="13"/>
      <c r="FUO30" s="4"/>
      <c r="FUP30" s="12"/>
      <c r="FUQ30" s="13"/>
      <c r="FUW30" s="4"/>
      <c r="FUX30" s="12"/>
      <c r="FUY30" s="13"/>
      <c r="FVE30" s="4"/>
      <c r="FVF30" s="12"/>
      <c r="FVG30" s="13"/>
      <c r="FVM30" s="4"/>
      <c r="FVN30" s="12"/>
      <c r="FVO30" s="13"/>
      <c r="FVU30" s="4"/>
      <c r="FVV30" s="12"/>
      <c r="FVW30" s="13"/>
      <c r="FWC30" s="4"/>
      <c r="FWD30" s="12"/>
      <c r="FWE30" s="13"/>
      <c r="FWK30" s="4"/>
      <c r="FWL30" s="12"/>
      <c r="FWM30" s="13"/>
      <c r="FWS30" s="4"/>
      <c r="FWT30" s="12"/>
      <c r="FWU30" s="13"/>
      <c r="FXA30" s="4"/>
      <c r="FXB30" s="12"/>
      <c r="FXC30" s="13"/>
      <c r="FXI30" s="4"/>
      <c r="FXJ30" s="12"/>
      <c r="FXK30" s="13"/>
      <c r="FXQ30" s="4"/>
      <c r="FXR30" s="12"/>
      <c r="FXS30" s="13"/>
      <c r="FXY30" s="4"/>
      <c r="FXZ30" s="12"/>
      <c r="FYA30" s="13"/>
      <c r="FYG30" s="4"/>
      <c r="FYH30" s="12"/>
      <c r="FYI30" s="13"/>
      <c r="FYO30" s="4"/>
      <c r="FYP30" s="12"/>
      <c r="FYQ30" s="13"/>
      <c r="FYW30" s="4"/>
      <c r="FYX30" s="12"/>
      <c r="FYY30" s="13"/>
      <c r="FZE30" s="4"/>
      <c r="FZF30" s="12"/>
      <c r="FZG30" s="13"/>
      <c r="FZM30" s="4"/>
      <c r="FZN30" s="12"/>
      <c r="FZO30" s="13"/>
      <c r="FZU30" s="4"/>
      <c r="FZV30" s="12"/>
      <c r="FZW30" s="13"/>
      <c r="GAC30" s="4"/>
      <c r="GAD30" s="12"/>
      <c r="GAE30" s="13"/>
      <c r="GAK30" s="4"/>
      <c r="GAL30" s="12"/>
      <c r="GAM30" s="13"/>
      <c r="GAS30" s="4"/>
      <c r="GAT30" s="12"/>
      <c r="GAU30" s="13"/>
      <c r="GBA30" s="4"/>
      <c r="GBB30" s="12"/>
      <c r="GBC30" s="13"/>
      <c r="GBI30" s="4"/>
      <c r="GBJ30" s="12"/>
      <c r="GBK30" s="13"/>
      <c r="GBQ30" s="4"/>
      <c r="GBR30" s="12"/>
      <c r="GBS30" s="13"/>
      <c r="GBY30" s="4"/>
      <c r="GBZ30" s="12"/>
      <c r="GCA30" s="13"/>
      <c r="GCG30" s="4"/>
      <c r="GCH30" s="12"/>
      <c r="GCI30" s="13"/>
      <c r="GCO30" s="4"/>
      <c r="GCP30" s="12"/>
      <c r="GCQ30" s="13"/>
      <c r="GCW30" s="4"/>
      <c r="GCX30" s="12"/>
      <c r="GCY30" s="13"/>
      <c r="GDE30" s="4"/>
      <c r="GDF30" s="12"/>
      <c r="GDG30" s="13"/>
      <c r="GDM30" s="4"/>
      <c r="GDN30" s="12"/>
      <c r="GDO30" s="13"/>
      <c r="GDU30" s="4"/>
      <c r="GDV30" s="12"/>
      <c r="GDW30" s="13"/>
      <c r="GEC30" s="4"/>
      <c r="GED30" s="12"/>
      <c r="GEE30" s="13"/>
      <c r="GEK30" s="4"/>
      <c r="GEL30" s="12"/>
      <c r="GEM30" s="13"/>
      <c r="GES30" s="4"/>
      <c r="GET30" s="12"/>
      <c r="GEU30" s="13"/>
      <c r="GFA30" s="4"/>
      <c r="GFB30" s="12"/>
      <c r="GFC30" s="13"/>
      <c r="GFI30" s="4"/>
      <c r="GFJ30" s="12"/>
      <c r="GFK30" s="13"/>
      <c r="GFQ30" s="4"/>
      <c r="GFR30" s="12"/>
      <c r="GFS30" s="13"/>
      <c r="GFY30" s="4"/>
      <c r="GFZ30" s="12"/>
      <c r="GGA30" s="13"/>
      <c r="GGG30" s="4"/>
      <c r="GGH30" s="12"/>
      <c r="GGI30" s="13"/>
      <c r="GGO30" s="4"/>
      <c r="GGP30" s="12"/>
      <c r="GGQ30" s="13"/>
      <c r="GGW30" s="4"/>
      <c r="GGX30" s="12"/>
      <c r="GGY30" s="13"/>
      <c r="GHE30" s="4"/>
      <c r="GHF30" s="12"/>
      <c r="GHG30" s="13"/>
      <c r="GHM30" s="4"/>
      <c r="GHN30" s="12"/>
      <c r="GHO30" s="13"/>
      <c r="GHU30" s="4"/>
      <c r="GHV30" s="12"/>
      <c r="GHW30" s="13"/>
      <c r="GIC30" s="4"/>
      <c r="GID30" s="12"/>
      <c r="GIE30" s="13"/>
      <c r="GIK30" s="4"/>
      <c r="GIL30" s="12"/>
      <c r="GIM30" s="13"/>
      <c r="GIS30" s="4"/>
      <c r="GIT30" s="12"/>
      <c r="GIU30" s="13"/>
      <c r="GJA30" s="4"/>
      <c r="GJB30" s="12"/>
      <c r="GJC30" s="13"/>
      <c r="GJI30" s="4"/>
      <c r="GJJ30" s="12"/>
      <c r="GJK30" s="13"/>
      <c r="GJQ30" s="4"/>
      <c r="GJR30" s="12"/>
      <c r="GJS30" s="13"/>
      <c r="GJY30" s="4"/>
      <c r="GJZ30" s="12"/>
      <c r="GKA30" s="13"/>
      <c r="GKG30" s="4"/>
      <c r="GKH30" s="12"/>
      <c r="GKI30" s="13"/>
      <c r="GKO30" s="4"/>
      <c r="GKP30" s="12"/>
      <c r="GKQ30" s="13"/>
      <c r="GKW30" s="4"/>
      <c r="GKX30" s="12"/>
      <c r="GKY30" s="13"/>
      <c r="GLE30" s="4"/>
      <c r="GLF30" s="12"/>
      <c r="GLG30" s="13"/>
      <c r="GLM30" s="4"/>
      <c r="GLN30" s="12"/>
      <c r="GLO30" s="13"/>
      <c r="GLU30" s="4"/>
      <c r="GLV30" s="12"/>
      <c r="GLW30" s="13"/>
      <c r="GMC30" s="4"/>
      <c r="GMD30" s="12"/>
      <c r="GME30" s="13"/>
      <c r="GMK30" s="4"/>
      <c r="GML30" s="12"/>
      <c r="GMM30" s="13"/>
      <c r="GMS30" s="4"/>
      <c r="GMT30" s="12"/>
      <c r="GMU30" s="13"/>
      <c r="GNA30" s="4"/>
      <c r="GNB30" s="12"/>
      <c r="GNC30" s="13"/>
      <c r="GNI30" s="4"/>
      <c r="GNJ30" s="12"/>
      <c r="GNK30" s="13"/>
      <c r="GNQ30" s="4"/>
      <c r="GNR30" s="12"/>
      <c r="GNS30" s="13"/>
      <c r="GNY30" s="4"/>
      <c r="GNZ30" s="12"/>
      <c r="GOA30" s="13"/>
      <c r="GOG30" s="4"/>
      <c r="GOH30" s="12"/>
      <c r="GOI30" s="13"/>
      <c r="GOO30" s="4"/>
      <c r="GOP30" s="12"/>
      <c r="GOQ30" s="13"/>
      <c r="GOW30" s="4"/>
      <c r="GOX30" s="12"/>
      <c r="GOY30" s="13"/>
      <c r="GPE30" s="4"/>
      <c r="GPF30" s="12"/>
      <c r="GPG30" s="13"/>
      <c r="GPM30" s="4"/>
      <c r="GPN30" s="12"/>
      <c r="GPO30" s="13"/>
      <c r="GPU30" s="4"/>
      <c r="GPV30" s="12"/>
      <c r="GPW30" s="13"/>
      <c r="GQC30" s="4"/>
      <c r="GQD30" s="12"/>
      <c r="GQE30" s="13"/>
      <c r="GQK30" s="4"/>
      <c r="GQL30" s="12"/>
      <c r="GQM30" s="13"/>
      <c r="GQS30" s="4"/>
      <c r="GQT30" s="12"/>
      <c r="GQU30" s="13"/>
      <c r="GRA30" s="4"/>
      <c r="GRB30" s="12"/>
      <c r="GRC30" s="13"/>
      <c r="GRI30" s="4"/>
      <c r="GRJ30" s="12"/>
      <c r="GRK30" s="13"/>
      <c r="GRQ30" s="4"/>
      <c r="GRR30" s="12"/>
      <c r="GRS30" s="13"/>
      <c r="GRY30" s="4"/>
      <c r="GRZ30" s="12"/>
      <c r="GSA30" s="13"/>
      <c r="GSG30" s="4"/>
      <c r="GSH30" s="12"/>
      <c r="GSI30" s="13"/>
      <c r="GSO30" s="4"/>
      <c r="GSP30" s="12"/>
      <c r="GSQ30" s="13"/>
      <c r="GSW30" s="4"/>
      <c r="GSX30" s="12"/>
      <c r="GSY30" s="13"/>
      <c r="GTE30" s="4"/>
      <c r="GTF30" s="12"/>
      <c r="GTG30" s="13"/>
      <c r="GTM30" s="4"/>
      <c r="GTN30" s="12"/>
      <c r="GTO30" s="13"/>
      <c r="GTU30" s="4"/>
      <c r="GTV30" s="12"/>
      <c r="GTW30" s="13"/>
      <c r="GUC30" s="4"/>
      <c r="GUD30" s="12"/>
      <c r="GUE30" s="13"/>
      <c r="GUK30" s="4"/>
      <c r="GUL30" s="12"/>
      <c r="GUM30" s="13"/>
      <c r="GUS30" s="4"/>
      <c r="GUT30" s="12"/>
      <c r="GUU30" s="13"/>
      <c r="GVA30" s="4"/>
      <c r="GVB30" s="12"/>
      <c r="GVC30" s="13"/>
      <c r="GVI30" s="4"/>
      <c r="GVJ30" s="12"/>
      <c r="GVK30" s="13"/>
      <c r="GVQ30" s="4"/>
      <c r="GVR30" s="12"/>
      <c r="GVS30" s="13"/>
      <c r="GVY30" s="4"/>
      <c r="GVZ30" s="12"/>
      <c r="GWA30" s="13"/>
      <c r="GWG30" s="4"/>
      <c r="GWH30" s="12"/>
      <c r="GWI30" s="13"/>
      <c r="GWO30" s="4"/>
      <c r="GWP30" s="12"/>
      <c r="GWQ30" s="13"/>
      <c r="GWW30" s="4"/>
      <c r="GWX30" s="12"/>
      <c r="GWY30" s="13"/>
      <c r="GXE30" s="4"/>
      <c r="GXF30" s="12"/>
      <c r="GXG30" s="13"/>
      <c r="GXM30" s="4"/>
      <c r="GXN30" s="12"/>
      <c r="GXO30" s="13"/>
      <c r="GXU30" s="4"/>
      <c r="GXV30" s="12"/>
      <c r="GXW30" s="13"/>
      <c r="GYC30" s="4"/>
      <c r="GYD30" s="12"/>
      <c r="GYE30" s="13"/>
      <c r="GYK30" s="4"/>
      <c r="GYL30" s="12"/>
      <c r="GYM30" s="13"/>
      <c r="GYS30" s="4"/>
      <c r="GYT30" s="12"/>
      <c r="GYU30" s="13"/>
      <c r="GZA30" s="4"/>
      <c r="GZB30" s="12"/>
      <c r="GZC30" s="13"/>
      <c r="GZI30" s="4"/>
      <c r="GZJ30" s="12"/>
      <c r="GZK30" s="13"/>
      <c r="GZQ30" s="4"/>
      <c r="GZR30" s="12"/>
      <c r="GZS30" s="13"/>
      <c r="GZY30" s="4"/>
      <c r="GZZ30" s="12"/>
      <c r="HAA30" s="13"/>
      <c r="HAG30" s="4"/>
      <c r="HAH30" s="12"/>
      <c r="HAI30" s="13"/>
      <c r="HAO30" s="4"/>
      <c r="HAP30" s="12"/>
      <c r="HAQ30" s="13"/>
      <c r="HAW30" s="4"/>
      <c r="HAX30" s="12"/>
      <c r="HAY30" s="13"/>
      <c r="HBE30" s="4"/>
      <c r="HBF30" s="12"/>
      <c r="HBG30" s="13"/>
      <c r="HBM30" s="4"/>
      <c r="HBN30" s="12"/>
      <c r="HBO30" s="13"/>
      <c r="HBU30" s="4"/>
      <c r="HBV30" s="12"/>
      <c r="HBW30" s="13"/>
      <c r="HCC30" s="4"/>
      <c r="HCD30" s="12"/>
      <c r="HCE30" s="13"/>
      <c r="HCK30" s="4"/>
      <c r="HCL30" s="12"/>
      <c r="HCM30" s="13"/>
      <c r="HCS30" s="4"/>
      <c r="HCT30" s="12"/>
      <c r="HCU30" s="13"/>
      <c r="HDA30" s="4"/>
      <c r="HDB30" s="12"/>
      <c r="HDC30" s="13"/>
      <c r="HDI30" s="4"/>
      <c r="HDJ30" s="12"/>
      <c r="HDK30" s="13"/>
      <c r="HDQ30" s="4"/>
      <c r="HDR30" s="12"/>
      <c r="HDS30" s="13"/>
      <c r="HDY30" s="4"/>
      <c r="HDZ30" s="12"/>
      <c r="HEA30" s="13"/>
      <c r="HEG30" s="4"/>
      <c r="HEH30" s="12"/>
      <c r="HEI30" s="13"/>
      <c r="HEO30" s="4"/>
      <c r="HEP30" s="12"/>
      <c r="HEQ30" s="13"/>
      <c r="HEW30" s="4"/>
      <c r="HEX30" s="12"/>
      <c r="HEY30" s="13"/>
      <c r="HFE30" s="4"/>
      <c r="HFF30" s="12"/>
      <c r="HFG30" s="13"/>
      <c r="HFM30" s="4"/>
      <c r="HFN30" s="12"/>
      <c r="HFO30" s="13"/>
      <c r="HFU30" s="4"/>
      <c r="HFV30" s="12"/>
      <c r="HFW30" s="13"/>
      <c r="HGC30" s="4"/>
      <c r="HGD30" s="12"/>
      <c r="HGE30" s="13"/>
      <c r="HGK30" s="4"/>
      <c r="HGL30" s="12"/>
      <c r="HGM30" s="13"/>
      <c r="HGS30" s="4"/>
      <c r="HGT30" s="12"/>
      <c r="HGU30" s="13"/>
      <c r="HHA30" s="4"/>
      <c r="HHB30" s="12"/>
      <c r="HHC30" s="13"/>
      <c r="HHI30" s="4"/>
      <c r="HHJ30" s="12"/>
      <c r="HHK30" s="13"/>
      <c r="HHQ30" s="4"/>
      <c r="HHR30" s="12"/>
      <c r="HHS30" s="13"/>
      <c r="HHY30" s="4"/>
      <c r="HHZ30" s="12"/>
      <c r="HIA30" s="13"/>
      <c r="HIG30" s="4"/>
      <c r="HIH30" s="12"/>
      <c r="HII30" s="13"/>
      <c r="HIO30" s="4"/>
      <c r="HIP30" s="12"/>
      <c r="HIQ30" s="13"/>
      <c r="HIW30" s="4"/>
      <c r="HIX30" s="12"/>
      <c r="HIY30" s="13"/>
      <c r="HJE30" s="4"/>
      <c r="HJF30" s="12"/>
      <c r="HJG30" s="13"/>
      <c r="HJM30" s="4"/>
      <c r="HJN30" s="12"/>
      <c r="HJO30" s="13"/>
      <c r="HJU30" s="4"/>
      <c r="HJV30" s="12"/>
      <c r="HJW30" s="13"/>
      <c r="HKC30" s="4"/>
      <c r="HKD30" s="12"/>
      <c r="HKE30" s="13"/>
      <c r="HKK30" s="4"/>
      <c r="HKL30" s="12"/>
      <c r="HKM30" s="13"/>
      <c r="HKS30" s="4"/>
      <c r="HKT30" s="12"/>
      <c r="HKU30" s="13"/>
      <c r="HLA30" s="4"/>
      <c r="HLB30" s="12"/>
      <c r="HLC30" s="13"/>
      <c r="HLI30" s="4"/>
      <c r="HLJ30" s="12"/>
      <c r="HLK30" s="13"/>
      <c r="HLQ30" s="4"/>
      <c r="HLR30" s="12"/>
      <c r="HLS30" s="13"/>
      <c r="HLY30" s="4"/>
      <c r="HLZ30" s="12"/>
      <c r="HMA30" s="13"/>
      <c r="HMG30" s="4"/>
      <c r="HMH30" s="12"/>
      <c r="HMI30" s="13"/>
      <c r="HMO30" s="4"/>
      <c r="HMP30" s="12"/>
      <c r="HMQ30" s="13"/>
      <c r="HMW30" s="4"/>
      <c r="HMX30" s="12"/>
      <c r="HMY30" s="13"/>
      <c r="HNE30" s="4"/>
      <c r="HNF30" s="12"/>
      <c r="HNG30" s="13"/>
      <c r="HNM30" s="4"/>
      <c r="HNN30" s="12"/>
      <c r="HNO30" s="13"/>
      <c r="HNU30" s="4"/>
      <c r="HNV30" s="12"/>
      <c r="HNW30" s="13"/>
      <c r="HOC30" s="4"/>
      <c r="HOD30" s="12"/>
      <c r="HOE30" s="13"/>
      <c r="HOK30" s="4"/>
      <c r="HOL30" s="12"/>
      <c r="HOM30" s="13"/>
      <c r="HOS30" s="4"/>
      <c r="HOT30" s="12"/>
      <c r="HOU30" s="13"/>
      <c r="HPA30" s="4"/>
      <c r="HPB30" s="12"/>
      <c r="HPC30" s="13"/>
      <c r="HPI30" s="4"/>
      <c r="HPJ30" s="12"/>
      <c r="HPK30" s="13"/>
      <c r="HPQ30" s="4"/>
      <c r="HPR30" s="12"/>
      <c r="HPS30" s="13"/>
      <c r="HPY30" s="4"/>
      <c r="HPZ30" s="12"/>
      <c r="HQA30" s="13"/>
      <c r="HQG30" s="4"/>
      <c r="HQH30" s="12"/>
      <c r="HQI30" s="13"/>
      <c r="HQO30" s="4"/>
      <c r="HQP30" s="12"/>
      <c r="HQQ30" s="13"/>
      <c r="HQW30" s="4"/>
      <c r="HQX30" s="12"/>
      <c r="HQY30" s="13"/>
      <c r="HRE30" s="4"/>
      <c r="HRF30" s="12"/>
      <c r="HRG30" s="13"/>
      <c r="HRM30" s="4"/>
      <c r="HRN30" s="12"/>
      <c r="HRO30" s="13"/>
      <c r="HRU30" s="4"/>
      <c r="HRV30" s="12"/>
      <c r="HRW30" s="13"/>
      <c r="HSC30" s="4"/>
      <c r="HSD30" s="12"/>
      <c r="HSE30" s="13"/>
      <c r="HSK30" s="4"/>
      <c r="HSL30" s="12"/>
      <c r="HSM30" s="13"/>
      <c r="HSS30" s="4"/>
      <c r="HST30" s="12"/>
      <c r="HSU30" s="13"/>
      <c r="HTA30" s="4"/>
      <c r="HTB30" s="12"/>
      <c r="HTC30" s="13"/>
      <c r="HTI30" s="4"/>
      <c r="HTJ30" s="12"/>
      <c r="HTK30" s="13"/>
      <c r="HTQ30" s="4"/>
      <c r="HTR30" s="12"/>
      <c r="HTS30" s="13"/>
      <c r="HTY30" s="4"/>
      <c r="HTZ30" s="12"/>
      <c r="HUA30" s="13"/>
      <c r="HUG30" s="4"/>
      <c r="HUH30" s="12"/>
      <c r="HUI30" s="13"/>
      <c r="HUO30" s="4"/>
      <c r="HUP30" s="12"/>
      <c r="HUQ30" s="13"/>
      <c r="HUW30" s="4"/>
      <c r="HUX30" s="12"/>
      <c r="HUY30" s="13"/>
      <c r="HVE30" s="4"/>
      <c r="HVF30" s="12"/>
      <c r="HVG30" s="13"/>
      <c r="HVM30" s="4"/>
      <c r="HVN30" s="12"/>
      <c r="HVO30" s="13"/>
      <c r="HVU30" s="4"/>
      <c r="HVV30" s="12"/>
      <c r="HVW30" s="13"/>
      <c r="HWC30" s="4"/>
      <c r="HWD30" s="12"/>
      <c r="HWE30" s="13"/>
      <c r="HWK30" s="4"/>
      <c r="HWL30" s="12"/>
      <c r="HWM30" s="13"/>
      <c r="HWS30" s="4"/>
      <c r="HWT30" s="12"/>
      <c r="HWU30" s="13"/>
      <c r="HXA30" s="4"/>
      <c r="HXB30" s="12"/>
      <c r="HXC30" s="13"/>
      <c r="HXI30" s="4"/>
      <c r="HXJ30" s="12"/>
      <c r="HXK30" s="13"/>
      <c r="HXQ30" s="4"/>
      <c r="HXR30" s="12"/>
      <c r="HXS30" s="13"/>
      <c r="HXY30" s="4"/>
      <c r="HXZ30" s="12"/>
      <c r="HYA30" s="13"/>
      <c r="HYG30" s="4"/>
      <c r="HYH30" s="12"/>
      <c r="HYI30" s="13"/>
      <c r="HYO30" s="4"/>
      <c r="HYP30" s="12"/>
      <c r="HYQ30" s="13"/>
      <c r="HYW30" s="4"/>
      <c r="HYX30" s="12"/>
      <c r="HYY30" s="13"/>
      <c r="HZE30" s="4"/>
      <c r="HZF30" s="12"/>
      <c r="HZG30" s="13"/>
      <c r="HZM30" s="4"/>
      <c r="HZN30" s="12"/>
      <c r="HZO30" s="13"/>
      <c r="HZU30" s="4"/>
      <c r="HZV30" s="12"/>
      <c r="HZW30" s="13"/>
      <c r="IAC30" s="4"/>
      <c r="IAD30" s="12"/>
      <c r="IAE30" s="13"/>
      <c r="IAK30" s="4"/>
      <c r="IAL30" s="12"/>
      <c r="IAM30" s="13"/>
      <c r="IAS30" s="4"/>
      <c r="IAT30" s="12"/>
      <c r="IAU30" s="13"/>
      <c r="IBA30" s="4"/>
      <c r="IBB30" s="12"/>
      <c r="IBC30" s="13"/>
      <c r="IBI30" s="4"/>
      <c r="IBJ30" s="12"/>
      <c r="IBK30" s="13"/>
      <c r="IBQ30" s="4"/>
      <c r="IBR30" s="12"/>
      <c r="IBS30" s="13"/>
      <c r="IBY30" s="4"/>
      <c r="IBZ30" s="12"/>
      <c r="ICA30" s="13"/>
      <c r="ICG30" s="4"/>
      <c r="ICH30" s="12"/>
      <c r="ICI30" s="13"/>
      <c r="ICO30" s="4"/>
      <c r="ICP30" s="12"/>
      <c r="ICQ30" s="13"/>
      <c r="ICW30" s="4"/>
      <c r="ICX30" s="12"/>
      <c r="ICY30" s="13"/>
      <c r="IDE30" s="4"/>
      <c r="IDF30" s="12"/>
      <c r="IDG30" s="13"/>
      <c r="IDM30" s="4"/>
      <c r="IDN30" s="12"/>
      <c r="IDO30" s="13"/>
      <c r="IDU30" s="4"/>
      <c r="IDV30" s="12"/>
      <c r="IDW30" s="13"/>
      <c r="IEC30" s="4"/>
      <c r="IED30" s="12"/>
      <c r="IEE30" s="13"/>
      <c r="IEK30" s="4"/>
      <c r="IEL30" s="12"/>
      <c r="IEM30" s="13"/>
      <c r="IES30" s="4"/>
      <c r="IET30" s="12"/>
      <c r="IEU30" s="13"/>
      <c r="IFA30" s="4"/>
      <c r="IFB30" s="12"/>
      <c r="IFC30" s="13"/>
      <c r="IFI30" s="4"/>
      <c r="IFJ30" s="12"/>
      <c r="IFK30" s="13"/>
      <c r="IFQ30" s="4"/>
      <c r="IFR30" s="12"/>
      <c r="IFS30" s="13"/>
      <c r="IFY30" s="4"/>
      <c r="IFZ30" s="12"/>
      <c r="IGA30" s="13"/>
      <c r="IGG30" s="4"/>
      <c r="IGH30" s="12"/>
      <c r="IGI30" s="13"/>
      <c r="IGO30" s="4"/>
      <c r="IGP30" s="12"/>
      <c r="IGQ30" s="13"/>
      <c r="IGW30" s="4"/>
      <c r="IGX30" s="12"/>
      <c r="IGY30" s="13"/>
      <c r="IHE30" s="4"/>
      <c r="IHF30" s="12"/>
      <c r="IHG30" s="13"/>
      <c r="IHM30" s="4"/>
      <c r="IHN30" s="12"/>
      <c r="IHO30" s="13"/>
      <c r="IHU30" s="4"/>
      <c r="IHV30" s="12"/>
      <c r="IHW30" s="13"/>
      <c r="IIC30" s="4"/>
      <c r="IID30" s="12"/>
      <c r="IIE30" s="13"/>
      <c r="IIK30" s="4"/>
      <c r="IIL30" s="12"/>
      <c r="IIM30" s="13"/>
      <c r="IIS30" s="4"/>
      <c r="IIT30" s="12"/>
      <c r="IIU30" s="13"/>
      <c r="IJA30" s="4"/>
      <c r="IJB30" s="12"/>
      <c r="IJC30" s="13"/>
      <c r="IJI30" s="4"/>
      <c r="IJJ30" s="12"/>
      <c r="IJK30" s="13"/>
      <c r="IJQ30" s="4"/>
      <c r="IJR30" s="12"/>
      <c r="IJS30" s="13"/>
      <c r="IJY30" s="4"/>
      <c r="IJZ30" s="12"/>
      <c r="IKA30" s="13"/>
      <c r="IKG30" s="4"/>
      <c r="IKH30" s="12"/>
      <c r="IKI30" s="13"/>
      <c r="IKO30" s="4"/>
      <c r="IKP30" s="12"/>
      <c r="IKQ30" s="13"/>
      <c r="IKW30" s="4"/>
      <c r="IKX30" s="12"/>
      <c r="IKY30" s="13"/>
      <c r="ILE30" s="4"/>
      <c r="ILF30" s="12"/>
      <c r="ILG30" s="13"/>
      <c r="ILM30" s="4"/>
      <c r="ILN30" s="12"/>
      <c r="ILO30" s="13"/>
      <c r="ILU30" s="4"/>
      <c r="ILV30" s="12"/>
      <c r="ILW30" s="13"/>
      <c r="IMC30" s="4"/>
      <c r="IMD30" s="12"/>
      <c r="IME30" s="13"/>
      <c r="IMK30" s="4"/>
      <c r="IML30" s="12"/>
      <c r="IMM30" s="13"/>
      <c r="IMS30" s="4"/>
      <c r="IMT30" s="12"/>
      <c r="IMU30" s="13"/>
      <c r="INA30" s="4"/>
      <c r="INB30" s="12"/>
      <c r="INC30" s="13"/>
      <c r="INI30" s="4"/>
      <c r="INJ30" s="12"/>
      <c r="INK30" s="13"/>
      <c r="INQ30" s="4"/>
      <c r="INR30" s="12"/>
      <c r="INS30" s="13"/>
      <c r="INY30" s="4"/>
      <c r="INZ30" s="12"/>
      <c r="IOA30" s="13"/>
      <c r="IOG30" s="4"/>
      <c r="IOH30" s="12"/>
      <c r="IOI30" s="13"/>
      <c r="IOO30" s="4"/>
      <c r="IOP30" s="12"/>
      <c r="IOQ30" s="13"/>
      <c r="IOW30" s="4"/>
      <c r="IOX30" s="12"/>
      <c r="IOY30" s="13"/>
      <c r="IPE30" s="4"/>
      <c r="IPF30" s="12"/>
      <c r="IPG30" s="13"/>
      <c r="IPM30" s="4"/>
      <c r="IPN30" s="12"/>
      <c r="IPO30" s="13"/>
      <c r="IPU30" s="4"/>
      <c r="IPV30" s="12"/>
      <c r="IPW30" s="13"/>
      <c r="IQC30" s="4"/>
      <c r="IQD30" s="12"/>
      <c r="IQE30" s="13"/>
      <c r="IQK30" s="4"/>
      <c r="IQL30" s="12"/>
      <c r="IQM30" s="13"/>
      <c r="IQS30" s="4"/>
      <c r="IQT30" s="12"/>
      <c r="IQU30" s="13"/>
      <c r="IRA30" s="4"/>
      <c r="IRB30" s="12"/>
      <c r="IRC30" s="13"/>
      <c r="IRI30" s="4"/>
      <c r="IRJ30" s="12"/>
      <c r="IRK30" s="13"/>
      <c r="IRQ30" s="4"/>
      <c r="IRR30" s="12"/>
      <c r="IRS30" s="13"/>
      <c r="IRY30" s="4"/>
      <c r="IRZ30" s="12"/>
      <c r="ISA30" s="13"/>
      <c r="ISG30" s="4"/>
      <c r="ISH30" s="12"/>
      <c r="ISI30" s="13"/>
      <c r="ISO30" s="4"/>
      <c r="ISP30" s="12"/>
      <c r="ISQ30" s="13"/>
      <c r="ISW30" s="4"/>
      <c r="ISX30" s="12"/>
      <c r="ISY30" s="13"/>
      <c r="ITE30" s="4"/>
      <c r="ITF30" s="12"/>
      <c r="ITG30" s="13"/>
      <c r="ITM30" s="4"/>
      <c r="ITN30" s="12"/>
      <c r="ITO30" s="13"/>
      <c r="ITU30" s="4"/>
      <c r="ITV30" s="12"/>
      <c r="ITW30" s="13"/>
      <c r="IUC30" s="4"/>
      <c r="IUD30" s="12"/>
      <c r="IUE30" s="13"/>
      <c r="IUK30" s="4"/>
      <c r="IUL30" s="12"/>
      <c r="IUM30" s="13"/>
      <c r="IUS30" s="4"/>
      <c r="IUT30" s="12"/>
      <c r="IUU30" s="13"/>
      <c r="IVA30" s="4"/>
      <c r="IVB30" s="12"/>
      <c r="IVC30" s="13"/>
      <c r="IVI30" s="4"/>
      <c r="IVJ30" s="12"/>
      <c r="IVK30" s="13"/>
      <c r="IVQ30" s="4"/>
      <c r="IVR30" s="12"/>
      <c r="IVS30" s="13"/>
      <c r="IVY30" s="4"/>
      <c r="IVZ30" s="12"/>
      <c r="IWA30" s="13"/>
      <c r="IWG30" s="4"/>
      <c r="IWH30" s="12"/>
      <c r="IWI30" s="13"/>
      <c r="IWO30" s="4"/>
      <c r="IWP30" s="12"/>
      <c r="IWQ30" s="13"/>
      <c r="IWW30" s="4"/>
      <c r="IWX30" s="12"/>
      <c r="IWY30" s="13"/>
      <c r="IXE30" s="4"/>
      <c r="IXF30" s="12"/>
      <c r="IXG30" s="13"/>
      <c r="IXM30" s="4"/>
      <c r="IXN30" s="12"/>
      <c r="IXO30" s="13"/>
      <c r="IXU30" s="4"/>
      <c r="IXV30" s="12"/>
      <c r="IXW30" s="13"/>
      <c r="IYC30" s="4"/>
      <c r="IYD30" s="12"/>
      <c r="IYE30" s="13"/>
      <c r="IYK30" s="4"/>
      <c r="IYL30" s="12"/>
      <c r="IYM30" s="13"/>
      <c r="IYS30" s="4"/>
      <c r="IYT30" s="12"/>
      <c r="IYU30" s="13"/>
      <c r="IZA30" s="4"/>
      <c r="IZB30" s="12"/>
      <c r="IZC30" s="13"/>
      <c r="IZI30" s="4"/>
      <c r="IZJ30" s="12"/>
      <c r="IZK30" s="13"/>
      <c r="IZQ30" s="4"/>
      <c r="IZR30" s="12"/>
      <c r="IZS30" s="13"/>
      <c r="IZY30" s="4"/>
      <c r="IZZ30" s="12"/>
      <c r="JAA30" s="13"/>
      <c r="JAG30" s="4"/>
      <c r="JAH30" s="12"/>
      <c r="JAI30" s="13"/>
      <c r="JAO30" s="4"/>
      <c r="JAP30" s="12"/>
      <c r="JAQ30" s="13"/>
      <c r="JAW30" s="4"/>
      <c r="JAX30" s="12"/>
      <c r="JAY30" s="13"/>
      <c r="JBE30" s="4"/>
      <c r="JBF30" s="12"/>
      <c r="JBG30" s="13"/>
      <c r="JBM30" s="4"/>
      <c r="JBN30" s="12"/>
      <c r="JBO30" s="13"/>
      <c r="JBU30" s="4"/>
      <c r="JBV30" s="12"/>
      <c r="JBW30" s="13"/>
      <c r="JCC30" s="4"/>
      <c r="JCD30" s="12"/>
      <c r="JCE30" s="13"/>
      <c r="JCK30" s="4"/>
      <c r="JCL30" s="12"/>
      <c r="JCM30" s="13"/>
      <c r="JCS30" s="4"/>
      <c r="JCT30" s="12"/>
      <c r="JCU30" s="13"/>
      <c r="JDA30" s="4"/>
      <c r="JDB30" s="12"/>
      <c r="JDC30" s="13"/>
      <c r="JDI30" s="4"/>
      <c r="JDJ30" s="12"/>
      <c r="JDK30" s="13"/>
      <c r="JDQ30" s="4"/>
      <c r="JDR30" s="12"/>
      <c r="JDS30" s="13"/>
      <c r="JDY30" s="4"/>
      <c r="JDZ30" s="12"/>
      <c r="JEA30" s="13"/>
      <c r="JEG30" s="4"/>
      <c r="JEH30" s="12"/>
      <c r="JEI30" s="13"/>
      <c r="JEO30" s="4"/>
      <c r="JEP30" s="12"/>
      <c r="JEQ30" s="13"/>
      <c r="JEW30" s="4"/>
      <c r="JEX30" s="12"/>
      <c r="JEY30" s="13"/>
      <c r="JFE30" s="4"/>
      <c r="JFF30" s="12"/>
      <c r="JFG30" s="13"/>
      <c r="JFM30" s="4"/>
      <c r="JFN30" s="12"/>
      <c r="JFO30" s="13"/>
      <c r="JFU30" s="4"/>
      <c r="JFV30" s="12"/>
      <c r="JFW30" s="13"/>
      <c r="JGC30" s="4"/>
      <c r="JGD30" s="12"/>
      <c r="JGE30" s="13"/>
      <c r="JGK30" s="4"/>
      <c r="JGL30" s="12"/>
      <c r="JGM30" s="13"/>
      <c r="JGS30" s="4"/>
      <c r="JGT30" s="12"/>
      <c r="JGU30" s="13"/>
      <c r="JHA30" s="4"/>
      <c r="JHB30" s="12"/>
      <c r="JHC30" s="13"/>
      <c r="JHI30" s="4"/>
      <c r="JHJ30" s="12"/>
      <c r="JHK30" s="13"/>
      <c r="JHQ30" s="4"/>
      <c r="JHR30" s="12"/>
      <c r="JHS30" s="13"/>
      <c r="JHY30" s="4"/>
      <c r="JHZ30" s="12"/>
      <c r="JIA30" s="13"/>
      <c r="JIG30" s="4"/>
      <c r="JIH30" s="12"/>
      <c r="JII30" s="13"/>
      <c r="JIO30" s="4"/>
      <c r="JIP30" s="12"/>
      <c r="JIQ30" s="13"/>
      <c r="JIW30" s="4"/>
      <c r="JIX30" s="12"/>
      <c r="JIY30" s="13"/>
      <c r="JJE30" s="4"/>
      <c r="JJF30" s="12"/>
      <c r="JJG30" s="13"/>
      <c r="JJM30" s="4"/>
      <c r="JJN30" s="12"/>
      <c r="JJO30" s="13"/>
      <c r="JJU30" s="4"/>
      <c r="JJV30" s="12"/>
      <c r="JJW30" s="13"/>
      <c r="JKC30" s="4"/>
      <c r="JKD30" s="12"/>
      <c r="JKE30" s="13"/>
      <c r="JKK30" s="4"/>
      <c r="JKL30" s="12"/>
      <c r="JKM30" s="13"/>
      <c r="JKS30" s="4"/>
      <c r="JKT30" s="12"/>
      <c r="JKU30" s="13"/>
      <c r="JLA30" s="4"/>
      <c r="JLB30" s="12"/>
      <c r="JLC30" s="13"/>
      <c r="JLI30" s="4"/>
      <c r="JLJ30" s="12"/>
      <c r="JLK30" s="13"/>
      <c r="JLQ30" s="4"/>
      <c r="JLR30" s="12"/>
      <c r="JLS30" s="13"/>
      <c r="JLY30" s="4"/>
      <c r="JLZ30" s="12"/>
      <c r="JMA30" s="13"/>
      <c r="JMG30" s="4"/>
      <c r="JMH30" s="12"/>
      <c r="JMI30" s="13"/>
      <c r="JMO30" s="4"/>
      <c r="JMP30" s="12"/>
      <c r="JMQ30" s="13"/>
      <c r="JMW30" s="4"/>
      <c r="JMX30" s="12"/>
      <c r="JMY30" s="13"/>
      <c r="JNE30" s="4"/>
      <c r="JNF30" s="12"/>
      <c r="JNG30" s="13"/>
      <c r="JNM30" s="4"/>
      <c r="JNN30" s="12"/>
      <c r="JNO30" s="13"/>
      <c r="JNU30" s="4"/>
      <c r="JNV30" s="12"/>
      <c r="JNW30" s="13"/>
      <c r="JOC30" s="4"/>
      <c r="JOD30" s="12"/>
      <c r="JOE30" s="13"/>
      <c r="JOK30" s="4"/>
      <c r="JOL30" s="12"/>
      <c r="JOM30" s="13"/>
      <c r="JOS30" s="4"/>
      <c r="JOT30" s="12"/>
      <c r="JOU30" s="13"/>
      <c r="JPA30" s="4"/>
      <c r="JPB30" s="12"/>
      <c r="JPC30" s="13"/>
      <c r="JPI30" s="4"/>
      <c r="JPJ30" s="12"/>
      <c r="JPK30" s="13"/>
      <c r="JPQ30" s="4"/>
      <c r="JPR30" s="12"/>
      <c r="JPS30" s="13"/>
      <c r="JPY30" s="4"/>
      <c r="JPZ30" s="12"/>
      <c r="JQA30" s="13"/>
      <c r="JQG30" s="4"/>
      <c r="JQH30" s="12"/>
      <c r="JQI30" s="13"/>
      <c r="JQO30" s="4"/>
      <c r="JQP30" s="12"/>
      <c r="JQQ30" s="13"/>
      <c r="JQW30" s="4"/>
      <c r="JQX30" s="12"/>
      <c r="JQY30" s="13"/>
      <c r="JRE30" s="4"/>
      <c r="JRF30" s="12"/>
      <c r="JRG30" s="13"/>
      <c r="JRM30" s="4"/>
      <c r="JRN30" s="12"/>
      <c r="JRO30" s="13"/>
      <c r="JRU30" s="4"/>
      <c r="JRV30" s="12"/>
      <c r="JRW30" s="13"/>
      <c r="JSC30" s="4"/>
      <c r="JSD30" s="12"/>
      <c r="JSE30" s="13"/>
      <c r="JSK30" s="4"/>
      <c r="JSL30" s="12"/>
      <c r="JSM30" s="13"/>
      <c r="JSS30" s="4"/>
      <c r="JST30" s="12"/>
      <c r="JSU30" s="13"/>
      <c r="JTA30" s="4"/>
      <c r="JTB30" s="12"/>
      <c r="JTC30" s="13"/>
      <c r="JTI30" s="4"/>
      <c r="JTJ30" s="12"/>
      <c r="JTK30" s="13"/>
      <c r="JTQ30" s="4"/>
      <c r="JTR30" s="12"/>
      <c r="JTS30" s="13"/>
      <c r="JTY30" s="4"/>
      <c r="JTZ30" s="12"/>
      <c r="JUA30" s="13"/>
      <c r="JUG30" s="4"/>
      <c r="JUH30" s="12"/>
      <c r="JUI30" s="13"/>
      <c r="JUO30" s="4"/>
      <c r="JUP30" s="12"/>
      <c r="JUQ30" s="13"/>
      <c r="JUW30" s="4"/>
      <c r="JUX30" s="12"/>
      <c r="JUY30" s="13"/>
      <c r="JVE30" s="4"/>
      <c r="JVF30" s="12"/>
      <c r="JVG30" s="13"/>
      <c r="JVM30" s="4"/>
      <c r="JVN30" s="12"/>
      <c r="JVO30" s="13"/>
      <c r="JVU30" s="4"/>
      <c r="JVV30" s="12"/>
      <c r="JVW30" s="13"/>
      <c r="JWC30" s="4"/>
      <c r="JWD30" s="12"/>
      <c r="JWE30" s="13"/>
      <c r="JWK30" s="4"/>
      <c r="JWL30" s="12"/>
      <c r="JWM30" s="13"/>
      <c r="JWS30" s="4"/>
      <c r="JWT30" s="12"/>
      <c r="JWU30" s="13"/>
      <c r="JXA30" s="4"/>
      <c r="JXB30" s="12"/>
      <c r="JXC30" s="13"/>
      <c r="JXI30" s="4"/>
      <c r="JXJ30" s="12"/>
      <c r="JXK30" s="13"/>
      <c r="JXQ30" s="4"/>
      <c r="JXR30" s="12"/>
      <c r="JXS30" s="13"/>
      <c r="JXY30" s="4"/>
      <c r="JXZ30" s="12"/>
      <c r="JYA30" s="13"/>
      <c r="JYG30" s="4"/>
      <c r="JYH30" s="12"/>
      <c r="JYI30" s="13"/>
      <c r="JYO30" s="4"/>
      <c r="JYP30" s="12"/>
      <c r="JYQ30" s="13"/>
      <c r="JYW30" s="4"/>
      <c r="JYX30" s="12"/>
      <c r="JYY30" s="13"/>
      <c r="JZE30" s="4"/>
      <c r="JZF30" s="12"/>
      <c r="JZG30" s="13"/>
      <c r="JZM30" s="4"/>
      <c r="JZN30" s="12"/>
      <c r="JZO30" s="13"/>
      <c r="JZU30" s="4"/>
      <c r="JZV30" s="12"/>
      <c r="JZW30" s="13"/>
      <c r="KAC30" s="4"/>
      <c r="KAD30" s="12"/>
      <c r="KAE30" s="13"/>
      <c r="KAK30" s="4"/>
      <c r="KAL30" s="12"/>
      <c r="KAM30" s="13"/>
      <c r="KAS30" s="4"/>
      <c r="KAT30" s="12"/>
      <c r="KAU30" s="13"/>
      <c r="KBA30" s="4"/>
      <c r="KBB30" s="12"/>
      <c r="KBC30" s="13"/>
      <c r="KBI30" s="4"/>
      <c r="KBJ30" s="12"/>
      <c r="KBK30" s="13"/>
      <c r="KBQ30" s="4"/>
      <c r="KBR30" s="12"/>
      <c r="KBS30" s="13"/>
      <c r="KBY30" s="4"/>
      <c r="KBZ30" s="12"/>
      <c r="KCA30" s="13"/>
      <c r="KCG30" s="4"/>
      <c r="KCH30" s="12"/>
      <c r="KCI30" s="13"/>
      <c r="KCO30" s="4"/>
      <c r="KCP30" s="12"/>
      <c r="KCQ30" s="13"/>
      <c r="KCW30" s="4"/>
      <c r="KCX30" s="12"/>
      <c r="KCY30" s="13"/>
      <c r="KDE30" s="4"/>
      <c r="KDF30" s="12"/>
      <c r="KDG30" s="13"/>
      <c r="KDM30" s="4"/>
      <c r="KDN30" s="12"/>
      <c r="KDO30" s="13"/>
      <c r="KDU30" s="4"/>
      <c r="KDV30" s="12"/>
      <c r="KDW30" s="13"/>
      <c r="KEC30" s="4"/>
      <c r="KED30" s="12"/>
      <c r="KEE30" s="13"/>
      <c r="KEK30" s="4"/>
      <c r="KEL30" s="12"/>
      <c r="KEM30" s="13"/>
      <c r="KES30" s="4"/>
      <c r="KET30" s="12"/>
      <c r="KEU30" s="13"/>
      <c r="KFA30" s="4"/>
      <c r="KFB30" s="12"/>
      <c r="KFC30" s="13"/>
      <c r="KFI30" s="4"/>
      <c r="KFJ30" s="12"/>
      <c r="KFK30" s="13"/>
      <c r="KFQ30" s="4"/>
      <c r="KFR30" s="12"/>
      <c r="KFS30" s="13"/>
      <c r="KFY30" s="4"/>
      <c r="KFZ30" s="12"/>
      <c r="KGA30" s="13"/>
      <c r="KGG30" s="4"/>
      <c r="KGH30" s="12"/>
      <c r="KGI30" s="13"/>
      <c r="KGO30" s="4"/>
      <c r="KGP30" s="12"/>
      <c r="KGQ30" s="13"/>
      <c r="KGW30" s="4"/>
      <c r="KGX30" s="12"/>
      <c r="KGY30" s="13"/>
      <c r="KHE30" s="4"/>
      <c r="KHF30" s="12"/>
      <c r="KHG30" s="13"/>
      <c r="KHM30" s="4"/>
      <c r="KHN30" s="12"/>
      <c r="KHO30" s="13"/>
      <c r="KHU30" s="4"/>
      <c r="KHV30" s="12"/>
      <c r="KHW30" s="13"/>
      <c r="KIC30" s="4"/>
      <c r="KID30" s="12"/>
      <c r="KIE30" s="13"/>
      <c r="KIK30" s="4"/>
      <c r="KIL30" s="12"/>
      <c r="KIM30" s="13"/>
      <c r="KIS30" s="4"/>
      <c r="KIT30" s="12"/>
      <c r="KIU30" s="13"/>
      <c r="KJA30" s="4"/>
      <c r="KJB30" s="12"/>
      <c r="KJC30" s="13"/>
      <c r="KJI30" s="4"/>
      <c r="KJJ30" s="12"/>
      <c r="KJK30" s="13"/>
      <c r="KJQ30" s="4"/>
      <c r="KJR30" s="12"/>
      <c r="KJS30" s="13"/>
      <c r="KJY30" s="4"/>
      <c r="KJZ30" s="12"/>
      <c r="KKA30" s="13"/>
      <c r="KKG30" s="4"/>
      <c r="KKH30" s="12"/>
      <c r="KKI30" s="13"/>
      <c r="KKO30" s="4"/>
      <c r="KKP30" s="12"/>
      <c r="KKQ30" s="13"/>
      <c r="KKW30" s="4"/>
      <c r="KKX30" s="12"/>
      <c r="KKY30" s="13"/>
      <c r="KLE30" s="4"/>
      <c r="KLF30" s="12"/>
      <c r="KLG30" s="13"/>
      <c r="KLM30" s="4"/>
      <c r="KLN30" s="12"/>
      <c r="KLO30" s="13"/>
      <c r="KLU30" s="4"/>
      <c r="KLV30" s="12"/>
      <c r="KLW30" s="13"/>
      <c r="KMC30" s="4"/>
      <c r="KMD30" s="12"/>
      <c r="KME30" s="13"/>
      <c r="KMK30" s="4"/>
      <c r="KML30" s="12"/>
      <c r="KMM30" s="13"/>
      <c r="KMS30" s="4"/>
      <c r="KMT30" s="12"/>
      <c r="KMU30" s="13"/>
      <c r="KNA30" s="4"/>
      <c r="KNB30" s="12"/>
      <c r="KNC30" s="13"/>
      <c r="KNI30" s="4"/>
      <c r="KNJ30" s="12"/>
      <c r="KNK30" s="13"/>
      <c r="KNQ30" s="4"/>
      <c r="KNR30" s="12"/>
      <c r="KNS30" s="13"/>
      <c r="KNY30" s="4"/>
      <c r="KNZ30" s="12"/>
      <c r="KOA30" s="13"/>
      <c r="KOG30" s="4"/>
      <c r="KOH30" s="12"/>
      <c r="KOI30" s="13"/>
      <c r="KOO30" s="4"/>
      <c r="KOP30" s="12"/>
      <c r="KOQ30" s="13"/>
      <c r="KOW30" s="4"/>
      <c r="KOX30" s="12"/>
      <c r="KOY30" s="13"/>
      <c r="KPE30" s="4"/>
      <c r="KPF30" s="12"/>
      <c r="KPG30" s="13"/>
      <c r="KPM30" s="4"/>
      <c r="KPN30" s="12"/>
      <c r="KPO30" s="13"/>
      <c r="KPU30" s="4"/>
      <c r="KPV30" s="12"/>
      <c r="KPW30" s="13"/>
      <c r="KQC30" s="4"/>
      <c r="KQD30" s="12"/>
      <c r="KQE30" s="13"/>
      <c r="KQK30" s="4"/>
      <c r="KQL30" s="12"/>
      <c r="KQM30" s="13"/>
      <c r="KQS30" s="4"/>
      <c r="KQT30" s="12"/>
      <c r="KQU30" s="13"/>
      <c r="KRA30" s="4"/>
      <c r="KRB30" s="12"/>
      <c r="KRC30" s="13"/>
      <c r="KRI30" s="4"/>
      <c r="KRJ30" s="12"/>
      <c r="KRK30" s="13"/>
      <c r="KRQ30" s="4"/>
      <c r="KRR30" s="12"/>
      <c r="KRS30" s="13"/>
      <c r="KRY30" s="4"/>
      <c r="KRZ30" s="12"/>
      <c r="KSA30" s="13"/>
      <c r="KSG30" s="4"/>
      <c r="KSH30" s="12"/>
      <c r="KSI30" s="13"/>
      <c r="KSO30" s="4"/>
      <c r="KSP30" s="12"/>
      <c r="KSQ30" s="13"/>
      <c r="KSW30" s="4"/>
      <c r="KSX30" s="12"/>
      <c r="KSY30" s="13"/>
      <c r="KTE30" s="4"/>
      <c r="KTF30" s="12"/>
      <c r="KTG30" s="13"/>
      <c r="KTM30" s="4"/>
      <c r="KTN30" s="12"/>
      <c r="KTO30" s="13"/>
      <c r="KTU30" s="4"/>
      <c r="KTV30" s="12"/>
      <c r="KTW30" s="13"/>
      <c r="KUC30" s="4"/>
      <c r="KUD30" s="12"/>
      <c r="KUE30" s="13"/>
      <c r="KUK30" s="4"/>
      <c r="KUL30" s="12"/>
      <c r="KUM30" s="13"/>
      <c r="KUS30" s="4"/>
      <c r="KUT30" s="12"/>
      <c r="KUU30" s="13"/>
      <c r="KVA30" s="4"/>
      <c r="KVB30" s="12"/>
      <c r="KVC30" s="13"/>
      <c r="KVI30" s="4"/>
      <c r="KVJ30" s="12"/>
      <c r="KVK30" s="13"/>
      <c r="KVQ30" s="4"/>
      <c r="KVR30" s="12"/>
      <c r="KVS30" s="13"/>
      <c r="KVY30" s="4"/>
      <c r="KVZ30" s="12"/>
      <c r="KWA30" s="13"/>
      <c r="KWG30" s="4"/>
      <c r="KWH30" s="12"/>
      <c r="KWI30" s="13"/>
      <c r="KWO30" s="4"/>
      <c r="KWP30" s="12"/>
      <c r="KWQ30" s="13"/>
      <c r="KWW30" s="4"/>
      <c r="KWX30" s="12"/>
      <c r="KWY30" s="13"/>
      <c r="KXE30" s="4"/>
      <c r="KXF30" s="12"/>
      <c r="KXG30" s="13"/>
      <c r="KXM30" s="4"/>
      <c r="KXN30" s="12"/>
      <c r="KXO30" s="13"/>
      <c r="KXU30" s="4"/>
      <c r="KXV30" s="12"/>
      <c r="KXW30" s="13"/>
      <c r="KYC30" s="4"/>
      <c r="KYD30" s="12"/>
      <c r="KYE30" s="13"/>
      <c r="KYK30" s="4"/>
      <c r="KYL30" s="12"/>
      <c r="KYM30" s="13"/>
      <c r="KYS30" s="4"/>
      <c r="KYT30" s="12"/>
      <c r="KYU30" s="13"/>
      <c r="KZA30" s="4"/>
      <c r="KZB30" s="12"/>
      <c r="KZC30" s="13"/>
      <c r="KZI30" s="4"/>
      <c r="KZJ30" s="12"/>
      <c r="KZK30" s="13"/>
      <c r="KZQ30" s="4"/>
      <c r="KZR30" s="12"/>
      <c r="KZS30" s="13"/>
      <c r="KZY30" s="4"/>
      <c r="KZZ30" s="12"/>
      <c r="LAA30" s="13"/>
      <c r="LAG30" s="4"/>
      <c r="LAH30" s="12"/>
      <c r="LAI30" s="13"/>
      <c r="LAO30" s="4"/>
      <c r="LAP30" s="12"/>
      <c r="LAQ30" s="13"/>
      <c r="LAW30" s="4"/>
      <c r="LAX30" s="12"/>
      <c r="LAY30" s="13"/>
      <c r="LBE30" s="4"/>
      <c r="LBF30" s="12"/>
      <c r="LBG30" s="13"/>
      <c r="LBM30" s="4"/>
      <c r="LBN30" s="12"/>
      <c r="LBO30" s="13"/>
      <c r="LBU30" s="4"/>
      <c r="LBV30" s="12"/>
      <c r="LBW30" s="13"/>
      <c r="LCC30" s="4"/>
      <c r="LCD30" s="12"/>
      <c r="LCE30" s="13"/>
      <c r="LCK30" s="4"/>
      <c r="LCL30" s="12"/>
      <c r="LCM30" s="13"/>
      <c r="LCS30" s="4"/>
      <c r="LCT30" s="12"/>
      <c r="LCU30" s="13"/>
      <c r="LDA30" s="4"/>
      <c r="LDB30" s="12"/>
      <c r="LDC30" s="13"/>
      <c r="LDI30" s="4"/>
      <c r="LDJ30" s="12"/>
      <c r="LDK30" s="13"/>
      <c r="LDQ30" s="4"/>
      <c r="LDR30" s="12"/>
      <c r="LDS30" s="13"/>
      <c r="LDY30" s="4"/>
      <c r="LDZ30" s="12"/>
      <c r="LEA30" s="13"/>
      <c r="LEG30" s="4"/>
      <c r="LEH30" s="12"/>
      <c r="LEI30" s="13"/>
      <c r="LEO30" s="4"/>
      <c r="LEP30" s="12"/>
      <c r="LEQ30" s="13"/>
      <c r="LEW30" s="4"/>
      <c r="LEX30" s="12"/>
      <c r="LEY30" s="13"/>
      <c r="LFE30" s="4"/>
      <c r="LFF30" s="12"/>
      <c r="LFG30" s="13"/>
      <c r="LFM30" s="4"/>
      <c r="LFN30" s="12"/>
      <c r="LFO30" s="13"/>
      <c r="LFU30" s="4"/>
      <c r="LFV30" s="12"/>
      <c r="LFW30" s="13"/>
      <c r="LGC30" s="4"/>
      <c r="LGD30" s="12"/>
      <c r="LGE30" s="13"/>
      <c r="LGK30" s="4"/>
      <c r="LGL30" s="12"/>
      <c r="LGM30" s="13"/>
      <c r="LGS30" s="4"/>
      <c r="LGT30" s="12"/>
      <c r="LGU30" s="13"/>
      <c r="LHA30" s="4"/>
      <c r="LHB30" s="12"/>
      <c r="LHC30" s="13"/>
      <c r="LHI30" s="4"/>
      <c r="LHJ30" s="12"/>
      <c r="LHK30" s="13"/>
      <c r="LHQ30" s="4"/>
      <c r="LHR30" s="12"/>
      <c r="LHS30" s="13"/>
      <c r="LHY30" s="4"/>
      <c r="LHZ30" s="12"/>
      <c r="LIA30" s="13"/>
      <c r="LIG30" s="4"/>
      <c r="LIH30" s="12"/>
      <c r="LII30" s="13"/>
      <c r="LIO30" s="4"/>
      <c r="LIP30" s="12"/>
      <c r="LIQ30" s="13"/>
      <c r="LIW30" s="4"/>
      <c r="LIX30" s="12"/>
      <c r="LIY30" s="13"/>
      <c r="LJE30" s="4"/>
      <c r="LJF30" s="12"/>
      <c r="LJG30" s="13"/>
      <c r="LJM30" s="4"/>
      <c r="LJN30" s="12"/>
      <c r="LJO30" s="13"/>
      <c r="LJU30" s="4"/>
      <c r="LJV30" s="12"/>
      <c r="LJW30" s="13"/>
      <c r="LKC30" s="4"/>
      <c r="LKD30" s="12"/>
      <c r="LKE30" s="13"/>
      <c r="LKK30" s="4"/>
      <c r="LKL30" s="12"/>
      <c r="LKM30" s="13"/>
      <c r="LKS30" s="4"/>
      <c r="LKT30" s="12"/>
      <c r="LKU30" s="13"/>
      <c r="LLA30" s="4"/>
      <c r="LLB30" s="12"/>
      <c r="LLC30" s="13"/>
      <c r="LLI30" s="4"/>
      <c r="LLJ30" s="12"/>
      <c r="LLK30" s="13"/>
      <c r="LLQ30" s="4"/>
      <c r="LLR30" s="12"/>
      <c r="LLS30" s="13"/>
      <c r="LLY30" s="4"/>
      <c r="LLZ30" s="12"/>
      <c r="LMA30" s="13"/>
      <c r="LMG30" s="4"/>
      <c r="LMH30" s="12"/>
      <c r="LMI30" s="13"/>
      <c r="LMO30" s="4"/>
      <c r="LMP30" s="12"/>
      <c r="LMQ30" s="13"/>
      <c r="LMW30" s="4"/>
      <c r="LMX30" s="12"/>
      <c r="LMY30" s="13"/>
      <c r="LNE30" s="4"/>
      <c r="LNF30" s="12"/>
      <c r="LNG30" s="13"/>
      <c r="LNM30" s="4"/>
      <c r="LNN30" s="12"/>
      <c r="LNO30" s="13"/>
      <c r="LNU30" s="4"/>
      <c r="LNV30" s="12"/>
      <c r="LNW30" s="13"/>
      <c r="LOC30" s="4"/>
      <c r="LOD30" s="12"/>
      <c r="LOE30" s="13"/>
      <c r="LOK30" s="4"/>
      <c r="LOL30" s="12"/>
      <c r="LOM30" s="13"/>
      <c r="LOS30" s="4"/>
      <c r="LOT30" s="12"/>
      <c r="LOU30" s="13"/>
      <c r="LPA30" s="4"/>
      <c r="LPB30" s="12"/>
      <c r="LPC30" s="13"/>
      <c r="LPI30" s="4"/>
      <c r="LPJ30" s="12"/>
      <c r="LPK30" s="13"/>
      <c r="LPQ30" s="4"/>
      <c r="LPR30" s="12"/>
      <c r="LPS30" s="13"/>
      <c r="LPY30" s="4"/>
      <c r="LPZ30" s="12"/>
      <c r="LQA30" s="13"/>
      <c r="LQG30" s="4"/>
      <c r="LQH30" s="12"/>
      <c r="LQI30" s="13"/>
      <c r="LQO30" s="4"/>
      <c r="LQP30" s="12"/>
      <c r="LQQ30" s="13"/>
      <c r="LQW30" s="4"/>
      <c r="LQX30" s="12"/>
      <c r="LQY30" s="13"/>
      <c r="LRE30" s="4"/>
      <c r="LRF30" s="12"/>
      <c r="LRG30" s="13"/>
      <c r="LRM30" s="4"/>
      <c r="LRN30" s="12"/>
      <c r="LRO30" s="13"/>
      <c r="LRU30" s="4"/>
      <c r="LRV30" s="12"/>
      <c r="LRW30" s="13"/>
      <c r="LSC30" s="4"/>
      <c r="LSD30" s="12"/>
      <c r="LSE30" s="13"/>
      <c r="LSK30" s="4"/>
      <c r="LSL30" s="12"/>
      <c r="LSM30" s="13"/>
      <c r="LSS30" s="4"/>
      <c r="LST30" s="12"/>
      <c r="LSU30" s="13"/>
      <c r="LTA30" s="4"/>
      <c r="LTB30" s="12"/>
      <c r="LTC30" s="13"/>
      <c r="LTI30" s="4"/>
      <c r="LTJ30" s="12"/>
      <c r="LTK30" s="13"/>
      <c r="LTQ30" s="4"/>
      <c r="LTR30" s="12"/>
      <c r="LTS30" s="13"/>
      <c r="LTY30" s="4"/>
      <c r="LTZ30" s="12"/>
      <c r="LUA30" s="13"/>
      <c r="LUG30" s="4"/>
      <c r="LUH30" s="12"/>
      <c r="LUI30" s="13"/>
      <c r="LUO30" s="4"/>
      <c r="LUP30" s="12"/>
      <c r="LUQ30" s="13"/>
      <c r="LUW30" s="4"/>
      <c r="LUX30" s="12"/>
      <c r="LUY30" s="13"/>
      <c r="LVE30" s="4"/>
      <c r="LVF30" s="12"/>
      <c r="LVG30" s="13"/>
      <c r="LVM30" s="4"/>
      <c r="LVN30" s="12"/>
      <c r="LVO30" s="13"/>
      <c r="LVU30" s="4"/>
      <c r="LVV30" s="12"/>
      <c r="LVW30" s="13"/>
      <c r="LWC30" s="4"/>
      <c r="LWD30" s="12"/>
      <c r="LWE30" s="13"/>
      <c r="LWK30" s="4"/>
      <c r="LWL30" s="12"/>
      <c r="LWM30" s="13"/>
      <c r="LWS30" s="4"/>
      <c r="LWT30" s="12"/>
      <c r="LWU30" s="13"/>
      <c r="LXA30" s="4"/>
      <c r="LXB30" s="12"/>
      <c r="LXC30" s="13"/>
      <c r="LXI30" s="4"/>
      <c r="LXJ30" s="12"/>
      <c r="LXK30" s="13"/>
      <c r="LXQ30" s="4"/>
      <c r="LXR30" s="12"/>
      <c r="LXS30" s="13"/>
      <c r="LXY30" s="4"/>
      <c r="LXZ30" s="12"/>
      <c r="LYA30" s="13"/>
      <c r="LYG30" s="4"/>
      <c r="LYH30" s="12"/>
      <c r="LYI30" s="13"/>
      <c r="LYO30" s="4"/>
      <c r="LYP30" s="12"/>
      <c r="LYQ30" s="13"/>
      <c r="LYW30" s="4"/>
      <c r="LYX30" s="12"/>
      <c r="LYY30" s="13"/>
      <c r="LZE30" s="4"/>
      <c r="LZF30" s="12"/>
      <c r="LZG30" s="13"/>
      <c r="LZM30" s="4"/>
      <c r="LZN30" s="12"/>
      <c r="LZO30" s="13"/>
      <c r="LZU30" s="4"/>
      <c r="LZV30" s="12"/>
      <c r="LZW30" s="13"/>
      <c r="MAC30" s="4"/>
      <c r="MAD30" s="12"/>
      <c r="MAE30" s="13"/>
      <c r="MAK30" s="4"/>
      <c r="MAL30" s="12"/>
      <c r="MAM30" s="13"/>
      <c r="MAS30" s="4"/>
      <c r="MAT30" s="12"/>
      <c r="MAU30" s="13"/>
      <c r="MBA30" s="4"/>
      <c r="MBB30" s="12"/>
      <c r="MBC30" s="13"/>
      <c r="MBI30" s="4"/>
      <c r="MBJ30" s="12"/>
      <c r="MBK30" s="13"/>
      <c r="MBQ30" s="4"/>
      <c r="MBR30" s="12"/>
      <c r="MBS30" s="13"/>
      <c r="MBY30" s="4"/>
      <c r="MBZ30" s="12"/>
      <c r="MCA30" s="13"/>
      <c r="MCG30" s="4"/>
      <c r="MCH30" s="12"/>
      <c r="MCI30" s="13"/>
      <c r="MCO30" s="4"/>
      <c r="MCP30" s="12"/>
      <c r="MCQ30" s="13"/>
      <c r="MCW30" s="4"/>
      <c r="MCX30" s="12"/>
      <c r="MCY30" s="13"/>
      <c r="MDE30" s="4"/>
      <c r="MDF30" s="12"/>
      <c r="MDG30" s="13"/>
      <c r="MDM30" s="4"/>
      <c r="MDN30" s="12"/>
      <c r="MDO30" s="13"/>
      <c r="MDU30" s="4"/>
      <c r="MDV30" s="12"/>
      <c r="MDW30" s="13"/>
      <c r="MEC30" s="4"/>
      <c r="MED30" s="12"/>
      <c r="MEE30" s="13"/>
      <c r="MEK30" s="4"/>
      <c r="MEL30" s="12"/>
      <c r="MEM30" s="13"/>
      <c r="MES30" s="4"/>
      <c r="MET30" s="12"/>
      <c r="MEU30" s="13"/>
      <c r="MFA30" s="4"/>
      <c r="MFB30" s="12"/>
      <c r="MFC30" s="13"/>
      <c r="MFI30" s="4"/>
      <c r="MFJ30" s="12"/>
      <c r="MFK30" s="13"/>
      <c r="MFQ30" s="4"/>
      <c r="MFR30" s="12"/>
      <c r="MFS30" s="13"/>
      <c r="MFY30" s="4"/>
      <c r="MFZ30" s="12"/>
      <c r="MGA30" s="13"/>
      <c r="MGG30" s="4"/>
      <c r="MGH30" s="12"/>
      <c r="MGI30" s="13"/>
      <c r="MGO30" s="4"/>
      <c r="MGP30" s="12"/>
      <c r="MGQ30" s="13"/>
      <c r="MGW30" s="4"/>
      <c r="MGX30" s="12"/>
      <c r="MGY30" s="13"/>
      <c r="MHE30" s="4"/>
      <c r="MHF30" s="12"/>
      <c r="MHG30" s="13"/>
      <c r="MHM30" s="4"/>
      <c r="MHN30" s="12"/>
      <c r="MHO30" s="13"/>
      <c r="MHU30" s="4"/>
      <c r="MHV30" s="12"/>
      <c r="MHW30" s="13"/>
      <c r="MIC30" s="4"/>
      <c r="MID30" s="12"/>
      <c r="MIE30" s="13"/>
      <c r="MIK30" s="4"/>
      <c r="MIL30" s="12"/>
      <c r="MIM30" s="13"/>
      <c r="MIS30" s="4"/>
      <c r="MIT30" s="12"/>
      <c r="MIU30" s="13"/>
      <c r="MJA30" s="4"/>
      <c r="MJB30" s="12"/>
      <c r="MJC30" s="13"/>
      <c r="MJI30" s="4"/>
      <c r="MJJ30" s="12"/>
      <c r="MJK30" s="13"/>
      <c r="MJQ30" s="4"/>
      <c r="MJR30" s="12"/>
      <c r="MJS30" s="13"/>
      <c r="MJY30" s="4"/>
      <c r="MJZ30" s="12"/>
      <c r="MKA30" s="13"/>
      <c r="MKG30" s="4"/>
      <c r="MKH30" s="12"/>
      <c r="MKI30" s="13"/>
      <c r="MKO30" s="4"/>
      <c r="MKP30" s="12"/>
      <c r="MKQ30" s="13"/>
      <c r="MKW30" s="4"/>
      <c r="MKX30" s="12"/>
      <c r="MKY30" s="13"/>
      <c r="MLE30" s="4"/>
      <c r="MLF30" s="12"/>
      <c r="MLG30" s="13"/>
      <c r="MLM30" s="4"/>
      <c r="MLN30" s="12"/>
      <c r="MLO30" s="13"/>
      <c r="MLU30" s="4"/>
      <c r="MLV30" s="12"/>
      <c r="MLW30" s="13"/>
      <c r="MMC30" s="4"/>
      <c r="MMD30" s="12"/>
      <c r="MME30" s="13"/>
      <c r="MMK30" s="4"/>
      <c r="MML30" s="12"/>
      <c r="MMM30" s="13"/>
      <c r="MMS30" s="4"/>
      <c r="MMT30" s="12"/>
      <c r="MMU30" s="13"/>
      <c r="MNA30" s="4"/>
      <c r="MNB30" s="12"/>
      <c r="MNC30" s="13"/>
      <c r="MNI30" s="4"/>
      <c r="MNJ30" s="12"/>
      <c r="MNK30" s="13"/>
      <c r="MNQ30" s="4"/>
      <c r="MNR30" s="12"/>
      <c r="MNS30" s="13"/>
      <c r="MNY30" s="4"/>
      <c r="MNZ30" s="12"/>
      <c r="MOA30" s="13"/>
      <c r="MOG30" s="4"/>
      <c r="MOH30" s="12"/>
      <c r="MOI30" s="13"/>
      <c r="MOO30" s="4"/>
      <c r="MOP30" s="12"/>
      <c r="MOQ30" s="13"/>
      <c r="MOW30" s="4"/>
      <c r="MOX30" s="12"/>
      <c r="MOY30" s="13"/>
      <c r="MPE30" s="4"/>
      <c r="MPF30" s="12"/>
      <c r="MPG30" s="13"/>
      <c r="MPM30" s="4"/>
      <c r="MPN30" s="12"/>
      <c r="MPO30" s="13"/>
      <c r="MPU30" s="4"/>
      <c r="MPV30" s="12"/>
      <c r="MPW30" s="13"/>
      <c r="MQC30" s="4"/>
      <c r="MQD30" s="12"/>
      <c r="MQE30" s="13"/>
      <c r="MQK30" s="4"/>
      <c r="MQL30" s="12"/>
      <c r="MQM30" s="13"/>
      <c r="MQS30" s="4"/>
      <c r="MQT30" s="12"/>
      <c r="MQU30" s="13"/>
      <c r="MRA30" s="4"/>
      <c r="MRB30" s="12"/>
      <c r="MRC30" s="13"/>
      <c r="MRI30" s="4"/>
      <c r="MRJ30" s="12"/>
      <c r="MRK30" s="13"/>
      <c r="MRQ30" s="4"/>
      <c r="MRR30" s="12"/>
      <c r="MRS30" s="13"/>
      <c r="MRY30" s="4"/>
      <c r="MRZ30" s="12"/>
      <c r="MSA30" s="13"/>
      <c r="MSG30" s="4"/>
      <c r="MSH30" s="12"/>
      <c r="MSI30" s="13"/>
      <c r="MSO30" s="4"/>
      <c r="MSP30" s="12"/>
      <c r="MSQ30" s="13"/>
      <c r="MSW30" s="4"/>
      <c r="MSX30" s="12"/>
      <c r="MSY30" s="13"/>
      <c r="MTE30" s="4"/>
      <c r="MTF30" s="12"/>
      <c r="MTG30" s="13"/>
      <c r="MTM30" s="4"/>
      <c r="MTN30" s="12"/>
      <c r="MTO30" s="13"/>
      <c r="MTU30" s="4"/>
      <c r="MTV30" s="12"/>
      <c r="MTW30" s="13"/>
      <c r="MUC30" s="4"/>
      <c r="MUD30" s="12"/>
      <c r="MUE30" s="13"/>
      <c r="MUK30" s="4"/>
      <c r="MUL30" s="12"/>
      <c r="MUM30" s="13"/>
      <c r="MUS30" s="4"/>
      <c r="MUT30" s="12"/>
      <c r="MUU30" s="13"/>
      <c r="MVA30" s="4"/>
      <c r="MVB30" s="12"/>
      <c r="MVC30" s="13"/>
      <c r="MVI30" s="4"/>
      <c r="MVJ30" s="12"/>
      <c r="MVK30" s="13"/>
      <c r="MVQ30" s="4"/>
      <c r="MVR30" s="12"/>
      <c r="MVS30" s="13"/>
      <c r="MVY30" s="4"/>
      <c r="MVZ30" s="12"/>
      <c r="MWA30" s="13"/>
      <c r="MWG30" s="4"/>
      <c r="MWH30" s="12"/>
      <c r="MWI30" s="13"/>
      <c r="MWO30" s="4"/>
      <c r="MWP30" s="12"/>
      <c r="MWQ30" s="13"/>
      <c r="MWW30" s="4"/>
      <c r="MWX30" s="12"/>
      <c r="MWY30" s="13"/>
      <c r="MXE30" s="4"/>
      <c r="MXF30" s="12"/>
      <c r="MXG30" s="13"/>
      <c r="MXM30" s="4"/>
      <c r="MXN30" s="12"/>
      <c r="MXO30" s="13"/>
      <c r="MXU30" s="4"/>
      <c r="MXV30" s="12"/>
      <c r="MXW30" s="13"/>
      <c r="MYC30" s="4"/>
      <c r="MYD30" s="12"/>
      <c r="MYE30" s="13"/>
      <c r="MYK30" s="4"/>
      <c r="MYL30" s="12"/>
      <c r="MYM30" s="13"/>
      <c r="MYS30" s="4"/>
      <c r="MYT30" s="12"/>
      <c r="MYU30" s="13"/>
      <c r="MZA30" s="4"/>
      <c r="MZB30" s="12"/>
      <c r="MZC30" s="13"/>
      <c r="MZI30" s="4"/>
      <c r="MZJ30" s="12"/>
      <c r="MZK30" s="13"/>
      <c r="MZQ30" s="4"/>
      <c r="MZR30" s="12"/>
      <c r="MZS30" s="13"/>
      <c r="MZY30" s="4"/>
      <c r="MZZ30" s="12"/>
      <c r="NAA30" s="13"/>
      <c r="NAG30" s="4"/>
      <c r="NAH30" s="12"/>
      <c r="NAI30" s="13"/>
      <c r="NAO30" s="4"/>
      <c r="NAP30" s="12"/>
      <c r="NAQ30" s="13"/>
      <c r="NAW30" s="4"/>
      <c r="NAX30" s="12"/>
      <c r="NAY30" s="13"/>
      <c r="NBE30" s="4"/>
      <c r="NBF30" s="12"/>
      <c r="NBG30" s="13"/>
      <c r="NBM30" s="4"/>
      <c r="NBN30" s="12"/>
      <c r="NBO30" s="13"/>
      <c r="NBU30" s="4"/>
      <c r="NBV30" s="12"/>
      <c r="NBW30" s="13"/>
      <c r="NCC30" s="4"/>
      <c r="NCD30" s="12"/>
      <c r="NCE30" s="13"/>
      <c r="NCK30" s="4"/>
      <c r="NCL30" s="12"/>
      <c r="NCM30" s="13"/>
      <c r="NCS30" s="4"/>
      <c r="NCT30" s="12"/>
      <c r="NCU30" s="13"/>
      <c r="NDA30" s="4"/>
      <c r="NDB30" s="12"/>
      <c r="NDC30" s="13"/>
      <c r="NDI30" s="4"/>
      <c r="NDJ30" s="12"/>
      <c r="NDK30" s="13"/>
      <c r="NDQ30" s="4"/>
      <c r="NDR30" s="12"/>
      <c r="NDS30" s="13"/>
      <c r="NDY30" s="4"/>
      <c r="NDZ30" s="12"/>
      <c r="NEA30" s="13"/>
      <c r="NEG30" s="4"/>
      <c r="NEH30" s="12"/>
      <c r="NEI30" s="13"/>
      <c r="NEO30" s="4"/>
      <c r="NEP30" s="12"/>
      <c r="NEQ30" s="13"/>
      <c r="NEW30" s="4"/>
      <c r="NEX30" s="12"/>
      <c r="NEY30" s="13"/>
      <c r="NFE30" s="4"/>
      <c r="NFF30" s="12"/>
      <c r="NFG30" s="13"/>
      <c r="NFM30" s="4"/>
      <c r="NFN30" s="12"/>
      <c r="NFO30" s="13"/>
      <c r="NFU30" s="4"/>
      <c r="NFV30" s="12"/>
      <c r="NFW30" s="13"/>
      <c r="NGC30" s="4"/>
      <c r="NGD30" s="12"/>
      <c r="NGE30" s="13"/>
      <c r="NGK30" s="4"/>
      <c r="NGL30" s="12"/>
      <c r="NGM30" s="13"/>
      <c r="NGS30" s="4"/>
      <c r="NGT30" s="12"/>
      <c r="NGU30" s="13"/>
      <c r="NHA30" s="4"/>
      <c r="NHB30" s="12"/>
      <c r="NHC30" s="13"/>
      <c r="NHI30" s="4"/>
      <c r="NHJ30" s="12"/>
      <c r="NHK30" s="13"/>
      <c r="NHQ30" s="4"/>
      <c r="NHR30" s="12"/>
      <c r="NHS30" s="13"/>
      <c r="NHY30" s="4"/>
      <c r="NHZ30" s="12"/>
      <c r="NIA30" s="13"/>
      <c r="NIG30" s="4"/>
      <c r="NIH30" s="12"/>
      <c r="NII30" s="13"/>
      <c r="NIO30" s="4"/>
      <c r="NIP30" s="12"/>
      <c r="NIQ30" s="13"/>
      <c r="NIW30" s="4"/>
      <c r="NIX30" s="12"/>
      <c r="NIY30" s="13"/>
      <c r="NJE30" s="4"/>
      <c r="NJF30" s="12"/>
      <c r="NJG30" s="13"/>
      <c r="NJM30" s="4"/>
      <c r="NJN30" s="12"/>
      <c r="NJO30" s="13"/>
      <c r="NJU30" s="4"/>
      <c r="NJV30" s="12"/>
      <c r="NJW30" s="13"/>
      <c r="NKC30" s="4"/>
      <c r="NKD30" s="12"/>
      <c r="NKE30" s="13"/>
      <c r="NKK30" s="4"/>
      <c r="NKL30" s="12"/>
      <c r="NKM30" s="13"/>
      <c r="NKS30" s="4"/>
      <c r="NKT30" s="12"/>
      <c r="NKU30" s="13"/>
      <c r="NLA30" s="4"/>
      <c r="NLB30" s="12"/>
      <c r="NLC30" s="13"/>
      <c r="NLI30" s="4"/>
      <c r="NLJ30" s="12"/>
      <c r="NLK30" s="13"/>
      <c r="NLQ30" s="4"/>
      <c r="NLR30" s="12"/>
      <c r="NLS30" s="13"/>
      <c r="NLY30" s="4"/>
      <c r="NLZ30" s="12"/>
      <c r="NMA30" s="13"/>
      <c r="NMG30" s="4"/>
      <c r="NMH30" s="12"/>
      <c r="NMI30" s="13"/>
      <c r="NMO30" s="4"/>
      <c r="NMP30" s="12"/>
      <c r="NMQ30" s="13"/>
      <c r="NMW30" s="4"/>
      <c r="NMX30" s="12"/>
      <c r="NMY30" s="13"/>
      <c r="NNE30" s="4"/>
      <c r="NNF30" s="12"/>
      <c r="NNG30" s="13"/>
      <c r="NNM30" s="4"/>
      <c r="NNN30" s="12"/>
      <c r="NNO30" s="13"/>
      <c r="NNU30" s="4"/>
      <c r="NNV30" s="12"/>
      <c r="NNW30" s="13"/>
      <c r="NOC30" s="4"/>
      <c r="NOD30" s="12"/>
      <c r="NOE30" s="13"/>
      <c r="NOK30" s="4"/>
      <c r="NOL30" s="12"/>
      <c r="NOM30" s="13"/>
      <c r="NOS30" s="4"/>
      <c r="NOT30" s="12"/>
      <c r="NOU30" s="13"/>
      <c r="NPA30" s="4"/>
      <c r="NPB30" s="12"/>
      <c r="NPC30" s="13"/>
      <c r="NPI30" s="4"/>
      <c r="NPJ30" s="12"/>
      <c r="NPK30" s="13"/>
      <c r="NPQ30" s="4"/>
      <c r="NPR30" s="12"/>
      <c r="NPS30" s="13"/>
      <c r="NPY30" s="4"/>
      <c r="NPZ30" s="12"/>
      <c r="NQA30" s="13"/>
      <c r="NQG30" s="4"/>
      <c r="NQH30" s="12"/>
      <c r="NQI30" s="13"/>
      <c r="NQO30" s="4"/>
      <c r="NQP30" s="12"/>
      <c r="NQQ30" s="13"/>
      <c r="NQW30" s="4"/>
      <c r="NQX30" s="12"/>
      <c r="NQY30" s="13"/>
      <c r="NRE30" s="4"/>
      <c r="NRF30" s="12"/>
      <c r="NRG30" s="13"/>
      <c r="NRM30" s="4"/>
      <c r="NRN30" s="12"/>
      <c r="NRO30" s="13"/>
      <c r="NRU30" s="4"/>
      <c r="NRV30" s="12"/>
      <c r="NRW30" s="13"/>
      <c r="NSC30" s="4"/>
      <c r="NSD30" s="12"/>
      <c r="NSE30" s="13"/>
      <c r="NSK30" s="4"/>
      <c r="NSL30" s="12"/>
      <c r="NSM30" s="13"/>
      <c r="NSS30" s="4"/>
      <c r="NST30" s="12"/>
      <c r="NSU30" s="13"/>
      <c r="NTA30" s="4"/>
      <c r="NTB30" s="12"/>
      <c r="NTC30" s="13"/>
      <c r="NTI30" s="4"/>
      <c r="NTJ30" s="12"/>
      <c r="NTK30" s="13"/>
      <c r="NTQ30" s="4"/>
      <c r="NTR30" s="12"/>
      <c r="NTS30" s="13"/>
      <c r="NTY30" s="4"/>
      <c r="NTZ30" s="12"/>
      <c r="NUA30" s="13"/>
      <c r="NUG30" s="4"/>
      <c r="NUH30" s="12"/>
      <c r="NUI30" s="13"/>
      <c r="NUO30" s="4"/>
      <c r="NUP30" s="12"/>
      <c r="NUQ30" s="13"/>
      <c r="NUW30" s="4"/>
      <c r="NUX30" s="12"/>
      <c r="NUY30" s="13"/>
      <c r="NVE30" s="4"/>
      <c r="NVF30" s="12"/>
      <c r="NVG30" s="13"/>
      <c r="NVM30" s="4"/>
      <c r="NVN30" s="12"/>
      <c r="NVO30" s="13"/>
      <c r="NVU30" s="4"/>
      <c r="NVV30" s="12"/>
      <c r="NVW30" s="13"/>
      <c r="NWC30" s="4"/>
      <c r="NWD30" s="12"/>
      <c r="NWE30" s="13"/>
      <c r="NWK30" s="4"/>
      <c r="NWL30" s="12"/>
      <c r="NWM30" s="13"/>
      <c r="NWS30" s="4"/>
      <c r="NWT30" s="12"/>
      <c r="NWU30" s="13"/>
      <c r="NXA30" s="4"/>
      <c r="NXB30" s="12"/>
      <c r="NXC30" s="13"/>
      <c r="NXI30" s="4"/>
      <c r="NXJ30" s="12"/>
      <c r="NXK30" s="13"/>
      <c r="NXQ30" s="4"/>
      <c r="NXR30" s="12"/>
      <c r="NXS30" s="13"/>
      <c r="NXY30" s="4"/>
      <c r="NXZ30" s="12"/>
      <c r="NYA30" s="13"/>
      <c r="NYG30" s="4"/>
      <c r="NYH30" s="12"/>
      <c r="NYI30" s="13"/>
      <c r="NYO30" s="4"/>
      <c r="NYP30" s="12"/>
      <c r="NYQ30" s="13"/>
      <c r="NYW30" s="4"/>
      <c r="NYX30" s="12"/>
      <c r="NYY30" s="13"/>
      <c r="NZE30" s="4"/>
      <c r="NZF30" s="12"/>
      <c r="NZG30" s="13"/>
      <c r="NZM30" s="4"/>
      <c r="NZN30" s="12"/>
      <c r="NZO30" s="13"/>
      <c r="NZU30" s="4"/>
      <c r="NZV30" s="12"/>
      <c r="NZW30" s="13"/>
      <c r="OAC30" s="4"/>
      <c r="OAD30" s="12"/>
      <c r="OAE30" s="13"/>
      <c r="OAK30" s="4"/>
      <c r="OAL30" s="12"/>
      <c r="OAM30" s="13"/>
      <c r="OAS30" s="4"/>
      <c r="OAT30" s="12"/>
      <c r="OAU30" s="13"/>
      <c r="OBA30" s="4"/>
      <c r="OBB30" s="12"/>
      <c r="OBC30" s="13"/>
      <c r="OBI30" s="4"/>
      <c r="OBJ30" s="12"/>
      <c r="OBK30" s="13"/>
      <c r="OBQ30" s="4"/>
      <c r="OBR30" s="12"/>
      <c r="OBS30" s="13"/>
      <c r="OBY30" s="4"/>
      <c r="OBZ30" s="12"/>
      <c r="OCA30" s="13"/>
      <c r="OCG30" s="4"/>
      <c r="OCH30" s="12"/>
      <c r="OCI30" s="13"/>
      <c r="OCO30" s="4"/>
      <c r="OCP30" s="12"/>
      <c r="OCQ30" s="13"/>
      <c r="OCW30" s="4"/>
      <c r="OCX30" s="12"/>
      <c r="OCY30" s="13"/>
      <c r="ODE30" s="4"/>
      <c r="ODF30" s="12"/>
      <c r="ODG30" s="13"/>
      <c r="ODM30" s="4"/>
      <c r="ODN30" s="12"/>
      <c r="ODO30" s="13"/>
      <c r="ODU30" s="4"/>
      <c r="ODV30" s="12"/>
      <c r="ODW30" s="13"/>
      <c r="OEC30" s="4"/>
      <c r="OED30" s="12"/>
      <c r="OEE30" s="13"/>
      <c r="OEK30" s="4"/>
      <c r="OEL30" s="12"/>
      <c r="OEM30" s="13"/>
      <c r="OES30" s="4"/>
      <c r="OET30" s="12"/>
      <c r="OEU30" s="13"/>
      <c r="OFA30" s="4"/>
      <c r="OFB30" s="12"/>
      <c r="OFC30" s="13"/>
      <c r="OFI30" s="4"/>
      <c r="OFJ30" s="12"/>
      <c r="OFK30" s="13"/>
      <c r="OFQ30" s="4"/>
      <c r="OFR30" s="12"/>
      <c r="OFS30" s="13"/>
      <c r="OFY30" s="4"/>
      <c r="OFZ30" s="12"/>
      <c r="OGA30" s="13"/>
      <c r="OGG30" s="4"/>
      <c r="OGH30" s="12"/>
      <c r="OGI30" s="13"/>
      <c r="OGO30" s="4"/>
      <c r="OGP30" s="12"/>
      <c r="OGQ30" s="13"/>
      <c r="OGW30" s="4"/>
      <c r="OGX30" s="12"/>
      <c r="OGY30" s="13"/>
      <c r="OHE30" s="4"/>
      <c r="OHF30" s="12"/>
      <c r="OHG30" s="13"/>
      <c r="OHM30" s="4"/>
      <c r="OHN30" s="12"/>
      <c r="OHO30" s="13"/>
      <c r="OHU30" s="4"/>
      <c r="OHV30" s="12"/>
      <c r="OHW30" s="13"/>
      <c r="OIC30" s="4"/>
      <c r="OID30" s="12"/>
      <c r="OIE30" s="13"/>
      <c r="OIK30" s="4"/>
      <c r="OIL30" s="12"/>
      <c r="OIM30" s="13"/>
      <c r="OIS30" s="4"/>
      <c r="OIT30" s="12"/>
      <c r="OIU30" s="13"/>
      <c r="OJA30" s="4"/>
      <c r="OJB30" s="12"/>
      <c r="OJC30" s="13"/>
      <c r="OJI30" s="4"/>
      <c r="OJJ30" s="12"/>
      <c r="OJK30" s="13"/>
      <c r="OJQ30" s="4"/>
      <c r="OJR30" s="12"/>
      <c r="OJS30" s="13"/>
      <c r="OJY30" s="4"/>
      <c r="OJZ30" s="12"/>
      <c r="OKA30" s="13"/>
      <c r="OKG30" s="4"/>
      <c r="OKH30" s="12"/>
      <c r="OKI30" s="13"/>
      <c r="OKO30" s="4"/>
      <c r="OKP30" s="12"/>
      <c r="OKQ30" s="13"/>
      <c r="OKW30" s="4"/>
      <c r="OKX30" s="12"/>
      <c r="OKY30" s="13"/>
      <c r="OLE30" s="4"/>
      <c r="OLF30" s="12"/>
      <c r="OLG30" s="13"/>
      <c r="OLM30" s="4"/>
      <c r="OLN30" s="12"/>
      <c r="OLO30" s="13"/>
      <c r="OLU30" s="4"/>
      <c r="OLV30" s="12"/>
      <c r="OLW30" s="13"/>
      <c r="OMC30" s="4"/>
      <c r="OMD30" s="12"/>
      <c r="OME30" s="13"/>
      <c r="OMK30" s="4"/>
      <c r="OML30" s="12"/>
      <c r="OMM30" s="13"/>
      <c r="OMS30" s="4"/>
      <c r="OMT30" s="12"/>
      <c r="OMU30" s="13"/>
      <c r="ONA30" s="4"/>
      <c r="ONB30" s="12"/>
      <c r="ONC30" s="13"/>
      <c r="ONI30" s="4"/>
      <c r="ONJ30" s="12"/>
      <c r="ONK30" s="13"/>
      <c r="ONQ30" s="4"/>
      <c r="ONR30" s="12"/>
      <c r="ONS30" s="13"/>
      <c r="ONY30" s="4"/>
      <c r="ONZ30" s="12"/>
      <c r="OOA30" s="13"/>
      <c r="OOG30" s="4"/>
      <c r="OOH30" s="12"/>
      <c r="OOI30" s="13"/>
      <c r="OOO30" s="4"/>
      <c r="OOP30" s="12"/>
      <c r="OOQ30" s="13"/>
      <c r="OOW30" s="4"/>
      <c r="OOX30" s="12"/>
      <c r="OOY30" s="13"/>
      <c r="OPE30" s="4"/>
      <c r="OPF30" s="12"/>
      <c r="OPG30" s="13"/>
      <c r="OPM30" s="4"/>
      <c r="OPN30" s="12"/>
      <c r="OPO30" s="13"/>
      <c r="OPU30" s="4"/>
      <c r="OPV30" s="12"/>
      <c r="OPW30" s="13"/>
      <c r="OQC30" s="4"/>
      <c r="OQD30" s="12"/>
      <c r="OQE30" s="13"/>
      <c r="OQK30" s="4"/>
      <c r="OQL30" s="12"/>
      <c r="OQM30" s="13"/>
      <c r="OQS30" s="4"/>
      <c r="OQT30" s="12"/>
      <c r="OQU30" s="13"/>
      <c r="ORA30" s="4"/>
      <c r="ORB30" s="12"/>
      <c r="ORC30" s="13"/>
      <c r="ORI30" s="4"/>
      <c r="ORJ30" s="12"/>
      <c r="ORK30" s="13"/>
      <c r="ORQ30" s="4"/>
      <c r="ORR30" s="12"/>
      <c r="ORS30" s="13"/>
      <c r="ORY30" s="4"/>
      <c r="ORZ30" s="12"/>
      <c r="OSA30" s="13"/>
      <c r="OSG30" s="4"/>
      <c r="OSH30" s="12"/>
      <c r="OSI30" s="13"/>
      <c r="OSO30" s="4"/>
      <c r="OSP30" s="12"/>
      <c r="OSQ30" s="13"/>
      <c r="OSW30" s="4"/>
      <c r="OSX30" s="12"/>
      <c r="OSY30" s="13"/>
      <c r="OTE30" s="4"/>
      <c r="OTF30" s="12"/>
      <c r="OTG30" s="13"/>
      <c r="OTM30" s="4"/>
      <c r="OTN30" s="12"/>
      <c r="OTO30" s="13"/>
      <c r="OTU30" s="4"/>
      <c r="OTV30" s="12"/>
      <c r="OTW30" s="13"/>
      <c r="OUC30" s="4"/>
      <c r="OUD30" s="12"/>
      <c r="OUE30" s="13"/>
      <c r="OUK30" s="4"/>
      <c r="OUL30" s="12"/>
      <c r="OUM30" s="13"/>
      <c r="OUS30" s="4"/>
      <c r="OUT30" s="12"/>
      <c r="OUU30" s="13"/>
      <c r="OVA30" s="4"/>
      <c r="OVB30" s="12"/>
      <c r="OVC30" s="13"/>
      <c r="OVI30" s="4"/>
      <c r="OVJ30" s="12"/>
      <c r="OVK30" s="13"/>
      <c r="OVQ30" s="4"/>
      <c r="OVR30" s="12"/>
      <c r="OVS30" s="13"/>
      <c r="OVY30" s="4"/>
      <c r="OVZ30" s="12"/>
      <c r="OWA30" s="13"/>
      <c r="OWG30" s="4"/>
      <c r="OWH30" s="12"/>
      <c r="OWI30" s="13"/>
      <c r="OWO30" s="4"/>
      <c r="OWP30" s="12"/>
      <c r="OWQ30" s="13"/>
      <c r="OWW30" s="4"/>
      <c r="OWX30" s="12"/>
      <c r="OWY30" s="13"/>
      <c r="OXE30" s="4"/>
      <c r="OXF30" s="12"/>
      <c r="OXG30" s="13"/>
      <c r="OXM30" s="4"/>
      <c r="OXN30" s="12"/>
      <c r="OXO30" s="13"/>
      <c r="OXU30" s="4"/>
      <c r="OXV30" s="12"/>
      <c r="OXW30" s="13"/>
      <c r="OYC30" s="4"/>
      <c r="OYD30" s="12"/>
      <c r="OYE30" s="13"/>
      <c r="OYK30" s="4"/>
      <c r="OYL30" s="12"/>
      <c r="OYM30" s="13"/>
      <c r="OYS30" s="4"/>
      <c r="OYT30" s="12"/>
      <c r="OYU30" s="13"/>
      <c r="OZA30" s="4"/>
      <c r="OZB30" s="12"/>
      <c r="OZC30" s="13"/>
      <c r="OZI30" s="4"/>
      <c r="OZJ30" s="12"/>
      <c r="OZK30" s="13"/>
      <c r="OZQ30" s="4"/>
      <c r="OZR30" s="12"/>
      <c r="OZS30" s="13"/>
      <c r="OZY30" s="4"/>
      <c r="OZZ30" s="12"/>
      <c r="PAA30" s="13"/>
      <c r="PAG30" s="4"/>
      <c r="PAH30" s="12"/>
      <c r="PAI30" s="13"/>
      <c r="PAO30" s="4"/>
      <c r="PAP30" s="12"/>
      <c r="PAQ30" s="13"/>
      <c r="PAW30" s="4"/>
      <c r="PAX30" s="12"/>
      <c r="PAY30" s="13"/>
      <c r="PBE30" s="4"/>
      <c r="PBF30" s="12"/>
      <c r="PBG30" s="13"/>
      <c r="PBM30" s="4"/>
      <c r="PBN30" s="12"/>
      <c r="PBO30" s="13"/>
      <c r="PBU30" s="4"/>
      <c r="PBV30" s="12"/>
      <c r="PBW30" s="13"/>
      <c r="PCC30" s="4"/>
      <c r="PCD30" s="12"/>
      <c r="PCE30" s="13"/>
      <c r="PCK30" s="4"/>
      <c r="PCL30" s="12"/>
      <c r="PCM30" s="13"/>
      <c r="PCS30" s="4"/>
      <c r="PCT30" s="12"/>
      <c r="PCU30" s="13"/>
      <c r="PDA30" s="4"/>
      <c r="PDB30" s="12"/>
      <c r="PDC30" s="13"/>
      <c r="PDI30" s="4"/>
      <c r="PDJ30" s="12"/>
      <c r="PDK30" s="13"/>
      <c r="PDQ30" s="4"/>
      <c r="PDR30" s="12"/>
      <c r="PDS30" s="13"/>
      <c r="PDY30" s="4"/>
      <c r="PDZ30" s="12"/>
      <c r="PEA30" s="13"/>
      <c r="PEG30" s="4"/>
      <c r="PEH30" s="12"/>
      <c r="PEI30" s="13"/>
      <c r="PEO30" s="4"/>
      <c r="PEP30" s="12"/>
      <c r="PEQ30" s="13"/>
      <c r="PEW30" s="4"/>
      <c r="PEX30" s="12"/>
      <c r="PEY30" s="13"/>
      <c r="PFE30" s="4"/>
      <c r="PFF30" s="12"/>
      <c r="PFG30" s="13"/>
      <c r="PFM30" s="4"/>
      <c r="PFN30" s="12"/>
      <c r="PFO30" s="13"/>
      <c r="PFU30" s="4"/>
      <c r="PFV30" s="12"/>
      <c r="PFW30" s="13"/>
      <c r="PGC30" s="4"/>
      <c r="PGD30" s="12"/>
      <c r="PGE30" s="13"/>
      <c r="PGK30" s="4"/>
      <c r="PGL30" s="12"/>
      <c r="PGM30" s="13"/>
      <c r="PGS30" s="4"/>
      <c r="PGT30" s="12"/>
      <c r="PGU30" s="13"/>
      <c r="PHA30" s="4"/>
      <c r="PHB30" s="12"/>
      <c r="PHC30" s="13"/>
      <c r="PHI30" s="4"/>
      <c r="PHJ30" s="12"/>
      <c r="PHK30" s="13"/>
      <c r="PHQ30" s="4"/>
      <c r="PHR30" s="12"/>
      <c r="PHS30" s="13"/>
      <c r="PHY30" s="4"/>
      <c r="PHZ30" s="12"/>
      <c r="PIA30" s="13"/>
      <c r="PIG30" s="4"/>
      <c r="PIH30" s="12"/>
      <c r="PII30" s="13"/>
      <c r="PIO30" s="4"/>
      <c r="PIP30" s="12"/>
      <c r="PIQ30" s="13"/>
      <c r="PIW30" s="4"/>
      <c r="PIX30" s="12"/>
      <c r="PIY30" s="13"/>
      <c r="PJE30" s="4"/>
      <c r="PJF30" s="12"/>
      <c r="PJG30" s="13"/>
      <c r="PJM30" s="4"/>
      <c r="PJN30" s="12"/>
      <c r="PJO30" s="13"/>
      <c r="PJU30" s="4"/>
      <c r="PJV30" s="12"/>
      <c r="PJW30" s="13"/>
      <c r="PKC30" s="4"/>
      <c r="PKD30" s="12"/>
      <c r="PKE30" s="13"/>
      <c r="PKK30" s="4"/>
      <c r="PKL30" s="12"/>
      <c r="PKM30" s="13"/>
      <c r="PKS30" s="4"/>
      <c r="PKT30" s="12"/>
      <c r="PKU30" s="13"/>
      <c r="PLA30" s="4"/>
      <c r="PLB30" s="12"/>
      <c r="PLC30" s="13"/>
      <c r="PLI30" s="4"/>
      <c r="PLJ30" s="12"/>
      <c r="PLK30" s="13"/>
      <c r="PLQ30" s="4"/>
      <c r="PLR30" s="12"/>
      <c r="PLS30" s="13"/>
      <c r="PLY30" s="4"/>
      <c r="PLZ30" s="12"/>
      <c r="PMA30" s="13"/>
      <c r="PMG30" s="4"/>
      <c r="PMH30" s="12"/>
      <c r="PMI30" s="13"/>
      <c r="PMO30" s="4"/>
      <c r="PMP30" s="12"/>
      <c r="PMQ30" s="13"/>
      <c r="PMW30" s="4"/>
      <c r="PMX30" s="12"/>
      <c r="PMY30" s="13"/>
      <c r="PNE30" s="4"/>
      <c r="PNF30" s="12"/>
      <c r="PNG30" s="13"/>
      <c r="PNM30" s="4"/>
      <c r="PNN30" s="12"/>
      <c r="PNO30" s="13"/>
      <c r="PNU30" s="4"/>
      <c r="PNV30" s="12"/>
      <c r="PNW30" s="13"/>
      <c r="POC30" s="4"/>
      <c r="POD30" s="12"/>
      <c r="POE30" s="13"/>
      <c r="POK30" s="4"/>
      <c r="POL30" s="12"/>
      <c r="POM30" s="13"/>
      <c r="POS30" s="4"/>
      <c r="POT30" s="12"/>
      <c r="POU30" s="13"/>
      <c r="PPA30" s="4"/>
      <c r="PPB30" s="12"/>
      <c r="PPC30" s="13"/>
      <c r="PPI30" s="4"/>
      <c r="PPJ30" s="12"/>
      <c r="PPK30" s="13"/>
      <c r="PPQ30" s="4"/>
      <c r="PPR30" s="12"/>
      <c r="PPS30" s="13"/>
      <c r="PPY30" s="4"/>
      <c r="PPZ30" s="12"/>
      <c r="PQA30" s="13"/>
      <c r="PQG30" s="4"/>
      <c r="PQH30" s="12"/>
      <c r="PQI30" s="13"/>
      <c r="PQO30" s="4"/>
      <c r="PQP30" s="12"/>
      <c r="PQQ30" s="13"/>
      <c r="PQW30" s="4"/>
      <c r="PQX30" s="12"/>
      <c r="PQY30" s="13"/>
      <c r="PRE30" s="4"/>
      <c r="PRF30" s="12"/>
      <c r="PRG30" s="13"/>
      <c r="PRM30" s="4"/>
      <c r="PRN30" s="12"/>
      <c r="PRO30" s="13"/>
      <c r="PRU30" s="4"/>
      <c r="PRV30" s="12"/>
      <c r="PRW30" s="13"/>
      <c r="PSC30" s="4"/>
      <c r="PSD30" s="12"/>
      <c r="PSE30" s="13"/>
      <c r="PSK30" s="4"/>
      <c r="PSL30" s="12"/>
      <c r="PSM30" s="13"/>
      <c r="PSS30" s="4"/>
      <c r="PST30" s="12"/>
      <c r="PSU30" s="13"/>
      <c r="PTA30" s="4"/>
      <c r="PTB30" s="12"/>
      <c r="PTC30" s="13"/>
      <c r="PTI30" s="4"/>
      <c r="PTJ30" s="12"/>
      <c r="PTK30" s="13"/>
      <c r="PTQ30" s="4"/>
      <c r="PTR30" s="12"/>
      <c r="PTS30" s="13"/>
      <c r="PTY30" s="4"/>
      <c r="PTZ30" s="12"/>
      <c r="PUA30" s="13"/>
      <c r="PUG30" s="4"/>
      <c r="PUH30" s="12"/>
      <c r="PUI30" s="13"/>
      <c r="PUO30" s="4"/>
      <c r="PUP30" s="12"/>
      <c r="PUQ30" s="13"/>
      <c r="PUW30" s="4"/>
      <c r="PUX30" s="12"/>
      <c r="PUY30" s="13"/>
      <c r="PVE30" s="4"/>
      <c r="PVF30" s="12"/>
      <c r="PVG30" s="13"/>
      <c r="PVM30" s="4"/>
      <c r="PVN30" s="12"/>
      <c r="PVO30" s="13"/>
      <c r="PVU30" s="4"/>
      <c r="PVV30" s="12"/>
      <c r="PVW30" s="13"/>
      <c r="PWC30" s="4"/>
      <c r="PWD30" s="12"/>
      <c r="PWE30" s="13"/>
      <c r="PWK30" s="4"/>
      <c r="PWL30" s="12"/>
      <c r="PWM30" s="13"/>
      <c r="PWS30" s="4"/>
      <c r="PWT30" s="12"/>
      <c r="PWU30" s="13"/>
      <c r="PXA30" s="4"/>
      <c r="PXB30" s="12"/>
      <c r="PXC30" s="13"/>
      <c r="PXI30" s="4"/>
      <c r="PXJ30" s="12"/>
      <c r="PXK30" s="13"/>
      <c r="PXQ30" s="4"/>
      <c r="PXR30" s="12"/>
      <c r="PXS30" s="13"/>
      <c r="PXY30" s="4"/>
      <c r="PXZ30" s="12"/>
      <c r="PYA30" s="13"/>
      <c r="PYG30" s="4"/>
      <c r="PYH30" s="12"/>
      <c r="PYI30" s="13"/>
      <c r="PYO30" s="4"/>
      <c r="PYP30" s="12"/>
      <c r="PYQ30" s="13"/>
      <c r="PYW30" s="4"/>
      <c r="PYX30" s="12"/>
      <c r="PYY30" s="13"/>
      <c r="PZE30" s="4"/>
      <c r="PZF30" s="12"/>
      <c r="PZG30" s="13"/>
      <c r="PZM30" s="4"/>
      <c r="PZN30" s="12"/>
      <c r="PZO30" s="13"/>
      <c r="PZU30" s="4"/>
      <c r="PZV30" s="12"/>
      <c r="PZW30" s="13"/>
      <c r="QAC30" s="4"/>
      <c r="QAD30" s="12"/>
      <c r="QAE30" s="13"/>
      <c r="QAK30" s="4"/>
      <c r="QAL30" s="12"/>
      <c r="QAM30" s="13"/>
      <c r="QAS30" s="4"/>
      <c r="QAT30" s="12"/>
      <c r="QAU30" s="13"/>
      <c r="QBA30" s="4"/>
      <c r="QBB30" s="12"/>
      <c r="QBC30" s="13"/>
      <c r="QBI30" s="4"/>
      <c r="QBJ30" s="12"/>
      <c r="QBK30" s="13"/>
      <c r="QBQ30" s="4"/>
      <c r="QBR30" s="12"/>
      <c r="QBS30" s="13"/>
      <c r="QBY30" s="4"/>
      <c r="QBZ30" s="12"/>
      <c r="QCA30" s="13"/>
      <c r="QCG30" s="4"/>
      <c r="QCH30" s="12"/>
      <c r="QCI30" s="13"/>
      <c r="QCO30" s="4"/>
      <c r="QCP30" s="12"/>
      <c r="QCQ30" s="13"/>
      <c r="QCW30" s="4"/>
      <c r="QCX30" s="12"/>
      <c r="QCY30" s="13"/>
      <c r="QDE30" s="4"/>
      <c r="QDF30" s="12"/>
      <c r="QDG30" s="13"/>
      <c r="QDM30" s="4"/>
      <c r="QDN30" s="12"/>
      <c r="QDO30" s="13"/>
      <c r="QDU30" s="4"/>
      <c r="QDV30" s="12"/>
      <c r="QDW30" s="13"/>
      <c r="QEC30" s="4"/>
      <c r="QED30" s="12"/>
      <c r="QEE30" s="13"/>
      <c r="QEK30" s="4"/>
      <c r="QEL30" s="12"/>
      <c r="QEM30" s="13"/>
      <c r="QES30" s="4"/>
      <c r="QET30" s="12"/>
      <c r="QEU30" s="13"/>
      <c r="QFA30" s="4"/>
      <c r="QFB30" s="12"/>
      <c r="QFC30" s="13"/>
      <c r="QFI30" s="4"/>
      <c r="QFJ30" s="12"/>
      <c r="QFK30" s="13"/>
      <c r="QFQ30" s="4"/>
      <c r="QFR30" s="12"/>
      <c r="QFS30" s="13"/>
      <c r="QFY30" s="4"/>
      <c r="QFZ30" s="12"/>
      <c r="QGA30" s="13"/>
      <c r="QGG30" s="4"/>
      <c r="QGH30" s="12"/>
      <c r="QGI30" s="13"/>
      <c r="QGO30" s="4"/>
      <c r="QGP30" s="12"/>
      <c r="QGQ30" s="13"/>
      <c r="QGW30" s="4"/>
      <c r="QGX30" s="12"/>
      <c r="QGY30" s="13"/>
      <c r="QHE30" s="4"/>
      <c r="QHF30" s="12"/>
      <c r="QHG30" s="13"/>
      <c r="QHM30" s="4"/>
      <c r="QHN30" s="12"/>
      <c r="QHO30" s="13"/>
      <c r="QHU30" s="4"/>
      <c r="QHV30" s="12"/>
      <c r="QHW30" s="13"/>
      <c r="QIC30" s="4"/>
      <c r="QID30" s="12"/>
      <c r="QIE30" s="13"/>
      <c r="QIK30" s="4"/>
      <c r="QIL30" s="12"/>
      <c r="QIM30" s="13"/>
      <c r="QIS30" s="4"/>
      <c r="QIT30" s="12"/>
      <c r="QIU30" s="13"/>
      <c r="QJA30" s="4"/>
      <c r="QJB30" s="12"/>
      <c r="QJC30" s="13"/>
      <c r="QJI30" s="4"/>
      <c r="QJJ30" s="12"/>
      <c r="QJK30" s="13"/>
      <c r="QJQ30" s="4"/>
      <c r="QJR30" s="12"/>
      <c r="QJS30" s="13"/>
      <c r="QJY30" s="4"/>
      <c r="QJZ30" s="12"/>
      <c r="QKA30" s="13"/>
      <c r="QKG30" s="4"/>
      <c r="QKH30" s="12"/>
      <c r="QKI30" s="13"/>
      <c r="QKO30" s="4"/>
      <c r="QKP30" s="12"/>
      <c r="QKQ30" s="13"/>
      <c r="QKW30" s="4"/>
      <c r="QKX30" s="12"/>
      <c r="QKY30" s="13"/>
      <c r="QLE30" s="4"/>
      <c r="QLF30" s="12"/>
      <c r="QLG30" s="13"/>
      <c r="QLM30" s="4"/>
      <c r="QLN30" s="12"/>
      <c r="QLO30" s="13"/>
      <c r="QLU30" s="4"/>
      <c r="QLV30" s="12"/>
      <c r="QLW30" s="13"/>
      <c r="QMC30" s="4"/>
      <c r="QMD30" s="12"/>
      <c r="QME30" s="13"/>
      <c r="QMK30" s="4"/>
      <c r="QML30" s="12"/>
      <c r="QMM30" s="13"/>
      <c r="QMS30" s="4"/>
      <c r="QMT30" s="12"/>
      <c r="QMU30" s="13"/>
      <c r="QNA30" s="4"/>
      <c r="QNB30" s="12"/>
      <c r="QNC30" s="13"/>
      <c r="QNI30" s="4"/>
      <c r="QNJ30" s="12"/>
      <c r="QNK30" s="13"/>
      <c r="QNQ30" s="4"/>
      <c r="QNR30" s="12"/>
      <c r="QNS30" s="13"/>
      <c r="QNY30" s="4"/>
      <c r="QNZ30" s="12"/>
      <c r="QOA30" s="13"/>
      <c r="QOG30" s="4"/>
      <c r="QOH30" s="12"/>
      <c r="QOI30" s="13"/>
      <c r="QOO30" s="4"/>
      <c r="QOP30" s="12"/>
      <c r="QOQ30" s="13"/>
      <c r="QOW30" s="4"/>
      <c r="QOX30" s="12"/>
      <c r="QOY30" s="13"/>
      <c r="QPE30" s="4"/>
      <c r="QPF30" s="12"/>
      <c r="QPG30" s="13"/>
      <c r="QPM30" s="4"/>
      <c r="QPN30" s="12"/>
      <c r="QPO30" s="13"/>
      <c r="QPU30" s="4"/>
      <c r="QPV30" s="12"/>
      <c r="QPW30" s="13"/>
      <c r="QQC30" s="4"/>
      <c r="QQD30" s="12"/>
      <c r="QQE30" s="13"/>
      <c r="QQK30" s="4"/>
      <c r="QQL30" s="12"/>
      <c r="QQM30" s="13"/>
      <c r="QQS30" s="4"/>
      <c r="QQT30" s="12"/>
      <c r="QQU30" s="13"/>
      <c r="QRA30" s="4"/>
      <c r="QRB30" s="12"/>
      <c r="QRC30" s="13"/>
      <c r="QRI30" s="4"/>
      <c r="QRJ30" s="12"/>
      <c r="QRK30" s="13"/>
      <c r="QRQ30" s="4"/>
      <c r="QRR30" s="12"/>
      <c r="QRS30" s="13"/>
      <c r="QRY30" s="4"/>
      <c r="QRZ30" s="12"/>
      <c r="QSA30" s="13"/>
      <c r="QSG30" s="4"/>
      <c r="QSH30" s="12"/>
      <c r="QSI30" s="13"/>
      <c r="QSO30" s="4"/>
      <c r="QSP30" s="12"/>
      <c r="QSQ30" s="13"/>
      <c r="QSW30" s="4"/>
      <c r="QSX30" s="12"/>
      <c r="QSY30" s="13"/>
      <c r="QTE30" s="4"/>
      <c r="QTF30" s="12"/>
      <c r="QTG30" s="13"/>
      <c r="QTM30" s="4"/>
      <c r="QTN30" s="12"/>
      <c r="QTO30" s="13"/>
      <c r="QTU30" s="4"/>
      <c r="QTV30" s="12"/>
      <c r="QTW30" s="13"/>
      <c r="QUC30" s="4"/>
      <c r="QUD30" s="12"/>
      <c r="QUE30" s="13"/>
      <c r="QUK30" s="4"/>
      <c r="QUL30" s="12"/>
      <c r="QUM30" s="13"/>
      <c r="QUS30" s="4"/>
      <c r="QUT30" s="12"/>
      <c r="QUU30" s="13"/>
      <c r="QVA30" s="4"/>
      <c r="QVB30" s="12"/>
      <c r="QVC30" s="13"/>
      <c r="QVI30" s="4"/>
      <c r="QVJ30" s="12"/>
      <c r="QVK30" s="13"/>
      <c r="QVQ30" s="4"/>
      <c r="QVR30" s="12"/>
      <c r="QVS30" s="13"/>
      <c r="QVY30" s="4"/>
      <c r="QVZ30" s="12"/>
      <c r="QWA30" s="13"/>
      <c r="QWG30" s="4"/>
      <c r="QWH30" s="12"/>
      <c r="QWI30" s="13"/>
      <c r="QWO30" s="4"/>
      <c r="QWP30" s="12"/>
      <c r="QWQ30" s="13"/>
      <c r="QWW30" s="4"/>
      <c r="QWX30" s="12"/>
      <c r="QWY30" s="13"/>
      <c r="QXE30" s="4"/>
      <c r="QXF30" s="12"/>
      <c r="QXG30" s="13"/>
      <c r="QXM30" s="4"/>
      <c r="QXN30" s="12"/>
      <c r="QXO30" s="13"/>
      <c r="QXU30" s="4"/>
      <c r="QXV30" s="12"/>
      <c r="QXW30" s="13"/>
      <c r="QYC30" s="4"/>
      <c r="QYD30" s="12"/>
      <c r="QYE30" s="13"/>
      <c r="QYK30" s="4"/>
      <c r="QYL30" s="12"/>
      <c r="QYM30" s="13"/>
      <c r="QYS30" s="4"/>
      <c r="QYT30" s="12"/>
      <c r="QYU30" s="13"/>
      <c r="QZA30" s="4"/>
      <c r="QZB30" s="12"/>
      <c r="QZC30" s="13"/>
      <c r="QZI30" s="4"/>
      <c r="QZJ30" s="12"/>
      <c r="QZK30" s="13"/>
      <c r="QZQ30" s="4"/>
      <c r="QZR30" s="12"/>
      <c r="QZS30" s="13"/>
      <c r="QZY30" s="4"/>
      <c r="QZZ30" s="12"/>
      <c r="RAA30" s="13"/>
      <c r="RAG30" s="4"/>
      <c r="RAH30" s="12"/>
      <c r="RAI30" s="13"/>
      <c r="RAO30" s="4"/>
      <c r="RAP30" s="12"/>
      <c r="RAQ30" s="13"/>
      <c r="RAW30" s="4"/>
      <c r="RAX30" s="12"/>
      <c r="RAY30" s="13"/>
      <c r="RBE30" s="4"/>
      <c r="RBF30" s="12"/>
      <c r="RBG30" s="13"/>
      <c r="RBM30" s="4"/>
      <c r="RBN30" s="12"/>
      <c r="RBO30" s="13"/>
      <c r="RBU30" s="4"/>
      <c r="RBV30" s="12"/>
      <c r="RBW30" s="13"/>
      <c r="RCC30" s="4"/>
      <c r="RCD30" s="12"/>
      <c r="RCE30" s="13"/>
      <c r="RCK30" s="4"/>
      <c r="RCL30" s="12"/>
      <c r="RCM30" s="13"/>
      <c r="RCS30" s="4"/>
      <c r="RCT30" s="12"/>
      <c r="RCU30" s="13"/>
      <c r="RDA30" s="4"/>
      <c r="RDB30" s="12"/>
      <c r="RDC30" s="13"/>
      <c r="RDI30" s="4"/>
      <c r="RDJ30" s="12"/>
      <c r="RDK30" s="13"/>
      <c r="RDQ30" s="4"/>
      <c r="RDR30" s="12"/>
      <c r="RDS30" s="13"/>
      <c r="RDY30" s="4"/>
      <c r="RDZ30" s="12"/>
      <c r="REA30" s="13"/>
      <c r="REG30" s="4"/>
      <c r="REH30" s="12"/>
      <c r="REI30" s="13"/>
      <c r="REO30" s="4"/>
      <c r="REP30" s="12"/>
      <c r="REQ30" s="13"/>
      <c r="REW30" s="4"/>
      <c r="REX30" s="12"/>
      <c r="REY30" s="13"/>
      <c r="RFE30" s="4"/>
      <c r="RFF30" s="12"/>
      <c r="RFG30" s="13"/>
      <c r="RFM30" s="4"/>
      <c r="RFN30" s="12"/>
      <c r="RFO30" s="13"/>
      <c r="RFU30" s="4"/>
      <c r="RFV30" s="12"/>
      <c r="RFW30" s="13"/>
      <c r="RGC30" s="4"/>
      <c r="RGD30" s="12"/>
      <c r="RGE30" s="13"/>
      <c r="RGK30" s="4"/>
      <c r="RGL30" s="12"/>
      <c r="RGM30" s="13"/>
      <c r="RGS30" s="4"/>
      <c r="RGT30" s="12"/>
      <c r="RGU30" s="13"/>
      <c r="RHA30" s="4"/>
      <c r="RHB30" s="12"/>
      <c r="RHC30" s="13"/>
      <c r="RHI30" s="4"/>
      <c r="RHJ30" s="12"/>
      <c r="RHK30" s="13"/>
      <c r="RHQ30" s="4"/>
      <c r="RHR30" s="12"/>
      <c r="RHS30" s="13"/>
      <c r="RHY30" s="4"/>
      <c r="RHZ30" s="12"/>
      <c r="RIA30" s="13"/>
      <c r="RIG30" s="4"/>
      <c r="RIH30" s="12"/>
      <c r="RII30" s="13"/>
      <c r="RIO30" s="4"/>
      <c r="RIP30" s="12"/>
      <c r="RIQ30" s="13"/>
      <c r="RIW30" s="4"/>
      <c r="RIX30" s="12"/>
      <c r="RIY30" s="13"/>
      <c r="RJE30" s="4"/>
      <c r="RJF30" s="12"/>
      <c r="RJG30" s="13"/>
      <c r="RJM30" s="4"/>
      <c r="RJN30" s="12"/>
      <c r="RJO30" s="13"/>
      <c r="RJU30" s="4"/>
      <c r="RJV30" s="12"/>
      <c r="RJW30" s="13"/>
      <c r="RKC30" s="4"/>
      <c r="RKD30" s="12"/>
      <c r="RKE30" s="13"/>
      <c r="RKK30" s="4"/>
      <c r="RKL30" s="12"/>
      <c r="RKM30" s="13"/>
      <c r="RKS30" s="4"/>
      <c r="RKT30" s="12"/>
      <c r="RKU30" s="13"/>
      <c r="RLA30" s="4"/>
      <c r="RLB30" s="12"/>
      <c r="RLC30" s="13"/>
      <c r="RLI30" s="4"/>
      <c r="RLJ30" s="12"/>
      <c r="RLK30" s="13"/>
      <c r="RLQ30" s="4"/>
      <c r="RLR30" s="12"/>
      <c r="RLS30" s="13"/>
      <c r="RLY30" s="4"/>
      <c r="RLZ30" s="12"/>
      <c r="RMA30" s="13"/>
      <c r="RMG30" s="4"/>
      <c r="RMH30" s="12"/>
      <c r="RMI30" s="13"/>
      <c r="RMO30" s="4"/>
      <c r="RMP30" s="12"/>
      <c r="RMQ30" s="13"/>
      <c r="RMW30" s="4"/>
      <c r="RMX30" s="12"/>
      <c r="RMY30" s="13"/>
      <c r="RNE30" s="4"/>
      <c r="RNF30" s="12"/>
      <c r="RNG30" s="13"/>
      <c r="RNM30" s="4"/>
      <c r="RNN30" s="12"/>
      <c r="RNO30" s="13"/>
      <c r="RNU30" s="4"/>
      <c r="RNV30" s="12"/>
      <c r="RNW30" s="13"/>
      <c r="ROC30" s="4"/>
      <c r="ROD30" s="12"/>
      <c r="ROE30" s="13"/>
      <c r="ROK30" s="4"/>
      <c r="ROL30" s="12"/>
      <c r="ROM30" s="13"/>
      <c r="ROS30" s="4"/>
      <c r="ROT30" s="12"/>
      <c r="ROU30" s="13"/>
      <c r="RPA30" s="4"/>
      <c r="RPB30" s="12"/>
      <c r="RPC30" s="13"/>
      <c r="RPI30" s="4"/>
      <c r="RPJ30" s="12"/>
      <c r="RPK30" s="13"/>
      <c r="RPQ30" s="4"/>
      <c r="RPR30" s="12"/>
      <c r="RPS30" s="13"/>
      <c r="RPY30" s="4"/>
      <c r="RPZ30" s="12"/>
      <c r="RQA30" s="13"/>
      <c r="RQG30" s="4"/>
      <c r="RQH30" s="12"/>
      <c r="RQI30" s="13"/>
      <c r="RQO30" s="4"/>
      <c r="RQP30" s="12"/>
      <c r="RQQ30" s="13"/>
      <c r="RQW30" s="4"/>
      <c r="RQX30" s="12"/>
      <c r="RQY30" s="13"/>
      <c r="RRE30" s="4"/>
      <c r="RRF30" s="12"/>
      <c r="RRG30" s="13"/>
      <c r="RRM30" s="4"/>
      <c r="RRN30" s="12"/>
      <c r="RRO30" s="13"/>
      <c r="RRU30" s="4"/>
      <c r="RRV30" s="12"/>
      <c r="RRW30" s="13"/>
      <c r="RSC30" s="4"/>
      <c r="RSD30" s="12"/>
      <c r="RSE30" s="13"/>
      <c r="RSK30" s="4"/>
      <c r="RSL30" s="12"/>
      <c r="RSM30" s="13"/>
      <c r="RSS30" s="4"/>
      <c r="RST30" s="12"/>
      <c r="RSU30" s="13"/>
      <c r="RTA30" s="4"/>
      <c r="RTB30" s="12"/>
      <c r="RTC30" s="13"/>
      <c r="RTI30" s="4"/>
      <c r="RTJ30" s="12"/>
      <c r="RTK30" s="13"/>
      <c r="RTQ30" s="4"/>
      <c r="RTR30" s="12"/>
      <c r="RTS30" s="13"/>
      <c r="RTY30" s="4"/>
      <c r="RTZ30" s="12"/>
      <c r="RUA30" s="13"/>
      <c r="RUG30" s="4"/>
      <c r="RUH30" s="12"/>
      <c r="RUI30" s="13"/>
      <c r="RUO30" s="4"/>
      <c r="RUP30" s="12"/>
      <c r="RUQ30" s="13"/>
      <c r="RUW30" s="4"/>
      <c r="RUX30" s="12"/>
      <c r="RUY30" s="13"/>
      <c r="RVE30" s="4"/>
      <c r="RVF30" s="12"/>
      <c r="RVG30" s="13"/>
      <c r="RVM30" s="4"/>
      <c r="RVN30" s="12"/>
      <c r="RVO30" s="13"/>
      <c r="RVU30" s="4"/>
      <c r="RVV30" s="12"/>
      <c r="RVW30" s="13"/>
      <c r="RWC30" s="4"/>
      <c r="RWD30" s="12"/>
      <c r="RWE30" s="13"/>
      <c r="RWK30" s="4"/>
      <c r="RWL30" s="12"/>
      <c r="RWM30" s="13"/>
      <c r="RWS30" s="4"/>
      <c r="RWT30" s="12"/>
      <c r="RWU30" s="13"/>
      <c r="RXA30" s="4"/>
      <c r="RXB30" s="12"/>
      <c r="RXC30" s="13"/>
      <c r="RXI30" s="4"/>
      <c r="RXJ30" s="12"/>
      <c r="RXK30" s="13"/>
      <c r="RXQ30" s="4"/>
      <c r="RXR30" s="12"/>
      <c r="RXS30" s="13"/>
      <c r="RXY30" s="4"/>
      <c r="RXZ30" s="12"/>
      <c r="RYA30" s="13"/>
      <c r="RYG30" s="4"/>
      <c r="RYH30" s="12"/>
      <c r="RYI30" s="13"/>
      <c r="RYO30" s="4"/>
      <c r="RYP30" s="12"/>
      <c r="RYQ30" s="13"/>
      <c r="RYW30" s="4"/>
      <c r="RYX30" s="12"/>
      <c r="RYY30" s="13"/>
      <c r="RZE30" s="4"/>
      <c r="RZF30" s="12"/>
      <c r="RZG30" s="13"/>
      <c r="RZM30" s="4"/>
      <c r="RZN30" s="12"/>
      <c r="RZO30" s="13"/>
      <c r="RZU30" s="4"/>
      <c r="RZV30" s="12"/>
      <c r="RZW30" s="13"/>
      <c r="SAC30" s="4"/>
      <c r="SAD30" s="12"/>
      <c r="SAE30" s="13"/>
      <c r="SAK30" s="4"/>
      <c r="SAL30" s="12"/>
      <c r="SAM30" s="13"/>
      <c r="SAS30" s="4"/>
      <c r="SAT30" s="12"/>
      <c r="SAU30" s="13"/>
      <c r="SBA30" s="4"/>
      <c r="SBB30" s="12"/>
      <c r="SBC30" s="13"/>
      <c r="SBI30" s="4"/>
      <c r="SBJ30" s="12"/>
      <c r="SBK30" s="13"/>
      <c r="SBQ30" s="4"/>
      <c r="SBR30" s="12"/>
      <c r="SBS30" s="13"/>
      <c r="SBY30" s="4"/>
      <c r="SBZ30" s="12"/>
      <c r="SCA30" s="13"/>
      <c r="SCG30" s="4"/>
      <c r="SCH30" s="12"/>
      <c r="SCI30" s="13"/>
      <c r="SCO30" s="4"/>
      <c r="SCP30" s="12"/>
      <c r="SCQ30" s="13"/>
      <c r="SCW30" s="4"/>
      <c r="SCX30" s="12"/>
      <c r="SCY30" s="13"/>
      <c r="SDE30" s="4"/>
      <c r="SDF30" s="12"/>
      <c r="SDG30" s="13"/>
      <c r="SDM30" s="4"/>
      <c r="SDN30" s="12"/>
      <c r="SDO30" s="13"/>
      <c r="SDU30" s="4"/>
      <c r="SDV30" s="12"/>
      <c r="SDW30" s="13"/>
      <c r="SEC30" s="4"/>
      <c r="SED30" s="12"/>
      <c r="SEE30" s="13"/>
      <c r="SEK30" s="4"/>
      <c r="SEL30" s="12"/>
      <c r="SEM30" s="13"/>
      <c r="SES30" s="4"/>
      <c r="SET30" s="12"/>
      <c r="SEU30" s="13"/>
      <c r="SFA30" s="4"/>
      <c r="SFB30" s="12"/>
      <c r="SFC30" s="13"/>
      <c r="SFI30" s="4"/>
      <c r="SFJ30" s="12"/>
      <c r="SFK30" s="13"/>
      <c r="SFQ30" s="4"/>
      <c r="SFR30" s="12"/>
      <c r="SFS30" s="13"/>
      <c r="SFY30" s="4"/>
      <c r="SFZ30" s="12"/>
      <c r="SGA30" s="13"/>
      <c r="SGG30" s="4"/>
      <c r="SGH30" s="12"/>
      <c r="SGI30" s="13"/>
      <c r="SGO30" s="4"/>
      <c r="SGP30" s="12"/>
      <c r="SGQ30" s="13"/>
      <c r="SGW30" s="4"/>
      <c r="SGX30" s="12"/>
      <c r="SGY30" s="13"/>
      <c r="SHE30" s="4"/>
      <c r="SHF30" s="12"/>
      <c r="SHG30" s="13"/>
      <c r="SHM30" s="4"/>
      <c r="SHN30" s="12"/>
      <c r="SHO30" s="13"/>
      <c r="SHU30" s="4"/>
      <c r="SHV30" s="12"/>
      <c r="SHW30" s="13"/>
      <c r="SIC30" s="4"/>
      <c r="SID30" s="12"/>
      <c r="SIE30" s="13"/>
      <c r="SIK30" s="4"/>
      <c r="SIL30" s="12"/>
      <c r="SIM30" s="13"/>
      <c r="SIS30" s="4"/>
      <c r="SIT30" s="12"/>
      <c r="SIU30" s="13"/>
      <c r="SJA30" s="4"/>
      <c r="SJB30" s="12"/>
      <c r="SJC30" s="13"/>
      <c r="SJI30" s="4"/>
      <c r="SJJ30" s="12"/>
      <c r="SJK30" s="13"/>
      <c r="SJQ30" s="4"/>
      <c r="SJR30" s="12"/>
      <c r="SJS30" s="13"/>
      <c r="SJY30" s="4"/>
      <c r="SJZ30" s="12"/>
      <c r="SKA30" s="13"/>
      <c r="SKG30" s="4"/>
      <c r="SKH30" s="12"/>
      <c r="SKI30" s="13"/>
      <c r="SKO30" s="4"/>
      <c r="SKP30" s="12"/>
      <c r="SKQ30" s="13"/>
      <c r="SKW30" s="4"/>
      <c r="SKX30" s="12"/>
      <c r="SKY30" s="13"/>
      <c r="SLE30" s="4"/>
      <c r="SLF30" s="12"/>
      <c r="SLG30" s="13"/>
      <c r="SLM30" s="4"/>
      <c r="SLN30" s="12"/>
      <c r="SLO30" s="13"/>
      <c r="SLU30" s="4"/>
      <c r="SLV30" s="12"/>
      <c r="SLW30" s="13"/>
      <c r="SMC30" s="4"/>
      <c r="SMD30" s="12"/>
      <c r="SME30" s="13"/>
      <c r="SMK30" s="4"/>
      <c r="SML30" s="12"/>
      <c r="SMM30" s="13"/>
      <c r="SMS30" s="4"/>
      <c r="SMT30" s="12"/>
      <c r="SMU30" s="13"/>
      <c r="SNA30" s="4"/>
      <c r="SNB30" s="12"/>
      <c r="SNC30" s="13"/>
      <c r="SNI30" s="4"/>
      <c r="SNJ30" s="12"/>
      <c r="SNK30" s="13"/>
      <c r="SNQ30" s="4"/>
      <c r="SNR30" s="12"/>
      <c r="SNS30" s="13"/>
      <c r="SNY30" s="4"/>
      <c r="SNZ30" s="12"/>
      <c r="SOA30" s="13"/>
      <c r="SOG30" s="4"/>
      <c r="SOH30" s="12"/>
      <c r="SOI30" s="13"/>
      <c r="SOO30" s="4"/>
      <c r="SOP30" s="12"/>
      <c r="SOQ30" s="13"/>
      <c r="SOW30" s="4"/>
      <c r="SOX30" s="12"/>
      <c r="SOY30" s="13"/>
      <c r="SPE30" s="4"/>
      <c r="SPF30" s="12"/>
      <c r="SPG30" s="13"/>
      <c r="SPM30" s="4"/>
      <c r="SPN30" s="12"/>
      <c r="SPO30" s="13"/>
      <c r="SPU30" s="4"/>
      <c r="SPV30" s="12"/>
      <c r="SPW30" s="13"/>
      <c r="SQC30" s="4"/>
      <c r="SQD30" s="12"/>
      <c r="SQE30" s="13"/>
      <c r="SQK30" s="4"/>
      <c r="SQL30" s="12"/>
      <c r="SQM30" s="13"/>
      <c r="SQS30" s="4"/>
      <c r="SQT30" s="12"/>
      <c r="SQU30" s="13"/>
      <c r="SRA30" s="4"/>
      <c r="SRB30" s="12"/>
      <c r="SRC30" s="13"/>
      <c r="SRI30" s="4"/>
      <c r="SRJ30" s="12"/>
      <c r="SRK30" s="13"/>
      <c r="SRQ30" s="4"/>
      <c r="SRR30" s="12"/>
      <c r="SRS30" s="13"/>
      <c r="SRY30" s="4"/>
      <c r="SRZ30" s="12"/>
      <c r="SSA30" s="13"/>
      <c r="SSG30" s="4"/>
      <c r="SSH30" s="12"/>
      <c r="SSI30" s="13"/>
      <c r="SSO30" s="4"/>
      <c r="SSP30" s="12"/>
      <c r="SSQ30" s="13"/>
      <c r="SSW30" s="4"/>
      <c r="SSX30" s="12"/>
      <c r="SSY30" s="13"/>
      <c r="STE30" s="4"/>
      <c r="STF30" s="12"/>
      <c r="STG30" s="13"/>
      <c r="STM30" s="4"/>
      <c r="STN30" s="12"/>
      <c r="STO30" s="13"/>
      <c r="STU30" s="4"/>
      <c r="STV30" s="12"/>
      <c r="STW30" s="13"/>
      <c r="SUC30" s="4"/>
      <c r="SUD30" s="12"/>
      <c r="SUE30" s="13"/>
      <c r="SUK30" s="4"/>
      <c r="SUL30" s="12"/>
      <c r="SUM30" s="13"/>
      <c r="SUS30" s="4"/>
      <c r="SUT30" s="12"/>
      <c r="SUU30" s="13"/>
      <c r="SVA30" s="4"/>
      <c r="SVB30" s="12"/>
      <c r="SVC30" s="13"/>
      <c r="SVI30" s="4"/>
      <c r="SVJ30" s="12"/>
      <c r="SVK30" s="13"/>
      <c r="SVQ30" s="4"/>
      <c r="SVR30" s="12"/>
      <c r="SVS30" s="13"/>
      <c r="SVY30" s="4"/>
      <c r="SVZ30" s="12"/>
      <c r="SWA30" s="13"/>
      <c r="SWG30" s="4"/>
      <c r="SWH30" s="12"/>
      <c r="SWI30" s="13"/>
      <c r="SWO30" s="4"/>
      <c r="SWP30" s="12"/>
      <c r="SWQ30" s="13"/>
      <c r="SWW30" s="4"/>
      <c r="SWX30" s="12"/>
      <c r="SWY30" s="13"/>
      <c r="SXE30" s="4"/>
      <c r="SXF30" s="12"/>
      <c r="SXG30" s="13"/>
      <c r="SXM30" s="4"/>
      <c r="SXN30" s="12"/>
      <c r="SXO30" s="13"/>
      <c r="SXU30" s="4"/>
      <c r="SXV30" s="12"/>
      <c r="SXW30" s="13"/>
      <c r="SYC30" s="4"/>
      <c r="SYD30" s="12"/>
      <c r="SYE30" s="13"/>
      <c r="SYK30" s="4"/>
      <c r="SYL30" s="12"/>
      <c r="SYM30" s="13"/>
      <c r="SYS30" s="4"/>
      <c r="SYT30" s="12"/>
      <c r="SYU30" s="13"/>
      <c r="SZA30" s="4"/>
      <c r="SZB30" s="12"/>
      <c r="SZC30" s="13"/>
      <c r="SZI30" s="4"/>
      <c r="SZJ30" s="12"/>
      <c r="SZK30" s="13"/>
      <c r="SZQ30" s="4"/>
      <c r="SZR30" s="12"/>
      <c r="SZS30" s="13"/>
      <c r="SZY30" s="4"/>
      <c r="SZZ30" s="12"/>
      <c r="TAA30" s="13"/>
      <c r="TAG30" s="4"/>
      <c r="TAH30" s="12"/>
      <c r="TAI30" s="13"/>
      <c r="TAO30" s="4"/>
      <c r="TAP30" s="12"/>
      <c r="TAQ30" s="13"/>
      <c r="TAW30" s="4"/>
      <c r="TAX30" s="12"/>
      <c r="TAY30" s="13"/>
      <c r="TBE30" s="4"/>
      <c r="TBF30" s="12"/>
      <c r="TBG30" s="13"/>
      <c r="TBM30" s="4"/>
      <c r="TBN30" s="12"/>
      <c r="TBO30" s="13"/>
      <c r="TBU30" s="4"/>
      <c r="TBV30" s="12"/>
      <c r="TBW30" s="13"/>
      <c r="TCC30" s="4"/>
      <c r="TCD30" s="12"/>
      <c r="TCE30" s="13"/>
      <c r="TCK30" s="4"/>
      <c r="TCL30" s="12"/>
      <c r="TCM30" s="13"/>
      <c r="TCS30" s="4"/>
      <c r="TCT30" s="12"/>
      <c r="TCU30" s="13"/>
      <c r="TDA30" s="4"/>
      <c r="TDB30" s="12"/>
      <c r="TDC30" s="13"/>
      <c r="TDI30" s="4"/>
      <c r="TDJ30" s="12"/>
      <c r="TDK30" s="13"/>
      <c r="TDQ30" s="4"/>
      <c r="TDR30" s="12"/>
      <c r="TDS30" s="13"/>
      <c r="TDY30" s="4"/>
      <c r="TDZ30" s="12"/>
      <c r="TEA30" s="13"/>
      <c r="TEG30" s="4"/>
      <c r="TEH30" s="12"/>
      <c r="TEI30" s="13"/>
      <c r="TEO30" s="4"/>
      <c r="TEP30" s="12"/>
      <c r="TEQ30" s="13"/>
      <c r="TEW30" s="4"/>
      <c r="TEX30" s="12"/>
      <c r="TEY30" s="13"/>
      <c r="TFE30" s="4"/>
      <c r="TFF30" s="12"/>
      <c r="TFG30" s="13"/>
      <c r="TFM30" s="4"/>
      <c r="TFN30" s="12"/>
      <c r="TFO30" s="13"/>
      <c r="TFU30" s="4"/>
      <c r="TFV30" s="12"/>
      <c r="TFW30" s="13"/>
      <c r="TGC30" s="4"/>
      <c r="TGD30" s="12"/>
      <c r="TGE30" s="13"/>
      <c r="TGK30" s="4"/>
      <c r="TGL30" s="12"/>
      <c r="TGM30" s="13"/>
      <c r="TGS30" s="4"/>
      <c r="TGT30" s="12"/>
      <c r="TGU30" s="13"/>
      <c r="THA30" s="4"/>
      <c r="THB30" s="12"/>
      <c r="THC30" s="13"/>
      <c r="THI30" s="4"/>
      <c r="THJ30" s="12"/>
      <c r="THK30" s="13"/>
      <c r="THQ30" s="4"/>
      <c r="THR30" s="12"/>
      <c r="THS30" s="13"/>
      <c r="THY30" s="4"/>
      <c r="THZ30" s="12"/>
      <c r="TIA30" s="13"/>
      <c r="TIG30" s="4"/>
      <c r="TIH30" s="12"/>
      <c r="TII30" s="13"/>
      <c r="TIO30" s="4"/>
      <c r="TIP30" s="12"/>
      <c r="TIQ30" s="13"/>
      <c r="TIW30" s="4"/>
      <c r="TIX30" s="12"/>
      <c r="TIY30" s="13"/>
      <c r="TJE30" s="4"/>
      <c r="TJF30" s="12"/>
      <c r="TJG30" s="13"/>
      <c r="TJM30" s="4"/>
      <c r="TJN30" s="12"/>
      <c r="TJO30" s="13"/>
      <c r="TJU30" s="4"/>
      <c r="TJV30" s="12"/>
      <c r="TJW30" s="13"/>
      <c r="TKC30" s="4"/>
      <c r="TKD30" s="12"/>
      <c r="TKE30" s="13"/>
      <c r="TKK30" s="4"/>
      <c r="TKL30" s="12"/>
      <c r="TKM30" s="13"/>
      <c r="TKS30" s="4"/>
      <c r="TKT30" s="12"/>
      <c r="TKU30" s="13"/>
      <c r="TLA30" s="4"/>
      <c r="TLB30" s="12"/>
      <c r="TLC30" s="13"/>
      <c r="TLI30" s="4"/>
      <c r="TLJ30" s="12"/>
      <c r="TLK30" s="13"/>
      <c r="TLQ30" s="4"/>
      <c r="TLR30" s="12"/>
      <c r="TLS30" s="13"/>
      <c r="TLY30" s="4"/>
      <c r="TLZ30" s="12"/>
      <c r="TMA30" s="13"/>
      <c r="TMG30" s="4"/>
      <c r="TMH30" s="12"/>
      <c r="TMI30" s="13"/>
      <c r="TMO30" s="4"/>
      <c r="TMP30" s="12"/>
      <c r="TMQ30" s="13"/>
      <c r="TMW30" s="4"/>
      <c r="TMX30" s="12"/>
      <c r="TMY30" s="13"/>
      <c r="TNE30" s="4"/>
      <c r="TNF30" s="12"/>
      <c r="TNG30" s="13"/>
      <c r="TNM30" s="4"/>
      <c r="TNN30" s="12"/>
      <c r="TNO30" s="13"/>
      <c r="TNU30" s="4"/>
      <c r="TNV30" s="12"/>
      <c r="TNW30" s="13"/>
      <c r="TOC30" s="4"/>
      <c r="TOD30" s="12"/>
      <c r="TOE30" s="13"/>
      <c r="TOK30" s="4"/>
      <c r="TOL30" s="12"/>
      <c r="TOM30" s="13"/>
      <c r="TOS30" s="4"/>
      <c r="TOT30" s="12"/>
      <c r="TOU30" s="13"/>
      <c r="TPA30" s="4"/>
      <c r="TPB30" s="12"/>
      <c r="TPC30" s="13"/>
      <c r="TPI30" s="4"/>
      <c r="TPJ30" s="12"/>
      <c r="TPK30" s="13"/>
      <c r="TPQ30" s="4"/>
      <c r="TPR30" s="12"/>
      <c r="TPS30" s="13"/>
      <c r="TPY30" s="4"/>
      <c r="TPZ30" s="12"/>
      <c r="TQA30" s="13"/>
      <c r="TQG30" s="4"/>
      <c r="TQH30" s="12"/>
      <c r="TQI30" s="13"/>
      <c r="TQO30" s="4"/>
      <c r="TQP30" s="12"/>
      <c r="TQQ30" s="13"/>
      <c r="TQW30" s="4"/>
      <c r="TQX30" s="12"/>
      <c r="TQY30" s="13"/>
      <c r="TRE30" s="4"/>
      <c r="TRF30" s="12"/>
      <c r="TRG30" s="13"/>
      <c r="TRM30" s="4"/>
      <c r="TRN30" s="12"/>
      <c r="TRO30" s="13"/>
      <c r="TRU30" s="4"/>
      <c r="TRV30" s="12"/>
      <c r="TRW30" s="13"/>
      <c r="TSC30" s="4"/>
      <c r="TSD30" s="12"/>
      <c r="TSE30" s="13"/>
      <c r="TSK30" s="4"/>
      <c r="TSL30" s="12"/>
      <c r="TSM30" s="13"/>
      <c r="TSS30" s="4"/>
      <c r="TST30" s="12"/>
      <c r="TSU30" s="13"/>
      <c r="TTA30" s="4"/>
      <c r="TTB30" s="12"/>
      <c r="TTC30" s="13"/>
      <c r="TTI30" s="4"/>
      <c r="TTJ30" s="12"/>
      <c r="TTK30" s="13"/>
      <c r="TTQ30" s="4"/>
      <c r="TTR30" s="12"/>
      <c r="TTS30" s="13"/>
      <c r="TTY30" s="4"/>
      <c r="TTZ30" s="12"/>
      <c r="TUA30" s="13"/>
      <c r="TUG30" s="4"/>
      <c r="TUH30" s="12"/>
      <c r="TUI30" s="13"/>
      <c r="TUO30" s="4"/>
      <c r="TUP30" s="12"/>
      <c r="TUQ30" s="13"/>
      <c r="TUW30" s="4"/>
      <c r="TUX30" s="12"/>
      <c r="TUY30" s="13"/>
      <c r="TVE30" s="4"/>
      <c r="TVF30" s="12"/>
      <c r="TVG30" s="13"/>
      <c r="TVM30" s="4"/>
      <c r="TVN30" s="12"/>
      <c r="TVO30" s="13"/>
      <c r="TVU30" s="4"/>
      <c r="TVV30" s="12"/>
      <c r="TVW30" s="13"/>
      <c r="TWC30" s="4"/>
      <c r="TWD30" s="12"/>
      <c r="TWE30" s="13"/>
      <c r="TWK30" s="4"/>
      <c r="TWL30" s="12"/>
      <c r="TWM30" s="13"/>
      <c r="TWS30" s="4"/>
      <c r="TWT30" s="12"/>
      <c r="TWU30" s="13"/>
      <c r="TXA30" s="4"/>
      <c r="TXB30" s="12"/>
      <c r="TXC30" s="13"/>
      <c r="TXI30" s="4"/>
      <c r="TXJ30" s="12"/>
      <c r="TXK30" s="13"/>
      <c r="TXQ30" s="4"/>
      <c r="TXR30" s="12"/>
      <c r="TXS30" s="13"/>
      <c r="TXY30" s="4"/>
      <c r="TXZ30" s="12"/>
      <c r="TYA30" s="13"/>
      <c r="TYG30" s="4"/>
      <c r="TYH30" s="12"/>
      <c r="TYI30" s="13"/>
      <c r="TYO30" s="4"/>
      <c r="TYP30" s="12"/>
      <c r="TYQ30" s="13"/>
      <c r="TYW30" s="4"/>
      <c r="TYX30" s="12"/>
      <c r="TYY30" s="13"/>
      <c r="TZE30" s="4"/>
      <c r="TZF30" s="12"/>
      <c r="TZG30" s="13"/>
      <c r="TZM30" s="4"/>
      <c r="TZN30" s="12"/>
      <c r="TZO30" s="13"/>
      <c r="TZU30" s="4"/>
      <c r="TZV30" s="12"/>
      <c r="TZW30" s="13"/>
      <c r="UAC30" s="4"/>
      <c r="UAD30" s="12"/>
      <c r="UAE30" s="13"/>
      <c r="UAK30" s="4"/>
      <c r="UAL30" s="12"/>
      <c r="UAM30" s="13"/>
      <c r="UAS30" s="4"/>
      <c r="UAT30" s="12"/>
      <c r="UAU30" s="13"/>
      <c r="UBA30" s="4"/>
      <c r="UBB30" s="12"/>
      <c r="UBC30" s="13"/>
      <c r="UBI30" s="4"/>
      <c r="UBJ30" s="12"/>
      <c r="UBK30" s="13"/>
      <c r="UBQ30" s="4"/>
      <c r="UBR30" s="12"/>
      <c r="UBS30" s="13"/>
      <c r="UBY30" s="4"/>
      <c r="UBZ30" s="12"/>
      <c r="UCA30" s="13"/>
      <c r="UCG30" s="4"/>
      <c r="UCH30" s="12"/>
      <c r="UCI30" s="13"/>
      <c r="UCO30" s="4"/>
      <c r="UCP30" s="12"/>
      <c r="UCQ30" s="13"/>
      <c r="UCW30" s="4"/>
      <c r="UCX30" s="12"/>
      <c r="UCY30" s="13"/>
      <c r="UDE30" s="4"/>
      <c r="UDF30" s="12"/>
      <c r="UDG30" s="13"/>
      <c r="UDM30" s="4"/>
      <c r="UDN30" s="12"/>
      <c r="UDO30" s="13"/>
      <c r="UDU30" s="4"/>
      <c r="UDV30" s="12"/>
      <c r="UDW30" s="13"/>
      <c r="UEC30" s="4"/>
      <c r="UED30" s="12"/>
      <c r="UEE30" s="13"/>
      <c r="UEK30" s="4"/>
      <c r="UEL30" s="12"/>
      <c r="UEM30" s="13"/>
      <c r="UES30" s="4"/>
      <c r="UET30" s="12"/>
      <c r="UEU30" s="13"/>
      <c r="UFA30" s="4"/>
      <c r="UFB30" s="12"/>
      <c r="UFC30" s="13"/>
      <c r="UFI30" s="4"/>
      <c r="UFJ30" s="12"/>
      <c r="UFK30" s="13"/>
      <c r="UFQ30" s="4"/>
      <c r="UFR30" s="12"/>
      <c r="UFS30" s="13"/>
      <c r="UFY30" s="4"/>
      <c r="UFZ30" s="12"/>
      <c r="UGA30" s="13"/>
      <c r="UGG30" s="4"/>
      <c r="UGH30" s="12"/>
      <c r="UGI30" s="13"/>
      <c r="UGO30" s="4"/>
      <c r="UGP30" s="12"/>
      <c r="UGQ30" s="13"/>
      <c r="UGW30" s="4"/>
      <c r="UGX30" s="12"/>
      <c r="UGY30" s="13"/>
      <c r="UHE30" s="4"/>
      <c r="UHF30" s="12"/>
      <c r="UHG30" s="13"/>
      <c r="UHM30" s="4"/>
      <c r="UHN30" s="12"/>
      <c r="UHO30" s="13"/>
      <c r="UHU30" s="4"/>
      <c r="UHV30" s="12"/>
      <c r="UHW30" s="13"/>
      <c r="UIC30" s="4"/>
      <c r="UID30" s="12"/>
      <c r="UIE30" s="13"/>
      <c r="UIK30" s="4"/>
      <c r="UIL30" s="12"/>
      <c r="UIM30" s="13"/>
      <c r="UIS30" s="4"/>
      <c r="UIT30" s="12"/>
      <c r="UIU30" s="13"/>
      <c r="UJA30" s="4"/>
      <c r="UJB30" s="12"/>
      <c r="UJC30" s="13"/>
      <c r="UJI30" s="4"/>
      <c r="UJJ30" s="12"/>
      <c r="UJK30" s="13"/>
      <c r="UJQ30" s="4"/>
      <c r="UJR30" s="12"/>
      <c r="UJS30" s="13"/>
      <c r="UJY30" s="4"/>
      <c r="UJZ30" s="12"/>
      <c r="UKA30" s="13"/>
      <c r="UKG30" s="4"/>
      <c r="UKH30" s="12"/>
      <c r="UKI30" s="13"/>
      <c r="UKO30" s="4"/>
      <c r="UKP30" s="12"/>
      <c r="UKQ30" s="13"/>
      <c r="UKW30" s="4"/>
      <c r="UKX30" s="12"/>
      <c r="UKY30" s="13"/>
      <c r="ULE30" s="4"/>
      <c r="ULF30" s="12"/>
      <c r="ULG30" s="13"/>
      <c r="ULM30" s="4"/>
      <c r="ULN30" s="12"/>
      <c r="ULO30" s="13"/>
      <c r="ULU30" s="4"/>
      <c r="ULV30" s="12"/>
      <c r="ULW30" s="13"/>
      <c r="UMC30" s="4"/>
      <c r="UMD30" s="12"/>
      <c r="UME30" s="13"/>
      <c r="UMK30" s="4"/>
      <c r="UML30" s="12"/>
      <c r="UMM30" s="13"/>
      <c r="UMS30" s="4"/>
      <c r="UMT30" s="12"/>
      <c r="UMU30" s="13"/>
      <c r="UNA30" s="4"/>
      <c r="UNB30" s="12"/>
      <c r="UNC30" s="13"/>
      <c r="UNI30" s="4"/>
      <c r="UNJ30" s="12"/>
      <c r="UNK30" s="13"/>
      <c r="UNQ30" s="4"/>
      <c r="UNR30" s="12"/>
      <c r="UNS30" s="13"/>
      <c r="UNY30" s="4"/>
      <c r="UNZ30" s="12"/>
      <c r="UOA30" s="13"/>
      <c r="UOG30" s="4"/>
      <c r="UOH30" s="12"/>
      <c r="UOI30" s="13"/>
      <c r="UOO30" s="4"/>
      <c r="UOP30" s="12"/>
      <c r="UOQ30" s="13"/>
      <c r="UOW30" s="4"/>
      <c r="UOX30" s="12"/>
      <c r="UOY30" s="13"/>
      <c r="UPE30" s="4"/>
      <c r="UPF30" s="12"/>
      <c r="UPG30" s="13"/>
      <c r="UPM30" s="4"/>
      <c r="UPN30" s="12"/>
      <c r="UPO30" s="13"/>
      <c r="UPU30" s="4"/>
      <c r="UPV30" s="12"/>
      <c r="UPW30" s="13"/>
      <c r="UQC30" s="4"/>
      <c r="UQD30" s="12"/>
      <c r="UQE30" s="13"/>
      <c r="UQK30" s="4"/>
      <c r="UQL30" s="12"/>
      <c r="UQM30" s="13"/>
      <c r="UQS30" s="4"/>
      <c r="UQT30" s="12"/>
      <c r="UQU30" s="13"/>
      <c r="URA30" s="4"/>
      <c r="URB30" s="12"/>
      <c r="URC30" s="13"/>
      <c r="URI30" s="4"/>
      <c r="URJ30" s="12"/>
      <c r="URK30" s="13"/>
      <c r="URQ30" s="4"/>
      <c r="URR30" s="12"/>
      <c r="URS30" s="13"/>
      <c r="URY30" s="4"/>
      <c r="URZ30" s="12"/>
      <c r="USA30" s="13"/>
      <c r="USG30" s="4"/>
      <c r="USH30" s="12"/>
      <c r="USI30" s="13"/>
      <c r="USO30" s="4"/>
      <c r="USP30" s="12"/>
      <c r="USQ30" s="13"/>
      <c r="USW30" s="4"/>
      <c r="USX30" s="12"/>
      <c r="USY30" s="13"/>
      <c r="UTE30" s="4"/>
      <c r="UTF30" s="12"/>
      <c r="UTG30" s="13"/>
      <c r="UTM30" s="4"/>
      <c r="UTN30" s="12"/>
      <c r="UTO30" s="13"/>
      <c r="UTU30" s="4"/>
      <c r="UTV30" s="12"/>
      <c r="UTW30" s="13"/>
      <c r="UUC30" s="4"/>
      <c r="UUD30" s="12"/>
      <c r="UUE30" s="13"/>
      <c r="UUK30" s="4"/>
      <c r="UUL30" s="12"/>
      <c r="UUM30" s="13"/>
      <c r="UUS30" s="4"/>
      <c r="UUT30" s="12"/>
      <c r="UUU30" s="13"/>
      <c r="UVA30" s="4"/>
      <c r="UVB30" s="12"/>
      <c r="UVC30" s="13"/>
      <c r="UVI30" s="4"/>
      <c r="UVJ30" s="12"/>
      <c r="UVK30" s="13"/>
      <c r="UVQ30" s="4"/>
      <c r="UVR30" s="12"/>
      <c r="UVS30" s="13"/>
      <c r="UVY30" s="4"/>
      <c r="UVZ30" s="12"/>
      <c r="UWA30" s="13"/>
      <c r="UWG30" s="4"/>
      <c r="UWH30" s="12"/>
      <c r="UWI30" s="13"/>
      <c r="UWO30" s="4"/>
      <c r="UWP30" s="12"/>
      <c r="UWQ30" s="13"/>
      <c r="UWW30" s="4"/>
      <c r="UWX30" s="12"/>
      <c r="UWY30" s="13"/>
      <c r="UXE30" s="4"/>
      <c r="UXF30" s="12"/>
      <c r="UXG30" s="13"/>
      <c r="UXM30" s="4"/>
      <c r="UXN30" s="12"/>
      <c r="UXO30" s="13"/>
      <c r="UXU30" s="4"/>
      <c r="UXV30" s="12"/>
      <c r="UXW30" s="13"/>
      <c r="UYC30" s="4"/>
      <c r="UYD30" s="12"/>
      <c r="UYE30" s="13"/>
      <c r="UYK30" s="4"/>
      <c r="UYL30" s="12"/>
      <c r="UYM30" s="13"/>
      <c r="UYS30" s="4"/>
      <c r="UYT30" s="12"/>
      <c r="UYU30" s="13"/>
      <c r="UZA30" s="4"/>
      <c r="UZB30" s="12"/>
      <c r="UZC30" s="13"/>
      <c r="UZI30" s="4"/>
      <c r="UZJ30" s="12"/>
      <c r="UZK30" s="13"/>
      <c r="UZQ30" s="4"/>
      <c r="UZR30" s="12"/>
      <c r="UZS30" s="13"/>
      <c r="UZY30" s="4"/>
      <c r="UZZ30" s="12"/>
      <c r="VAA30" s="13"/>
      <c r="VAG30" s="4"/>
      <c r="VAH30" s="12"/>
      <c r="VAI30" s="13"/>
      <c r="VAO30" s="4"/>
      <c r="VAP30" s="12"/>
      <c r="VAQ30" s="13"/>
      <c r="VAW30" s="4"/>
      <c r="VAX30" s="12"/>
      <c r="VAY30" s="13"/>
      <c r="VBE30" s="4"/>
      <c r="VBF30" s="12"/>
      <c r="VBG30" s="13"/>
      <c r="VBM30" s="4"/>
      <c r="VBN30" s="12"/>
      <c r="VBO30" s="13"/>
      <c r="VBU30" s="4"/>
      <c r="VBV30" s="12"/>
      <c r="VBW30" s="13"/>
      <c r="VCC30" s="4"/>
      <c r="VCD30" s="12"/>
      <c r="VCE30" s="13"/>
      <c r="VCK30" s="4"/>
      <c r="VCL30" s="12"/>
      <c r="VCM30" s="13"/>
      <c r="VCS30" s="4"/>
      <c r="VCT30" s="12"/>
      <c r="VCU30" s="13"/>
      <c r="VDA30" s="4"/>
      <c r="VDB30" s="12"/>
      <c r="VDC30" s="13"/>
      <c r="VDI30" s="4"/>
      <c r="VDJ30" s="12"/>
      <c r="VDK30" s="13"/>
      <c r="VDQ30" s="4"/>
      <c r="VDR30" s="12"/>
      <c r="VDS30" s="13"/>
      <c r="VDY30" s="4"/>
      <c r="VDZ30" s="12"/>
      <c r="VEA30" s="13"/>
      <c r="VEG30" s="4"/>
      <c r="VEH30" s="12"/>
      <c r="VEI30" s="13"/>
      <c r="VEO30" s="4"/>
      <c r="VEP30" s="12"/>
      <c r="VEQ30" s="13"/>
      <c r="VEW30" s="4"/>
      <c r="VEX30" s="12"/>
      <c r="VEY30" s="13"/>
      <c r="VFE30" s="4"/>
      <c r="VFF30" s="12"/>
      <c r="VFG30" s="13"/>
      <c r="VFM30" s="4"/>
      <c r="VFN30" s="12"/>
      <c r="VFO30" s="13"/>
      <c r="VFU30" s="4"/>
      <c r="VFV30" s="12"/>
      <c r="VFW30" s="13"/>
      <c r="VGC30" s="4"/>
      <c r="VGD30" s="12"/>
      <c r="VGE30" s="13"/>
      <c r="VGK30" s="4"/>
      <c r="VGL30" s="12"/>
      <c r="VGM30" s="13"/>
      <c r="VGS30" s="4"/>
      <c r="VGT30" s="12"/>
      <c r="VGU30" s="13"/>
      <c r="VHA30" s="4"/>
      <c r="VHB30" s="12"/>
      <c r="VHC30" s="13"/>
      <c r="VHI30" s="4"/>
      <c r="VHJ30" s="12"/>
      <c r="VHK30" s="13"/>
      <c r="VHQ30" s="4"/>
      <c r="VHR30" s="12"/>
      <c r="VHS30" s="13"/>
      <c r="VHY30" s="4"/>
      <c r="VHZ30" s="12"/>
      <c r="VIA30" s="13"/>
      <c r="VIG30" s="4"/>
      <c r="VIH30" s="12"/>
      <c r="VII30" s="13"/>
      <c r="VIO30" s="4"/>
      <c r="VIP30" s="12"/>
      <c r="VIQ30" s="13"/>
      <c r="VIW30" s="4"/>
      <c r="VIX30" s="12"/>
      <c r="VIY30" s="13"/>
      <c r="VJE30" s="4"/>
      <c r="VJF30" s="12"/>
      <c r="VJG30" s="13"/>
      <c r="VJM30" s="4"/>
      <c r="VJN30" s="12"/>
      <c r="VJO30" s="13"/>
      <c r="VJU30" s="4"/>
      <c r="VJV30" s="12"/>
      <c r="VJW30" s="13"/>
      <c r="VKC30" s="4"/>
      <c r="VKD30" s="12"/>
      <c r="VKE30" s="13"/>
      <c r="VKK30" s="4"/>
      <c r="VKL30" s="12"/>
      <c r="VKM30" s="13"/>
      <c r="VKS30" s="4"/>
      <c r="VKT30" s="12"/>
      <c r="VKU30" s="13"/>
      <c r="VLA30" s="4"/>
      <c r="VLB30" s="12"/>
      <c r="VLC30" s="13"/>
      <c r="VLI30" s="4"/>
      <c r="VLJ30" s="12"/>
      <c r="VLK30" s="13"/>
      <c r="VLQ30" s="4"/>
      <c r="VLR30" s="12"/>
      <c r="VLS30" s="13"/>
      <c r="VLY30" s="4"/>
      <c r="VLZ30" s="12"/>
      <c r="VMA30" s="13"/>
      <c r="VMG30" s="4"/>
      <c r="VMH30" s="12"/>
      <c r="VMI30" s="13"/>
      <c r="VMO30" s="4"/>
      <c r="VMP30" s="12"/>
      <c r="VMQ30" s="13"/>
      <c r="VMW30" s="4"/>
      <c r="VMX30" s="12"/>
      <c r="VMY30" s="13"/>
      <c r="VNE30" s="4"/>
      <c r="VNF30" s="12"/>
      <c r="VNG30" s="13"/>
      <c r="VNM30" s="4"/>
      <c r="VNN30" s="12"/>
      <c r="VNO30" s="13"/>
      <c r="VNU30" s="4"/>
      <c r="VNV30" s="12"/>
      <c r="VNW30" s="13"/>
      <c r="VOC30" s="4"/>
      <c r="VOD30" s="12"/>
      <c r="VOE30" s="13"/>
      <c r="VOK30" s="4"/>
      <c r="VOL30" s="12"/>
      <c r="VOM30" s="13"/>
      <c r="VOS30" s="4"/>
      <c r="VOT30" s="12"/>
      <c r="VOU30" s="13"/>
      <c r="VPA30" s="4"/>
      <c r="VPB30" s="12"/>
      <c r="VPC30" s="13"/>
      <c r="VPI30" s="4"/>
      <c r="VPJ30" s="12"/>
      <c r="VPK30" s="13"/>
      <c r="VPQ30" s="4"/>
      <c r="VPR30" s="12"/>
      <c r="VPS30" s="13"/>
      <c r="VPY30" s="4"/>
      <c r="VPZ30" s="12"/>
      <c r="VQA30" s="13"/>
      <c r="VQG30" s="4"/>
      <c r="VQH30" s="12"/>
      <c r="VQI30" s="13"/>
      <c r="VQO30" s="4"/>
      <c r="VQP30" s="12"/>
      <c r="VQQ30" s="13"/>
      <c r="VQW30" s="4"/>
      <c r="VQX30" s="12"/>
      <c r="VQY30" s="13"/>
      <c r="VRE30" s="4"/>
      <c r="VRF30" s="12"/>
      <c r="VRG30" s="13"/>
      <c r="VRM30" s="4"/>
      <c r="VRN30" s="12"/>
      <c r="VRO30" s="13"/>
      <c r="VRU30" s="4"/>
      <c r="VRV30" s="12"/>
      <c r="VRW30" s="13"/>
      <c r="VSC30" s="4"/>
      <c r="VSD30" s="12"/>
      <c r="VSE30" s="13"/>
      <c r="VSK30" s="4"/>
      <c r="VSL30" s="12"/>
      <c r="VSM30" s="13"/>
      <c r="VSS30" s="4"/>
      <c r="VST30" s="12"/>
      <c r="VSU30" s="13"/>
      <c r="VTA30" s="4"/>
      <c r="VTB30" s="12"/>
      <c r="VTC30" s="13"/>
      <c r="VTI30" s="4"/>
      <c r="VTJ30" s="12"/>
      <c r="VTK30" s="13"/>
      <c r="VTQ30" s="4"/>
      <c r="VTR30" s="12"/>
      <c r="VTS30" s="13"/>
      <c r="VTY30" s="4"/>
      <c r="VTZ30" s="12"/>
      <c r="VUA30" s="13"/>
      <c r="VUG30" s="4"/>
      <c r="VUH30" s="12"/>
      <c r="VUI30" s="13"/>
      <c r="VUO30" s="4"/>
      <c r="VUP30" s="12"/>
      <c r="VUQ30" s="13"/>
      <c r="VUW30" s="4"/>
      <c r="VUX30" s="12"/>
      <c r="VUY30" s="13"/>
      <c r="VVE30" s="4"/>
      <c r="VVF30" s="12"/>
      <c r="VVG30" s="13"/>
      <c r="VVM30" s="4"/>
      <c r="VVN30" s="12"/>
      <c r="VVO30" s="13"/>
      <c r="VVU30" s="4"/>
      <c r="VVV30" s="12"/>
      <c r="VVW30" s="13"/>
      <c r="VWC30" s="4"/>
      <c r="VWD30" s="12"/>
      <c r="VWE30" s="13"/>
      <c r="VWK30" s="4"/>
      <c r="VWL30" s="12"/>
      <c r="VWM30" s="13"/>
      <c r="VWS30" s="4"/>
      <c r="VWT30" s="12"/>
      <c r="VWU30" s="13"/>
      <c r="VXA30" s="4"/>
      <c r="VXB30" s="12"/>
      <c r="VXC30" s="13"/>
      <c r="VXI30" s="4"/>
      <c r="VXJ30" s="12"/>
      <c r="VXK30" s="13"/>
      <c r="VXQ30" s="4"/>
      <c r="VXR30" s="12"/>
      <c r="VXS30" s="13"/>
      <c r="VXY30" s="4"/>
      <c r="VXZ30" s="12"/>
      <c r="VYA30" s="13"/>
      <c r="VYG30" s="4"/>
      <c r="VYH30" s="12"/>
      <c r="VYI30" s="13"/>
      <c r="VYO30" s="4"/>
      <c r="VYP30" s="12"/>
      <c r="VYQ30" s="13"/>
      <c r="VYW30" s="4"/>
      <c r="VYX30" s="12"/>
      <c r="VYY30" s="13"/>
      <c r="VZE30" s="4"/>
      <c r="VZF30" s="12"/>
      <c r="VZG30" s="13"/>
      <c r="VZM30" s="4"/>
      <c r="VZN30" s="12"/>
      <c r="VZO30" s="13"/>
      <c r="VZU30" s="4"/>
      <c r="VZV30" s="12"/>
      <c r="VZW30" s="13"/>
      <c r="WAC30" s="4"/>
      <c r="WAD30" s="12"/>
      <c r="WAE30" s="13"/>
      <c r="WAK30" s="4"/>
      <c r="WAL30" s="12"/>
      <c r="WAM30" s="13"/>
      <c r="WAS30" s="4"/>
      <c r="WAT30" s="12"/>
      <c r="WAU30" s="13"/>
      <c r="WBA30" s="4"/>
      <c r="WBB30" s="12"/>
      <c r="WBC30" s="13"/>
      <c r="WBI30" s="4"/>
      <c r="WBJ30" s="12"/>
      <c r="WBK30" s="13"/>
      <c r="WBQ30" s="4"/>
      <c r="WBR30" s="12"/>
      <c r="WBS30" s="13"/>
      <c r="WBY30" s="4"/>
      <c r="WBZ30" s="12"/>
      <c r="WCA30" s="13"/>
      <c r="WCG30" s="4"/>
      <c r="WCH30" s="12"/>
      <c r="WCI30" s="13"/>
      <c r="WCO30" s="4"/>
      <c r="WCP30" s="12"/>
      <c r="WCQ30" s="13"/>
      <c r="WCW30" s="4"/>
      <c r="WCX30" s="12"/>
      <c r="WCY30" s="13"/>
      <c r="WDE30" s="4"/>
      <c r="WDF30" s="12"/>
      <c r="WDG30" s="13"/>
      <c r="WDM30" s="4"/>
      <c r="WDN30" s="12"/>
      <c r="WDO30" s="13"/>
      <c r="WDU30" s="4"/>
      <c r="WDV30" s="12"/>
      <c r="WDW30" s="13"/>
      <c r="WEC30" s="4"/>
      <c r="WED30" s="12"/>
      <c r="WEE30" s="13"/>
      <c r="WEK30" s="4"/>
      <c r="WEL30" s="12"/>
      <c r="WEM30" s="13"/>
      <c r="WES30" s="4"/>
      <c r="WET30" s="12"/>
      <c r="WEU30" s="13"/>
      <c r="WFA30" s="4"/>
      <c r="WFB30" s="12"/>
      <c r="WFC30" s="13"/>
      <c r="WFI30" s="4"/>
      <c r="WFJ30" s="12"/>
      <c r="WFK30" s="13"/>
      <c r="WFQ30" s="4"/>
      <c r="WFR30" s="12"/>
      <c r="WFS30" s="13"/>
      <c r="WFY30" s="4"/>
      <c r="WFZ30" s="12"/>
      <c r="WGA30" s="13"/>
      <c r="WGG30" s="4"/>
      <c r="WGH30" s="12"/>
      <c r="WGI30" s="13"/>
      <c r="WGO30" s="4"/>
      <c r="WGP30" s="12"/>
      <c r="WGQ30" s="13"/>
      <c r="WGW30" s="4"/>
      <c r="WGX30" s="12"/>
      <c r="WGY30" s="13"/>
      <c r="WHE30" s="4"/>
      <c r="WHF30" s="12"/>
      <c r="WHG30" s="13"/>
      <c r="WHM30" s="4"/>
      <c r="WHN30" s="12"/>
      <c r="WHO30" s="13"/>
      <c r="WHU30" s="4"/>
      <c r="WHV30" s="12"/>
      <c r="WHW30" s="13"/>
      <c r="WIC30" s="4"/>
      <c r="WID30" s="12"/>
      <c r="WIE30" s="13"/>
      <c r="WIK30" s="4"/>
      <c r="WIL30" s="12"/>
      <c r="WIM30" s="13"/>
      <c r="WIS30" s="4"/>
      <c r="WIT30" s="12"/>
      <c r="WIU30" s="13"/>
      <c r="WJA30" s="4"/>
      <c r="WJB30" s="12"/>
      <c r="WJC30" s="13"/>
      <c r="WJI30" s="4"/>
      <c r="WJJ30" s="12"/>
      <c r="WJK30" s="13"/>
      <c r="WJQ30" s="4"/>
      <c r="WJR30" s="12"/>
      <c r="WJS30" s="13"/>
      <c r="WJY30" s="4"/>
      <c r="WJZ30" s="12"/>
      <c r="WKA30" s="13"/>
      <c r="WKG30" s="4"/>
      <c r="WKH30" s="12"/>
      <c r="WKI30" s="13"/>
      <c r="WKO30" s="4"/>
      <c r="WKP30" s="12"/>
      <c r="WKQ30" s="13"/>
      <c r="WKW30" s="4"/>
      <c r="WKX30" s="12"/>
      <c r="WKY30" s="13"/>
      <c r="WLE30" s="4"/>
      <c r="WLF30" s="12"/>
      <c r="WLG30" s="13"/>
      <c r="WLM30" s="4"/>
      <c r="WLN30" s="12"/>
      <c r="WLO30" s="13"/>
      <c r="WLU30" s="4"/>
      <c r="WLV30" s="12"/>
      <c r="WLW30" s="13"/>
      <c r="WMC30" s="4"/>
      <c r="WMD30" s="12"/>
      <c r="WME30" s="13"/>
      <c r="WMK30" s="4"/>
      <c r="WML30" s="12"/>
      <c r="WMM30" s="13"/>
      <c r="WMS30" s="4"/>
      <c r="WMT30" s="12"/>
      <c r="WMU30" s="13"/>
      <c r="WNA30" s="4"/>
      <c r="WNB30" s="12"/>
      <c r="WNC30" s="13"/>
      <c r="WNI30" s="4"/>
      <c r="WNJ30" s="12"/>
      <c r="WNK30" s="13"/>
      <c r="WNQ30" s="4"/>
      <c r="WNR30" s="12"/>
      <c r="WNS30" s="13"/>
      <c r="WNY30" s="4"/>
      <c r="WNZ30" s="12"/>
      <c r="WOA30" s="13"/>
      <c r="WOG30" s="4"/>
      <c r="WOH30" s="12"/>
      <c r="WOI30" s="13"/>
      <c r="WOO30" s="4"/>
      <c r="WOP30" s="12"/>
      <c r="WOQ30" s="13"/>
      <c r="WOW30" s="4"/>
      <c r="WOX30" s="12"/>
      <c r="WOY30" s="13"/>
      <c r="WPE30" s="4"/>
      <c r="WPF30" s="12"/>
      <c r="WPG30" s="13"/>
      <c r="WPM30" s="4"/>
      <c r="WPN30" s="12"/>
      <c r="WPO30" s="13"/>
      <c r="WPU30" s="4"/>
      <c r="WPV30" s="12"/>
      <c r="WPW30" s="13"/>
      <c r="WQC30" s="4"/>
      <c r="WQD30" s="12"/>
      <c r="WQE30" s="13"/>
      <c r="WQK30" s="4"/>
      <c r="WQL30" s="12"/>
      <c r="WQM30" s="13"/>
      <c r="WQS30" s="4"/>
      <c r="WQT30" s="12"/>
      <c r="WQU30" s="13"/>
      <c r="WRA30" s="4"/>
      <c r="WRB30" s="12"/>
      <c r="WRC30" s="13"/>
      <c r="WRI30" s="4"/>
      <c r="WRJ30" s="12"/>
      <c r="WRK30" s="13"/>
      <c r="WRQ30" s="4"/>
      <c r="WRR30" s="12"/>
      <c r="WRS30" s="13"/>
      <c r="WRY30" s="4"/>
      <c r="WRZ30" s="12"/>
      <c r="WSA30" s="13"/>
      <c r="WSG30" s="4"/>
      <c r="WSH30" s="12"/>
      <c r="WSI30" s="13"/>
      <c r="WSO30" s="4"/>
      <c r="WSP30" s="12"/>
      <c r="WSQ30" s="13"/>
      <c r="WSW30" s="4"/>
      <c r="WSX30" s="12"/>
      <c r="WSY30" s="13"/>
      <c r="WTE30" s="4"/>
      <c r="WTF30" s="12"/>
      <c r="WTG30" s="13"/>
      <c r="WTM30" s="4"/>
      <c r="WTN30" s="12"/>
      <c r="WTO30" s="13"/>
      <c r="WTU30" s="4"/>
      <c r="WTV30" s="12"/>
      <c r="WTW30" s="13"/>
      <c r="WUC30" s="4"/>
      <c r="WUD30" s="12"/>
      <c r="WUE30" s="13"/>
      <c r="WUK30" s="4"/>
      <c r="WUL30" s="12"/>
      <c r="WUM30" s="13"/>
      <c r="WUS30" s="4"/>
      <c r="WUT30" s="12"/>
      <c r="WUU30" s="13"/>
      <c r="WVA30" s="4"/>
      <c r="WVB30" s="12"/>
      <c r="WVC30" s="13"/>
      <c r="WVI30" s="4"/>
      <c r="WVJ30" s="12"/>
      <c r="WVK30" s="13"/>
      <c r="WVQ30" s="4"/>
      <c r="WVR30" s="12"/>
      <c r="WVS30" s="13"/>
      <c r="WVY30" s="4"/>
      <c r="WVZ30" s="12"/>
      <c r="WWA30" s="13"/>
      <c r="WWG30" s="4"/>
      <c r="WWH30" s="12"/>
      <c r="WWI30" s="13"/>
      <c r="WWO30" s="4"/>
      <c r="WWP30" s="12"/>
      <c r="WWQ30" s="13"/>
      <c r="WWW30" s="4"/>
      <c r="WWX30" s="12"/>
      <c r="WWY30" s="13"/>
      <c r="WXE30" s="4"/>
      <c r="WXF30" s="12"/>
      <c r="WXG30" s="13"/>
      <c r="WXM30" s="4"/>
      <c r="WXN30" s="12"/>
      <c r="WXO30" s="13"/>
      <c r="WXU30" s="4"/>
      <c r="WXV30" s="12"/>
      <c r="WXW30" s="13"/>
      <c r="WYC30" s="4"/>
      <c r="WYD30" s="12"/>
      <c r="WYE30" s="13"/>
      <c r="WYK30" s="4"/>
      <c r="WYL30" s="12"/>
      <c r="WYM30" s="13"/>
      <c r="WYS30" s="4"/>
      <c r="WYT30" s="12"/>
      <c r="WYU30" s="13"/>
      <c r="WZA30" s="4"/>
      <c r="WZB30" s="12"/>
      <c r="WZC30" s="13"/>
      <c r="WZI30" s="4"/>
      <c r="WZJ30" s="12"/>
      <c r="WZK30" s="13"/>
      <c r="WZQ30" s="4"/>
      <c r="WZR30" s="12"/>
      <c r="WZS30" s="13"/>
      <c r="WZY30" s="4"/>
      <c r="WZZ30" s="12"/>
      <c r="XAA30" s="13"/>
      <c r="XAG30" s="4"/>
      <c r="XAH30" s="12"/>
      <c r="XAI30" s="13"/>
      <c r="XAO30" s="4"/>
      <c r="XAP30" s="12"/>
      <c r="XAQ30" s="13"/>
      <c r="XAW30" s="4"/>
      <c r="XAX30" s="12"/>
      <c r="XAY30" s="13"/>
      <c r="XBE30" s="4"/>
      <c r="XBF30" s="12"/>
      <c r="XBG30" s="13"/>
      <c r="XBM30" s="4"/>
      <c r="XBN30" s="12"/>
      <c r="XBO30" s="13"/>
      <c r="XBU30" s="4"/>
      <c r="XBV30" s="12"/>
      <c r="XBW30" s="13"/>
      <c r="XCC30" s="4"/>
      <c r="XCD30" s="12"/>
      <c r="XCE30" s="13"/>
      <c r="XCK30" s="4"/>
      <c r="XCL30" s="12"/>
      <c r="XCM30" s="13"/>
      <c r="XCS30" s="4"/>
      <c r="XCT30" s="12"/>
      <c r="XCU30" s="13"/>
      <c r="XDA30" s="4"/>
      <c r="XDB30" s="12"/>
      <c r="XDC30" s="13"/>
      <c r="XDI30" s="4"/>
      <c r="XDJ30" s="12"/>
      <c r="XDK30" s="13"/>
      <c r="XDQ30" s="4"/>
      <c r="XDR30" s="12"/>
      <c r="XDS30" s="13"/>
      <c r="XDY30" s="4"/>
      <c r="XDZ30" s="12"/>
      <c r="XEA30" s="13"/>
      <c r="XEG30" s="4"/>
      <c r="XEH30" s="12"/>
      <c r="XEI30" s="13"/>
      <c r="XEO30" s="4"/>
      <c r="XEP30" s="12"/>
      <c r="XEQ30" s="13"/>
      <c r="XEW30" s="4"/>
      <c r="XEX30" s="12"/>
      <c r="XEY30" s="13"/>
    </row>
    <row r="31" spans="1:1019 1025:2043 2049:3067 3073:4091 4097:5115 5121:6139 6145:7163 7169:8187 8193:9211 9217:10235 10241:11259 11265:12283 12289:13307 13313:14331 14337:15355 15361:16379">
      <c r="A31" s="4" t="s">
        <v>1</v>
      </c>
      <c r="B31" s="12" t="s">
        <v>29</v>
      </c>
      <c r="C31" s="13"/>
      <c r="D31" s="9"/>
      <c r="E31" s="9"/>
      <c r="F31" s="9"/>
      <c r="G31" s="9"/>
      <c r="H31" s="9"/>
      <c r="I31" s="11"/>
      <c r="K31" s="8"/>
    </row>
    <row r="32" spans="1:1019 1025:2043 2049:3067 3073:4091 4097:5115 5121:6139 6145:7163 7169:8187 8193:9211 9217:10235 10241:11259 11265:12283 12289:13307 13313:14331 14337:15355 15361:16379">
      <c r="A32" s="6" t="s">
        <v>3</v>
      </c>
      <c r="B32" s="14">
        <v>1</v>
      </c>
      <c r="C32" s="9"/>
      <c r="D32" s="9"/>
      <c r="E32" s="9"/>
      <c r="F32" s="9"/>
      <c r="G32" s="9"/>
      <c r="H32" s="9"/>
      <c r="I32" s="11"/>
      <c r="K32" s="8"/>
    </row>
    <row r="33" spans="1:11">
      <c r="A33" s="6" t="s">
        <v>11</v>
      </c>
      <c r="B33" t="s">
        <v>44</v>
      </c>
      <c r="C33" s="9"/>
      <c r="D33" s="9"/>
      <c r="E33" s="9"/>
      <c r="F33" s="9"/>
      <c r="G33" s="9"/>
      <c r="H33" s="9"/>
      <c r="I33" s="11"/>
      <c r="K33" s="8"/>
    </row>
    <row r="34" spans="1:11">
      <c r="A34" s="6" t="s">
        <v>4</v>
      </c>
      <c r="B34" s="2" t="s">
        <v>28</v>
      </c>
      <c r="C34" s="9"/>
      <c r="D34" s="10"/>
      <c r="E34" s="9"/>
      <c r="F34" s="9"/>
      <c r="G34" s="9"/>
      <c r="H34" s="9"/>
      <c r="I34" s="11"/>
      <c r="K34" s="8"/>
    </row>
    <row r="35" spans="1:11">
      <c r="A35" s="6" t="s">
        <v>2</v>
      </c>
      <c r="B35" s="15" t="s">
        <v>27</v>
      </c>
      <c r="C35" s="9"/>
      <c r="D35" s="9"/>
      <c r="E35" s="9"/>
      <c r="F35" s="9"/>
      <c r="G35" s="9"/>
      <c r="H35" s="9"/>
      <c r="I35" s="11"/>
      <c r="K35" s="8"/>
    </row>
    <row r="36" spans="1:11">
      <c r="A36" s="6" t="s">
        <v>6</v>
      </c>
      <c r="B36" s="10" t="s">
        <v>19</v>
      </c>
      <c r="C36" s="9"/>
      <c r="D36" s="9"/>
      <c r="E36" s="9"/>
      <c r="F36" s="9"/>
      <c r="G36" s="9"/>
      <c r="H36" s="16"/>
      <c r="I36" s="17"/>
      <c r="K36" s="8"/>
    </row>
    <row r="37" spans="1:11">
      <c r="A37" s="16" t="s">
        <v>7</v>
      </c>
      <c r="B37" s="12"/>
      <c r="C37" s="16"/>
      <c r="D37" s="16"/>
      <c r="E37" s="16"/>
      <c r="F37" s="16"/>
      <c r="G37" s="16"/>
      <c r="H37" s="13"/>
      <c r="I37" s="18"/>
      <c r="K37" s="8"/>
    </row>
    <row r="38" spans="1:11">
      <c r="A38" t="s">
        <v>8</v>
      </c>
      <c r="B38" s="19" t="s">
        <v>9</v>
      </c>
      <c r="C38" t="s">
        <v>2</v>
      </c>
      <c r="D38" t="s">
        <v>6</v>
      </c>
      <c r="E38" t="s">
        <v>5</v>
      </c>
      <c r="F38" t="s">
        <v>4</v>
      </c>
      <c r="G38" t="s">
        <v>10</v>
      </c>
      <c r="H38" s="20" t="s">
        <v>11</v>
      </c>
      <c r="J38" s="1"/>
      <c r="K38" s="8"/>
    </row>
    <row r="39" spans="1:11">
      <c r="A39" s="19" t="s">
        <v>29</v>
      </c>
      <c r="B39" s="19">
        <v>1</v>
      </c>
      <c r="C39" t="str">
        <f>B35</f>
        <v>FR</v>
      </c>
      <c r="D39" t="s">
        <v>19</v>
      </c>
      <c r="E39" t="s">
        <v>18</v>
      </c>
      <c r="F39" s="2" t="s">
        <v>28</v>
      </c>
      <c r="H39" s="18"/>
      <c r="K39" s="8"/>
    </row>
    <row r="40" spans="1:11">
      <c r="A40" s="10" t="s">
        <v>138</v>
      </c>
      <c r="B40" s="19">
        <f>1*1.12*1.15</f>
        <v>1.288</v>
      </c>
      <c r="C40" t="s">
        <v>27</v>
      </c>
      <c r="D40" t="s">
        <v>19</v>
      </c>
      <c r="E40" t="s">
        <v>12</v>
      </c>
      <c r="F40" t="s">
        <v>28</v>
      </c>
      <c r="G40" s="13"/>
      <c r="H40" s="20"/>
    </row>
    <row r="41" spans="1:11">
      <c r="A41" s="19"/>
      <c r="G41" s="13"/>
      <c r="H41" s="13"/>
      <c r="K41" s="8"/>
    </row>
    <row r="42" spans="1:11">
      <c r="A42" s="4" t="s">
        <v>1</v>
      </c>
      <c r="B42" s="33" t="s">
        <v>99</v>
      </c>
      <c r="C42" s="13"/>
      <c r="D42" s="9"/>
      <c r="E42" s="9"/>
      <c r="F42" s="9"/>
      <c r="G42" s="9"/>
      <c r="H42" s="9"/>
      <c r="I42" s="11"/>
      <c r="K42" s="8"/>
    </row>
    <row r="43" spans="1:11">
      <c r="A43" s="6" t="s">
        <v>3</v>
      </c>
      <c r="B43" s="14">
        <v>1</v>
      </c>
      <c r="C43" s="9"/>
      <c r="D43" s="9"/>
      <c r="E43" s="9"/>
      <c r="F43" s="9"/>
      <c r="G43" s="9"/>
      <c r="H43" s="9"/>
      <c r="I43" s="11"/>
      <c r="K43" s="8"/>
    </row>
    <row r="44" spans="1:11">
      <c r="A44" s="6" t="s">
        <v>11</v>
      </c>
      <c r="B44" s="15" t="s">
        <v>100</v>
      </c>
      <c r="C44" s="9"/>
      <c r="D44" s="9"/>
      <c r="E44" s="9"/>
      <c r="F44" s="9"/>
      <c r="G44" s="9"/>
      <c r="H44" s="9"/>
      <c r="I44" s="11"/>
      <c r="K44" s="8"/>
    </row>
    <row r="45" spans="1:11">
      <c r="A45" s="6" t="s">
        <v>4</v>
      </c>
      <c r="B45" t="s">
        <v>28</v>
      </c>
      <c r="C45" s="9"/>
      <c r="D45" s="9"/>
      <c r="E45" s="9"/>
      <c r="F45" s="9"/>
      <c r="G45" s="9"/>
      <c r="H45" s="9"/>
      <c r="I45" s="11"/>
      <c r="K45" s="8"/>
    </row>
    <row r="46" spans="1:11">
      <c r="A46" s="6" t="s">
        <v>2</v>
      </c>
      <c r="B46" s="15" t="s">
        <v>27</v>
      </c>
      <c r="C46" s="9"/>
      <c r="D46" s="9"/>
      <c r="E46" s="9"/>
      <c r="F46" s="9"/>
      <c r="G46" s="9"/>
      <c r="H46" s="9"/>
      <c r="I46" s="11"/>
      <c r="K46" s="8"/>
    </row>
    <row r="47" spans="1:11">
      <c r="A47" s="6" t="s">
        <v>6</v>
      </c>
      <c r="B47" s="10" t="s">
        <v>19</v>
      </c>
      <c r="C47" s="9"/>
      <c r="D47" s="9"/>
      <c r="E47" s="9"/>
      <c r="F47" s="9"/>
      <c r="G47" s="9"/>
      <c r="H47" s="16"/>
      <c r="I47" s="17"/>
      <c r="K47" s="8"/>
    </row>
    <row r="48" spans="1:11">
      <c r="A48" s="16" t="s">
        <v>7</v>
      </c>
      <c r="B48" s="12"/>
      <c r="C48" s="16"/>
      <c r="D48" s="16"/>
      <c r="E48" s="16"/>
      <c r="F48" s="16"/>
      <c r="G48" s="16"/>
      <c r="H48" s="13"/>
      <c r="I48" s="18"/>
      <c r="K48" s="8"/>
    </row>
    <row r="49" spans="1:11">
      <c r="A49" t="s">
        <v>8</v>
      </c>
      <c r="B49" s="19" t="s">
        <v>9</v>
      </c>
      <c r="C49" t="s">
        <v>2</v>
      </c>
      <c r="D49" t="s">
        <v>6</v>
      </c>
      <c r="E49" t="s">
        <v>5</v>
      </c>
      <c r="F49" t="s">
        <v>4</v>
      </c>
      <c r="G49" t="s">
        <v>10</v>
      </c>
      <c r="H49" s="20" t="s">
        <v>11</v>
      </c>
      <c r="J49" s="1"/>
      <c r="K49" s="8"/>
    </row>
    <row r="50" spans="1:11">
      <c r="A50" s="19" t="s">
        <v>99</v>
      </c>
      <c r="B50" s="19">
        <v>1</v>
      </c>
      <c r="C50" t="str">
        <f>B46</f>
        <v>FR</v>
      </c>
      <c r="D50" s="10" t="s">
        <v>19</v>
      </c>
      <c r="E50" t="s">
        <v>18</v>
      </c>
      <c r="F50" t="s">
        <v>28</v>
      </c>
      <c r="G50" s="13"/>
      <c r="H50" s="18"/>
      <c r="K50" s="8"/>
    </row>
    <row r="51" spans="1:11">
      <c r="A51" t="s">
        <v>94</v>
      </c>
      <c r="B51" s="19">
        <v>4.0404040404040398E-13</v>
      </c>
      <c r="C51" t="s">
        <v>43</v>
      </c>
      <c r="D51" t="s">
        <v>6</v>
      </c>
      <c r="E51" t="s">
        <v>12</v>
      </c>
      <c r="F51" t="s">
        <v>93</v>
      </c>
    </row>
    <row r="52" spans="1:11">
      <c r="A52" t="s">
        <v>96</v>
      </c>
      <c r="B52" s="19">
        <v>7.5599999999999996E-6</v>
      </c>
      <c r="C52" t="s">
        <v>43</v>
      </c>
      <c r="D52" t="s">
        <v>13</v>
      </c>
      <c r="E52" t="s">
        <v>12</v>
      </c>
      <c r="F52" t="s">
        <v>95</v>
      </c>
    </row>
    <row r="53" spans="1:11">
      <c r="A53" t="s">
        <v>98</v>
      </c>
      <c r="B53" s="19">
        <v>-7.5599999999999996E-6</v>
      </c>
      <c r="C53" t="s">
        <v>21</v>
      </c>
      <c r="D53" t="s">
        <v>13</v>
      </c>
      <c r="E53" t="s">
        <v>12</v>
      </c>
      <c r="F53" t="s">
        <v>97</v>
      </c>
    </row>
    <row r="54" spans="1:11">
      <c r="A54" s="10" t="s">
        <v>138</v>
      </c>
      <c r="B54" s="19">
        <v>1.25125</v>
      </c>
      <c r="C54" s="34" t="s">
        <v>27</v>
      </c>
      <c r="D54" t="s">
        <v>19</v>
      </c>
      <c r="E54" t="s">
        <v>12</v>
      </c>
      <c r="F54" t="s">
        <v>28</v>
      </c>
    </row>
    <row r="55" spans="1:11">
      <c r="A55" t="s">
        <v>101</v>
      </c>
      <c r="B55" s="19">
        <v>7.7000000000000001E-8</v>
      </c>
      <c r="D55" t="s">
        <v>13</v>
      </c>
      <c r="E55" t="s">
        <v>15</v>
      </c>
      <c r="G55" t="s">
        <v>118</v>
      </c>
    </row>
    <row r="56" spans="1:11">
      <c r="A56" t="s">
        <v>102</v>
      </c>
      <c r="B56" s="19">
        <v>1.4E-5</v>
      </c>
      <c r="D56" t="s">
        <v>13</v>
      </c>
      <c r="E56" t="s">
        <v>15</v>
      </c>
      <c r="G56" t="s">
        <v>118</v>
      </c>
    </row>
    <row r="57" spans="1:11">
      <c r="A57" t="s">
        <v>104</v>
      </c>
      <c r="B57" s="19">
        <v>2.49876858810916E-4</v>
      </c>
      <c r="D57" t="s">
        <v>103</v>
      </c>
      <c r="E57" t="s">
        <v>15</v>
      </c>
      <c r="G57" t="s">
        <v>24</v>
      </c>
    </row>
    <row r="58" spans="1:11">
      <c r="A58" t="s">
        <v>104</v>
      </c>
      <c r="B58" s="19">
        <v>1.1580501231411899</v>
      </c>
      <c r="D58" t="s">
        <v>103</v>
      </c>
      <c r="E58" t="s">
        <v>15</v>
      </c>
      <c r="G58" t="s">
        <v>105</v>
      </c>
    </row>
    <row r="59" spans="1:11">
      <c r="A59" t="s">
        <v>106</v>
      </c>
      <c r="B59" s="19">
        <v>3.4499999999999999E-3</v>
      </c>
      <c r="D59" t="s">
        <v>17</v>
      </c>
      <c r="E59" t="s">
        <v>15</v>
      </c>
      <c r="G59" t="s">
        <v>16</v>
      </c>
    </row>
    <row r="60" spans="1:11">
      <c r="A60" t="s">
        <v>108</v>
      </c>
      <c r="B60" s="19">
        <v>2.3E-5</v>
      </c>
      <c r="D60" t="s">
        <v>107</v>
      </c>
      <c r="E60" t="s">
        <v>15</v>
      </c>
      <c r="G60" t="s">
        <v>16</v>
      </c>
    </row>
    <row r="61" spans="1:11">
      <c r="A61" t="s">
        <v>109</v>
      </c>
      <c r="B61" s="19">
        <v>2.2999999999999999E-7</v>
      </c>
      <c r="D61" t="s">
        <v>107</v>
      </c>
      <c r="E61" t="s">
        <v>15</v>
      </c>
      <c r="G61" t="s">
        <v>16</v>
      </c>
    </row>
    <row r="62" spans="1:11">
      <c r="A62" t="s">
        <v>110</v>
      </c>
      <c r="B62" s="19">
        <v>2.2770000000000001E-5</v>
      </c>
      <c r="D62" t="s">
        <v>107</v>
      </c>
      <c r="E62" t="s">
        <v>15</v>
      </c>
      <c r="G62" t="s">
        <v>16</v>
      </c>
    </row>
    <row r="63" spans="1:11">
      <c r="A63" t="s">
        <v>112</v>
      </c>
      <c r="B63" s="19">
        <v>0.15</v>
      </c>
      <c r="D63" t="s">
        <v>111</v>
      </c>
      <c r="E63" t="s">
        <v>15</v>
      </c>
      <c r="G63" t="s">
        <v>117</v>
      </c>
    </row>
    <row r="64" spans="1:11">
      <c r="A64" t="s">
        <v>113</v>
      </c>
      <c r="B64" s="19">
        <v>1.1583000000000001</v>
      </c>
      <c r="D64" t="s">
        <v>103</v>
      </c>
      <c r="E64" t="s">
        <v>15</v>
      </c>
      <c r="G64" t="s">
        <v>117</v>
      </c>
    </row>
    <row r="65" spans="1:11">
      <c r="A65" s="19"/>
      <c r="G65" s="13"/>
      <c r="H65" s="13"/>
      <c r="K65" s="8"/>
    </row>
    <row r="66" spans="1:11">
      <c r="A66" s="4" t="s">
        <v>1</v>
      </c>
      <c r="B66" s="12" t="s">
        <v>83</v>
      </c>
      <c r="C66" s="13"/>
      <c r="D66" s="9"/>
      <c r="E66" s="9"/>
      <c r="F66" s="9"/>
      <c r="G66" s="9"/>
      <c r="H66" s="9"/>
      <c r="I66" s="11"/>
      <c r="K66" s="8"/>
    </row>
    <row r="67" spans="1:11">
      <c r="A67" s="6" t="s">
        <v>3</v>
      </c>
      <c r="B67" s="14">
        <v>1</v>
      </c>
      <c r="C67" s="9"/>
      <c r="D67" s="9"/>
      <c r="E67" s="9"/>
      <c r="F67" s="9"/>
      <c r="G67" s="9"/>
      <c r="H67" s="9"/>
      <c r="I67" s="11"/>
      <c r="K67" s="8"/>
    </row>
    <row r="68" spans="1:11">
      <c r="A68" s="6" t="s">
        <v>11</v>
      </c>
      <c r="B68" s="15" t="s">
        <v>114</v>
      </c>
      <c r="C68" s="9"/>
      <c r="D68" s="9"/>
      <c r="E68" s="9"/>
      <c r="F68" s="9"/>
      <c r="G68" s="9"/>
      <c r="H68" s="9"/>
      <c r="I68" s="11"/>
      <c r="K68" s="8"/>
    </row>
    <row r="69" spans="1:11">
      <c r="A69" s="6" t="s">
        <v>4</v>
      </c>
      <c r="B69" s="2" t="s">
        <v>28</v>
      </c>
      <c r="C69" s="9"/>
      <c r="D69" s="9"/>
      <c r="E69" s="9"/>
      <c r="F69" s="9"/>
      <c r="G69" s="9"/>
      <c r="H69" s="9"/>
      <c r="I69" s="11"/>
      <c r="K69" s="8"/>
    </row>
    <row r="70" spans="1:11">
      <c r="A70" s="6" t="s">
        <v>2</v>
      </c>
      <c r="B70" s="15" t="s">
        <v>27</v>
      </c>
      <c r="C70" s="9"/>
      <c r="D70" s="9"/>
      <c r="E70" s="9"/>
      <c r="F70" s="9"/>
      <c r="G70" s="9"/>
      <c r="H70" s="9"/>
      <c r="I70" s="11"/>
      <c r="K70" s="8"/>
    </row>
    <row r="71" spans="1:11">
      <c r="A71" s="6" t="s">
        <v>6</v>
      </c>
      <c r="B71" s="10" t="s">
        <v>19</v>
      </c>
      <c r="C71" s="9"/>
      <c r="D71" s="9"/>
      <c r="E71" s="9"/>
      <c r="F71" s="9"/>
      <c r="G71" s="9"/>
      <c r="H71" s="16"/>
      <c r="I71" s="17"/>
      <c r="K71" s="8"/>
    </row>
    <row r="72" spans="1:11">
      <c r="A72" s="16" t="s">
        <v>7</v>
      </c>
      <c r="B72" s="12"/>
      <c r="C72" s="16"/>
      <c r="D72" s="16"/>
      <c r="E72" s="16"/>
      <c r="F72" s="16"/>
      <c r="G72" s="16"/>
      <c r="H72" s="13"/>
      <c r="I72" s="18"/>
      <c r="K72" s="8"/>
    </row>
    <row r="73" spans="1:11">
      <c r="A73" t="s">
        <v>8</v>
      </c>
      <c r="B73" s="19" t="s">
        <v>9</v>
      </c>
      <c r="C73" t="s">
        <v>2</v>
      </c>
      <c r="D73" t="s">
        <v>6</v>
      </c>
      <c r="E73" t="s">
        <v>5</v>
      </c>
      <c r="F73" t="s">
        <v>4</v>
      </c>
      <c r="G73" t="s">
        <v>10</v>
      </c>
      <c r="H73" s="20" t="s">
        <v>11</v>
      </c>
      <c r="J73" s="1"/>
      <c r="K73" s="8"/>
    </row>
    <row r="74" spans="1:11">
      <c r="A74" s="10" t="s">
        <v>83</v>
      </c>
      <c r="B74" s="19">
        <v>1</v>
      </c>
      <c r="C74" t="str">
        <f>B70</f>
        <v>FR</v>
      </c>
      <c r="D74" t="s">
        <v>19</v>
      </c>
      <c r="E74" t="s">
        <v>18</v>
      </c>
      <c r="F74" t="s">
        <v>28</v>
      </c>
      <c r="G74" s="13"/>
      <c r="H74" s="18"/>
      <c r="K74" s="8"/>
    </row>
    <row r="75" spans="1:11">
      <c r="A75" s="19" t="s">
        <v>84</v>
      </c>
      <c r="B75" s="19">
        <v>1.3888999999999999E-11</v>
      </c>
      <c r="C75" t="s">
        <v>43</v>
      </c>
      <c r="D75" t="s">
        <v>6</v>
      </c>
      <c r="E75" t="s">
        <v>12</v>
      </c>
      <c r="F75" t="s">
        <v>85</v>
      </c>
      <c r="G75" s="13"/>
      <c r="H75" s="18"/>
      <c r="K75" s="8"/>
    </row>
    <row r="76" spans="1:11">
      <c r="A76" s="19" t="s">
        <v>87</v>
      </c>
      <c r="B76" s="19">
        <v>4.9730000000000003E-2</v>
      </c>
      <c r="C76" t="s">
        <v>27</v>
      </c>
      <c r="D76" t="s">
        <v>13</v>
      </c>
      <c r="E76" t="s">
        <v>12</v>
      </c>
      <c r="F76" t="s">
        <v>86</v>
      </c>
      <c r="H76" s="13"/>
      <c r="I76" s="18"/>
      <c r="K76" s="8"/>
    </row>
    <row r="77" spans="1:11">
      <c r="A77" t="s">
        <v>104</v>
      </c>
      <c r="B77" s="19">
        <v>4.4479999999999899E-4</v>
      </c>
      <c r="D77" t="s">
        <v>103</v>
      </c>
      <c r="E77" t="s">
        <v>15</v>
      </c>
      <c r="G77" t="s">
        <v>118</v>
      </c>
      <c r="H77" s="13"/>
      <c r="I77" s="18"/>
      <c r="K77" s="8"/>
    </row>
    <row r="78" spans="1:11">
      <c r="A78" t="s">
        <v>115</v>
      </c>
      <c r="B78" s="19">
        <v>1.5428571428571401E-4</v>
      </c>
      <c r="D78" t="s">
        <v>13</v>
      </c>
      <c r="E78" t="s">
        <v>15</v>
      </c>
      <c r="G78" t="s">
        <v>118</v>
      </c>
      <c r="H78" s="13"/>
      <c r="I78" s="18"/>
      <c r="K78" s="8"/>
    </row>
    <row r="79" spans="1:11">
      <c r="A79" t="s">
        <v>116</v>
      </c>
      <c r="B79" s="19">
        <v>2.47445129042634E-4</v>
      </c>
      <c r="D79" t="s">
        <v>13</v>
      </c>
      <c r="E79" t="s">
        <v>15</v>
      </c>
      <c r="G79" t="s">
        <v>24</v>
      </c>
      <c r="H79" s="13"/>
      <c r="I79" s="18"/>
      <c r="K79" s="8"/>
    </row>
    <row r="80" spans="1:11">
      <c r="A80" s="19"/>
      <c r="H80" s="13"/>
      <c r="I80" s="18"/>
      <c r="K80" s="8"/>
    </row>
    <row r="81" spans="1:16">
      <c r="A81" s="4" t="s">
        <v>1</v>
      </c>
      <c r="B81" s="33" t="s">
        <v>87</v>
      </c>
      <c r="C81" s="13"/>
      <c r="D81" s="9"/>
      <c r="E81" s="9"/>
      <c r="F81" s="9"/>
      <c r="G81" s="9"/>
      <c r="H81" s="9"/>
      <c r="I81" s="11"/>
      <c r="K81" s="8"/>
    </row>
    <row r="82" spans="1:16">
      <c r="A82" s="6" t="s">
        <v>3</v>
      </c>
      <c r="B82" s="14">
        <v>1</v>
      </c>
      <c r="C82" s="9"/>
      <c r="D82" s="9"/>
      <c r="E82" s="9"/>
      <c r="F82" s="9"/>
      <c r="G82" s="9"/>
      <c r="H82" s="9"/>
      <c r="I82" s="11"/>
      <c r="K82" s="8"/>
    </row>
    <row r="83" spans="1:16">
      <c r="A83" s="6" t="s">
        <v>11</v>
      </c>
      <c r="B83" s="15" t="s">
        <v>92</v>
      </c>
      <c r="C83" s="9"/>
      <c r="D83" s="9"/>
      <c r="E83" s="9"/>
      <c r="F83" s="9"/>
      <c r="G83" s="9"/>
      <c r="H83" s="9"/>
      <c r="I83" s="11"/>
      <c r="K83" s="8"/>
    </row>
    <row r="84" spans="1:16">
      <c r="A84" s="6" t="s">
        <v>4</v>
      </c>
      <c r="B84" t="s">
        <v>86</v>
      </c>
      <c r="C84" s="9"/>
      <c r="D84" s="9"/>
      <c r="E84" s="9"/>
      <c r="F84" s="9"/>
      <c r="G84" s="9"/>
      <c r="H84" s="9"/>
      <c r="I84" s="11"/>
      <c r="K84" s="8"/>
    </row>
    <row r="85" spans="1:16">
      <c r="A85" s="6" t="s">
        <v>2</v>
      </c>
      <c r="B85" s="15" t="s">
        <v>27</v>
      </c>
      <c r="C85" s="9"/>
      <c r="D85" s="9"/>
      <c r="E85" s="9"/>
      <c r="F85" s="9"/>
      <c r="G85" s="9"/>
      <c r="H85" s="9"/>
      <c r="I85" s="11"/>
      <c r="K85" s="8"/>
    </row>
    <row r="86" spans="1:16">
      <c r="A86" s="6" t="s">
        <v>6</v>
      </c>
      <c r="B86" s="10" t="s">
        <v>13</v>
      </c>
      <c r="C86" s="9"/>
      <c r="D86" s="9"/>
      <c r="E86" s="9"/>
      <c r="F86" s="9"/>
      <c r="G86" s="9"/>
      <c r="H86" s="16"/>
      <c r="I86" s="17"/>
      <c r="K86" s="8"/>
    </row>
    <row r="87" spans="1:16">
      <c r="A87" s="16" t="s">
        <v>7</v>
      </c>
      <c r="B87" s="12"/>
      <c r="C87" s="16"/>
      <c r="D87" s="16"/>
      <c r="E87" s="16"/>
      <c r="F87" s="16"/>
      <c r="G87" s="16"/>
      <c r="H87" s="13"/>
      <c r="I87" s="18"/>
      <c r="K87" s="8"/>
    </row>
    <row r="88" spans="1:16">
      <c r="A88" t="s">
        <v>8</v>
      </c>
      <c r="B88" s="19" t="s">
        <v>9</v>
      </c>
      <c r="C88" t="s">
        <v>2</v>
      </c>
      <c r="D88" t="s">
        <v>6</v>
      </c>
      <c r="E88" t="s">
        <v>5</v>
      </c>
      <c r="F88" t="s">
        <v>4</v>
      </c>
      <c r="G88" t="s">
        <v>10</v>
      </c>
      <c r="H88" s="20" t="s">
        <v>11</v>
      </c>
      <c r="J88" s="1"/>
      <c r="K88" s="8"/>
    </row>
    <row r="89" spans="1:16">
      <c r="A89" s="19" t="s">
        <v>87</v>
      </c>
      <c r="B89" s="19">
        <v>1</v>
      </c>
      <c r="C89" t="str">
        <f>B85</f>
        <v>FR</v>
      </c>
      <c r="D89" t="s">
        <v>13</v>
      </c>
      <c r="E89" t="s">
        <v>18</v>
      </c>
      <c r="F89" t="s">
        <v>86</v>
      </c>
      <c r="G89" s="13"/>
      <c r="H89" s="18"/>
      <c r="K89" s="8"/>
    </row>
    <row r="90" spans="1:16">
      <c r="A90" t="s">
        <v>58</v>
      </c>
      <c r="B90">
        <v>1.0093999999999901</v>
      </c>
      <c r="C90" t="s">
        <v>27</v>
      </c>
      <c r="D90" t="s">
        <v>13</v>
      </c>
      <c r="E90" t="s">
        <v>12</v>
      </c>
      <c r="F90" t="s">
        <v>46</v>
      </c>
      <c r="G90" s="13"/>
      <c r="H90" s="18"/>
      <c r="K90" s="8"/>
    </row>
    <row r="91" spans="1:16">
      <c r="A91" s="19" t="s">
        <v>88</v>
      </c>
      <c r="B91">
        <v>1.0093999999999901</v>
      </c>
      <c r="C91" t="s">
        <v>43</v>
      </c>
      <c r="D91" t="s">
        <v>13</v>
      </c>
      <c r="E91" t="s">
        <v>12</v>
      </c>
      <c r="F91" t="s">
        <v>89</v>
      </c>
      <c r="G91" s="13"/>
      <c r="H91" s="13"/>
      <c r="K91" s="8"/>
    </row>
    <row r="92" spans="1:16">
      <c r="A92" s="19" t="s">
        <v>39</v>
      </c>
      <c r="B92" s="19">
        <v>0.88</v>
      </c>
      <c r="C92" t="s">
        <v>27</v>
      </c>
      <c r="D92" t="s">
        <v>19</v>
      </c>
      <c r="E92" t="s">
        <v>12</v>
      </c>
      <c r="F92" t="s">
        <v>37</v>
      </c>
      <c r="H92" s="13"/>
      <c r="I92" s="18"/>
      <c r="K92" s="8"/>
    </row>
    <row r="93" spans="1:16">
      <c r="A93" t="s">
        <v>116</v>
      </c>
      <c r="B93">
        <v>9.3999999999998494E-3</v>
      </c>
      <c r="D93" t="s">
        <v>13</v>
      </c>
      <c r="E93" t="s">
        <v>15</v>
      </c>
      <c r="G93" t="s">
        <v>24</v>
      </c>
      <c r="H93" s="13"/>
      <c r="I93" s="18"/>
      <c r="K93" s="8"/>
    </row>
    <row r="94" spans="1:16">
      <c r="A94" s="19"/>
      <c r="B94"/>
      <c r="H94" s="13"/>
      <c r="I94" s="13"/>
      <c r="K94" s="8"/>
    </row>
    <row r="95" spans="1:16" s="25" customFormat="1" ht="15.5">
      <c r="A95" s="38" t="s">
        <v>1</v>
      </c>
      <c r="B95" s="39" t="s">
        <v>58</v>
      </c>
      <c r="C95" s="40"/>
      <c r="D95" s="35"/>
      <c r="E95" s="35"/>
      <c r="F95" s="35"/>
      <c r="G95" s="35"/>
      <c r="H95" s="35"/>
      <c r="I95" s="35"/>
      <c r="K95" s="26"/>
      <c r="L95" s="26"/>
      <c r="M95" s="26"/>
      <c r="N95" s="26"/>
      <c r="O95" s="26"/>
      <c r="P95" s="26"/>
    </row>
    <row r="96" spans="1:16" s="25" customFormat="1" ht="15.5">
      <c r="A96" s="41" t="s">
        <v>3</v>
      </c>
      <c r="B96" s="42">
        <v>1</v>
      </c>
      <c r="C96" s="35"/>
      <c r="D96" s="35"/>
      <c r="E96" s="35"/>
      <c r="F96" s="35"/>
      <c r="G96" s="35"/>
      <c r="H96" s="35"/>
      <c r="I96" s="35"/>
      <c r="K96" s="26"/>
      <c r="L96" s="26"/>
      <c r="M96" s="26"/>
      <c r="N96" s="26"/>
      <c r="O96" s="26"/>
      <c r="P96" s="26"/>
    </row>
    <row r="97" spans="1:20" s="25" customFormat="1" ht="15.5">
      <c r="A97" s="41" t="s">
        <v>11</v>
      </c>
      <c r="B97" s="42" t="s">
        <v>45</v>
      </c>
      <c r="C97" s="35"/>
      <c r="D97" s="35"/>
      <c r="E97" s="35"/>
      <c r="F97" s="35"/>
      <c r="G97" s="35"/>
      <c r="H97" s="35"/>
      <c r="I97" s="35"/>
      <c r="K97" s="26"/>
      <c r="L97" s="26"/>
      <c r="M97" s="26"/>
      <c r="N97" s="26"/>
      <c r="O97" s="26"/>
      <c r="P97" s="26"/>
    </row>
    <row r="98" spans="1:20" s="25" customFormat="1" ht="15.5">
      <c r="A98" s="41" t="s">
        <v>4</v>
      </c>
      <c r="B98" s="43" t="s">
        <v>46</v>
      </c>
      <c r="C98" s="35"/>
      <c r="D98" s="35"/>
      <c r="E98" s="35"/>
      <c r="F98" s="35"/>
      <c r="G98" s="35"/>
      <c r="H98" s="35"/>
      <c r="I98" s="35"/>
      <c r="K98" s="26"/>
      <c r="L98" s="26"/>
      <c r="M98" s="26"/>
      <c r="N98" s="26"/>
      <c r="O98" s="26"/>
      <c r="P98" s="26"/>
    </row>
    <row r="99" spans="1:20" s="25" customFormat="1" ht="15.5">
      <c r="A99" s="41" t="s">
        <v>2</v>
      </c>
      <c r="B99" s="42" t="s">
        <v>27</v>
      </c>
      <c r="C99" s="35"/>
      <c r="D99" s="35"/>
      <c r="E99" s="35"/>
      <c r="F99" s="35"/>
      <c r="G99" s="35"/>
      <c r="H99" s="35"/>
      <c r="I99" s="35"/>
      <c r="K99" s="26"/>
      <c r="L99" s="26"/>
      <c r="M99" s="26"/>
      <c r="N99" s="26"/>
      <c r="O99" s="26"/>
      <c r="P99" s="26"/>
    </row>
    <row r="100" spans="1:20" s="25" customFormat="1" ht="15.5">
      <c r="A100" s="41" t="s">
        <v>6</v>
      </c>
      <c r="B100" s="44" t="s">
        <v>13</v>
      </c>
      <c r="C100" s="35"/>
      <c r="D100" s="35"/>
      <c r="E100" s="35"/>
      <c r="F100" s="35"/>
      <c r="G100" s="35"/>
      <c r="H100" s="45"/>
      <c r="I100" s="45"/>
      <c r="J100" s="27"/>
      <c r="K100" s="26"/>
      <c r="L100" s="26"/>
      <c r="M100" s="26"/>
      <c r="N100" s="26"/>
      <c r="O100" s="26"/>
      <c r="P100" s="26"/>
    </row>
    <row r="101" spans="1:20" s="25" customFormat="1" ht="15.5">
      <c r="A101" s="45" t="s">
        <v>7</v>
      </c>
      <c r="B101" s="39"/>
      <c r="C101" s="45"/>
      <c r="D101" s="45"/>
      <c r="E101" s="45"/>
      <c r="F101" s="45"/>
      <c r="G101" s="45"/>
      <c r="H101" s="40"/>
      <c r="I101" s="40"/>
      <c r="J101" s="24"/>
      <c r="K101" s="26"/>
      <c r="L101" s="26"/>
      <c r="M101" s="26"/>
      <c r="N101" s="26"/>
      <c r="O101" s="26"/>
      <c r="P101" s="26"/>
    </row>
    <row r="102" spans="1:20" s="25" customFormat="1" ht="15.5">
      <c r="A102" s="45" t="s">
        <v>8</v>
      </c>
      <c r="B102" s="45" t="s">
        <v>9</v>
      </c>
      <c r="C102" s="45" t="s">
        <v>2</v>
      </c>
      <c r="D102" s="45" t="s">
        <v>6</v>
      </c>
      <c r="E102" s="45" t="s">
        <v>10</v>
      </c>
      <c r="F102" s="45" t="s">
        <v>5</v>
      </c>
      <c r="G102" s="45" t="s">
        <v>4</v>
      </c>
      <c r="H102" s="45" t="s">
        <v>11</v>
      </c>
      <c r="I102" s="45"/>
      <c r="J102" s="28"/>
      <c r="K102" s="29"/>
      <c r="L102" s="29"/>
      <c r="M102" s="29"/>
      <c r="N102" s="29"/>
      <c r="O102" s="29"/>
      <c r="P102" s="29"/>
      <c r="Q102" s="28"/>
      <c r="R102" s="28"/>
      <c r="S102" s="27"/>
      <c r="T102" s="28"/>
    </row>
    <row r="103" spans="1:20" s="25" customFormat="1" ht="15.5">
      <c r="A103" s="44" t="s">
        <v>58</v>
      </c>
      <c r="B103" s="44">
        <v>1</v>
      </c>
      <c r="C103" s="35" t="str">
        <f>B99</f>
        <v>FR</v>
      </c>
      <c r="D103" s="35" t="str">
        <f>B100</f>
        <v>kilogram</v>
      </c>
      <c r="E103" s="40"/>
      <c r="F103" s="35" t="s">
        <v>18</v>
      </c>
      <c r="G103" s="35" t="s">
        <v>46</v>
      </c>
      <c r="H103" s="40"/>
      <c r="I103" s="40"/>
      <c r="K103" s="26"/>
      <c r="L103" s="26"/>
      <c r="M103" s="26"/>
      <c r="N103" s="26"/>
      <c r="O103" s="26"/>
      <c r="P103" s="26"/>
      <c r="T103"/>
    </row>
    <row r="104" spans="1:20" s="25" customFormat="1" ht="15.5">
      <c r="A104" s="44" t="s">
        <v>56</v>
      </c>
      <c r="B104" s="35">
        <f>(1/2963200)*4</f>
        <v>1.3498920086393089E-6</v>
      </c>
      <c r="C104" s="35" t="s">
        <v>43</v>
      </c>
      <c r="D104" s="35" t="s">
        <v>6</v>
      </c>
      <c r="E104" s="35"/>
      <c r="F104" s="35" t="s">
        <v>12</v>
      </c>
      <c r="G104" s="35" t="s">
        <v>47</v>
      </c>
      <c r="H104" s="35" t="s">
        <v>48</v>
      </c>
      <c r="I104" s="35"/>
      <c r="J104"/>
      <c r="K104" s="30"/>
      <c r="L104" s="30"/>
      <c r="M104" s="30"/>
      <c r="N104" s="30"/>
      <c r="O104" s="30"/>
      <c r="P104" s="30"/>
      <c r="Q104"/>
      <c r="R104"/>
    </row>
    <row r="105" spans="1:20" s="25" customFormat="1" ht="15.5">
      <c r="A105" s="44" t="s">
        <v>57</v>
      </c>
      <c r="B105" s="35">
        <f>1/2963200</f>
        <v>3.3747300215982723E-7</v>
      </c>
      <c r="C105" s="35" t="s">
        <v>43</v>
      </c>
      <c r="D105" s="35" t="s">
        <v>6</v>
      </c>
      <c r="E105" s="35"/>
      <c r="F105" s="35" t="s">
        <v>12</v>
      </c>
      <c r="G105" s="35" t="s">
        <v>49</v>
      </c>
      <c r="H105" s="35" t="s">
        <v>50</v>
      </c>
      <c r="I105" s="35"/>
      <c r="J105"/>
      <c r="K105" s="30"/>
      <c r="L105" s="30"/>
      <c r="M105" s="30"/>
      <c r="N105" s="30"/>
      <c r="O105" s="30"/>
      <c r="P105" s="30"/>
      <c r="Q105"/>
      <c r="R105"/>
    </row>
    <row r="106" spans="1:20" s="25" customFormat="1" ht="15.5">
      <c r="A106" s="44" t="s">
        <v>120</v>
      </c>
      <c r="B106" s="35">
        <f>B104*-1</f>
        <v>-1.3498920086393089E-6</v>
      </c>
      <c r="C106" s="35" t="s">
        <v>43</v>
      </c>
      <c r="D106" s="35" t="s">
        <v>6</v>
      </c>
      <c r="E106" s="35"/>
      <c r="F106" s="35" t="s">
        <v>12</v>
      </c>
      <c r="G106" s="35" t="s">
        <v>122</v>
      </c>
      <c r="H106" s="35" t="s">
        <v>51</v>
      </c>
      <c r="I106" s="35"/>
      <c r="J106"/>
      <c r="K106" s="30"/>
      <c r="L106" s="30"/>
      <c r="M106" s="30"/>
      <c r="N106" s="30"/>
      <c r="O106" s="30"/>
      <c r="P106" s="30"/>
      <c r="Q106"/>
      <c r="R106"/>
    </row>
    <row r="107" spans="1:20" s="25" customFormat="1" ht="15.5">
      <c r="A107" s="44" t="s">
        <v>121</v>
      </c>
      <c r="B107" s="35">
        <f>-1*B105</f>
        <v>-3.3747300215982723E-7</v>
      </c>
      <c r="C107" s="35" t="s">
        <v>43</v>
      </c>
      <c r="D107" s="35" t="s">
        <v>6</v>
      </c>
      <c r="E107" s="35"/>
      <c r="F107" s="35" t="s">
        <v>12</v>
      </c>
      <c r="G107" s="35" t="s">
        <v>123</v>
      </c>
      <c r="H107" s="35" t="s">
        <v>52</v>
      </c>
      <c r="I107" s="35"/>
      <c r="J107"/>
      <c r="K107" s="30"/>
      <c r="L107" s="30"/>
      <c r="M107" s="30"/>
      <c r="N107" s="30"/>
      <c r="O107" s="30"/>
      <c r="P107" s="30"/>
      <c r="Q107"/>
      <c r="R107"/>
    </row>
    <row r="108" spans="1:20" s="25" customFormat="1" ht="15.5">
      <c r="A108" s="10" t="s">
        <v>138</v>
      </c>
      <c r="B108" s="44">
        <v>54</v>
      </c>
      <c r="C108" s="35" t="s">
        <v>27</v>
      </c>
      <c r="D108" s="35" t="s">
        <v>19</v>
      </c>
      <c r="E108" s="40"/>
      <c r="F108" s="35" t="s">
        <v>12</v>
      </c>
      <c r="G108" s="35" t="s">
        <v>28</v>
      </c>
      <c r="H108" s="40" t="s">
        <v>53</v>
      </c>
      <c r="I108" s="35"/>
      <c r="J108"/>
      <c r="K108" s="30"/>
      <c r="L108" s="30"/>
      <c r="M108" s="30"/>
      <c r="N108" s="30"/>
      <c r="O108" s="30"/>
      <c r="P108" s="30"/>
      <c r="Q108"/>
      <c r="R108"/>
    </row>
    <row r="109" spans="1:20" s="25" customFormat="1" ht="15.5">
      <c r="A109" s="41" t="s">
        <v>20</v>
      </c>
      <c r="B109" s="44">
        <v>14</v>
      </c>
      <c r="C109" s="35" t="s">
        <v>21</v>
      </c>
      <c r="D109" s="35" t="s">
        <v>13</v>
      </c>
      <c r="E109" s="35"/>
      <c r="F109" s="35" t="s">
        <v>12</v>
      </c>
      <c r="G109" s="35" t="s">
        <v>22</v>
      </c>
      <c r="H109" s="35" t="s">
        <v>54</v>
      </c>
      <c r="I109" s="35"/>
      <c r="J109"/>
      <c r="K109" s="30"/>
      <c r="L109" s="30"/>
      <c r="M109" s="30"/>
      <c r="N109" s="30"/>
      <c r="O109" s="30"/>
      <c r="P109" s="30"/>
      <c r="Q109"/>
      <c r="R109"/>
    </row>
    <row r="110" spans="1:20" s="25" customFormat="1" ht="15.5">
      <c r="A110" s="46" t="s">
        <v>23</v>
      </c>
      <c r="B110" s="43">
        <v>8</v>
      </c>
      <c r="C110" s="46"/>
      <c r="D110" s="46" t="s">
        <v>13</v>
      </c>
      <c r="E110" s="46" t="s">
        <v>24</v>
      </c>
      <c r="F110" s="46" t="s">
        <v>15</v>
      </c>
      <c r="G110" s="46"/>
      <c r="H110" s="47"/>
      <c r="I110" s="35"/>
      <c r="J110"/>
      <c r="K110" s="30"/>
      <c r="L110" s="30"/>
      <c r="M110" s="30"/>
      <c r="N110" s="30"/>
      <c r="O110" s="30"/>
      <c r="P110" s="30"/>
      <c r="Q110" s="30"/>
      <c r="R110"/>
    </row>
    <row r="111" spans="1:20" s="25" customFormat="1" ht="15.5">
      <c r="A111" s="46" t="s">
        <v>55</v>
      </c>
      <c r="B111" s="43">
        <f>(0.09*1000*20)/2963200</f>
        <v>6.0745140388768898E-4</v>
      </c>
      <c r="C111" s="46"/>
      <c r="D111" s="46" t="s">
        <v>17</v>
      </c>
      <c r="E111" s="46" t="s">
        <v>16</v>
      </c>
      <c r="F111" s="46" t="s">
        <v>15</v>
      </c>
      <c r="G111" s="46"/>
      <c r="H111" s="47"/>
      <c r="I111" s="35"/>
      <c r="J111"/>
      <c r="K111" s="30"/>
      <c r="L111" s="30"/>
      <c r="M111" s="30"/>
      <c r="N111" s="30"/>
      <c r="O111" s="30"/>
      <c r="P111" s="30"/>
      <c r="Q111" s="30"/>
      <c r="R111"/>
    </row>
    <row r="112" spans="1:20" s="25" customFormat="1" ht="15.5">
      <c r="A112" s="35"/>
      <c r="B112" s="35"/>
      <c r="C112" s="35"/>
      <c r="D112" s="35"/>
      <c r="E112" s="35"/>
      <c r="F112" s="35"/>
      <c r="G112" s="35"/>
      <c r="H112" s="35"/>
      <c r="I112" s="35"/>
      <c r="K112" s="26"/>
      <c r="L112" s="26"/>
      <c r="M112" s="26"/>
      <c r="N112" s="26"/>
      <c r="O112" s="26"/>
      <c r="P112" s="26"/>
    </row>
    <row r="113" spans="1:14">
      <c r="A113" s="8"/>
      <c r="B113" s="36"/>
      <c r="C113" s="8"/>
      <c r="D113" s="8"/>
      <c r="E113" s="8"/>
      <c r="F113" s="8"/>
      <c r="G113" s="8"/>
      <c r="H113" s="8"/>
      <c r="I113" s="37"/>
    </row>
    <row r="114" spans="1:14" ht="15.5">
      <c r="A114" s="28" t="s">
        <v>1</v>
      </c>
      <c r="B114" s="28" t="s">
        <v>90</v>
      </c>
      <c r="I114"/>
      <c r="M114" t="s">
        <v>59</v>
      </c>
    </row>
    <row r="115" spans="1:14">
      <c r="A115" t="s">
        <v>2</v>
      </c>
      <c r="B115" t="s">
        <v>27</v>
      </c>
      <c r="I115"/>
      <c r="M115" t="s">
        <v>59</v>
      </c>
    </row>
    <row r="116" spans="1:14">
      <c r="A116" t="s">
        <v>11</v>
      </c>
      <c r="B116" t="s">
        <v>91</v>
      </c>
      <c r="I116"/>
    </row>
    <row r="117" spans="1:14">
      <c r="A117" t="s">
        <v>3</v>
      </c>
      <c r="B117">
        <v>1</v>
      </c>
      <c r="I117"/>
      <c r="M117" t="s">
        <v>59</v>
      </c>
    </row>
    <row r="118" spans="1:14">
      <c r="A118" t="s">
        <v>60</v>
      </c>
      <c r="B118" t="s">
        <v>61</v>
      </c>
      <c r="I118"/>
    </row>
    <row r="119" spans="1:14">
      <c r="A119" t="s">
        <v>4</v>
      </c>
      <c r="B119" t="s">
        <v>28</v>
      </c>
      <c r="I119"/>
      <c r="M119" t="s">
        <v>59</v>
      </c>
    </row>
    <row r="120" spans="1:14">
      <c r="A120" t="s">
        <v>5</v>
      </c>
      <c r="B120" t="s">
        <v>62</v>
      </c>
      <c r="I120"/>
      <c r="M120" t="s">
        <v>59</v>
      </c>
    </row>
    <row r="121" spans="1:14">
      <c r="A121" t="s">
        <v>6</v>
      </c>
      <c r="B121" t="s">
        <v>19</v>
      </c>
      <c r="I121"/>
      <c r="M121" t="s">
        <v>59</v>
      </c>
    </row>
    <row r="122" spans="1:14" ht="15.5">
      <c r="A122" s="28" t="s">
        <v>7</v>
      </c>
      <c r="B122"/>
      <c r="I122"/>
      <c r="M122" t="s">
        <v>59</v>
      </c>
    </row>
    <row r="123" spans="1:14" ht="15.5">
      <c r="A123" s="28" t="s">
        <v>8</v>
      </c>
      <c r="B123" s="28" t="s">
        <v>9</v>
      </c>
      <c r="C123" s="28" t="s">
        <v>2</v>
      </c>
      <c r="D123" s="28" t="s">
        <v>6</v>
      </c>
      <c r="E123" s="28" t="s">
        <v>5</v>
      </c>
      <c r="F123" s="28" t="s">
        <v>4</v>
      </c>
      <c r="G123" s="48" t="s">
        <v>10</v>
      </c>
      <c r="H123" s="28" t="s">
        <v>11</v>
      </c>
      <c r="I123" s="31"/>
    </row>
    <row r="124" spans="1:14">
      <c r="A124" t="str">
        <f>B114</f>
        <v>electricity supply, high voltage, from vanadium-redox flow battery system, FE2050</v>
      </c>
      <c r="B124">
        <v>1</v>
      </c>
      <c r="C124" t="s">
        <v>27</v>
      </c>
      <c r="D124" t="str">
        <f>B121</f>
        <v>kilowatt hour</v>
      </c>
      <c r="E124" t="s">
        <v>18</v>
      </c>
      <c r="F124" t="str">
        <f>B119</f>
        <v>electricity, high voltage</v>
      </c>
      <c r="I124" s="8"/>
      <c r="J124" s="8"/>
      <c r="K124" s="8"/>
      <c r="L124" s="8"/>
      <c r="M124" s="8"/>
      <c r="N124" s="8"/>
    </row>
    <row r="125" spans="1:14">
      <c r="A125" s="10" t="s">
        <v>138</v>
      </c>
      <c r="B125">
        <v>1.33</v>
      </c>
      <c r="C125" t="s">
        <v>27</v>
      </c>
      <c r="D125" t="s">
        <v>19</v>
      </c>
      <c r="E125" t="s">
        <v>12</v>
      </c>
      <c r="F125" t="s">
        <v>28</v>
      </c>
      <c r="H125" t="s">
        <v>63</v>
      </c>
      <c r="I125" s="8"/>
      <c r="J125" s="8"/>
      <c r="K125" s="8"/>
      <c r="L125" s="8"/>
      <c r="M125" s="8"/>
      <c r="N125" s="8"/>
    </row>
    <row r="126" spans="1:14">
      <c r="A126" t="s">
        <v>64</v>
      </c>
      <c r="B126" s="32">
        <f>1/(49000000)</f>
        <v>2.0408163265306123E-8</v>
      </c>
      <c r="C126" t="s">
        <v>43</v>
      </c>
      <c r="D126" t="s">
        <v>6</v>
      </c>
      <c r="E126" t="s">
        <v>12</v>
      </c>
      <c r="F126" t="s">
        <v>65</v>
      </c>
      <c r="H126" t="s">
        <v>66</v>
      </c>
      <c r="I126"/>
    </row>
    <row r="127" spans="1:14">
      <c r="A127" t="s">
        <v>67</v>
      </c>
      <c r="B127" s="32">
        <f>1/(49000000)</f>
        <v>2.0408163265306123E-8</v>
      </c>
      <c r="C127" t="s">
        <v>43</v>
      </c>
      <c r="D127" t="s">
        <v>6</v>
      </c>
      <c r="E127" t="s">
        <v>12</v>
      </c>
      <c r="F127" t="s">
        <v>68</v>
      </c>
      <c r="H127" t="s">
        <v>69</v>
      </c>
      <c r="I127"/>
    </row>
    <row r="128" spans="1:14">
      <c r="A128" t="s">
        <v>70</v>
      </c>
      <c r="B128" s="32">
        <f>-0.41/1000</f>
        <v>-4.0999999999999999E-4</v>
      </c>
      <c r="C128" t="s">
        <v>43</v>
      </c>
      <c r="D128" t="s">
        <v>13</v>
      </c>
      <c r="E128" t="s">
        <v>12</v>
      </c>
      <c r="F128" t="s">
        <v>71</v>
      </c>
      <c r="H128" t="s">
        <v>72</v>
      </c>
      <c r="I128"/>
    </row>
    <row r="129" spans="1:11">
      <c r="A129" t="s">
        <v>73</v>
      </c>
      <c r="B129">
        <f>-0.66/1000</f>
        <v>-6.6E-4</v>
      </c>
      <c r="C129" t="s">
        <v>43</v>
      </c>
      <c r="D129" t="s">
        <v>13</v>
      </c>
      <c r="E129" t="s">
        <v>12</v>
      </c>
      <c r="F129" t="s">
        <v>74</v>
      </c>
      <c r="H129" t="s">
        <v>75</v>
      </c>
      <c r="I129"/>
    </row>
    <row r="130" spans="1:11">
      <c r="A130" t="s">
        <v>76</v>
      </c>
      <c r="B130">
        <f>-5.55/1000</f>
        <v>-5.5500000000000002E-3</v>
      </c>
      <c r="C130" t="s">
        <v>43</v>
      </c>
      <c r="D130" t="s">
        <v>13</v>
      </c>
      <c r="E130" t="s">
        <v>12</v>
      </c>
      <c r="F130" t="s">
        <v>77</v>
      </c>
      <c r="H130" t="s">
        <v>78</v>
      </c>
      <c r="I130"/>
    </row>
    <row r="131" spans="1:11">
      <c r="A131" t="s">
        <v>79</v>
      </c>
      <c r="B131">
        <f>-0.1/1000</f>
        <v>-1E-4</v>
      </c>
      <c r="C131" t="s">
        <v>43</v>
      </c>
      <c r="D131" t="s">
        <v>13</v>
      </c>
      <c r="E131" t="s">
        <v>12</v>
      </c>
      <c r="F131" t="s">
        <v>80</v>
      </c>
      <c r="H131" t="s">
        <v>81</v>
      </c>
      <c r="I131"/>
    </row>
    <row r="132" spans="1:11">
      <c r="B132"/>
      <c r="I132"/>
    </row>
    <row r="135" spans="1:11">
      <c r="A135" s="4" t="s">
        <v>1</v>
      </c>
      <c r="B135" s="12" t="s">
        <v>38</v>
      </c>
      <c r="C135" s="9"/>
      <c r="D135" s="9"/>
      <c r="E135" s="9"/>
      <c r="F135" s="9"/>
      <c r="G135" s="9"/>
      <c r="H135" s="9"/>
      <c r="J135" s="21"/>
      <c r="K135" s="22"/>
    </row>
    <row r="136" spans="1:11">
      <c r="A136" s="6" t="s">
        <v>3</v>
      </c>
      <c r="B136" s="14">
        <v>1</v>
      </c>
      <c r="C136" s="9"/>
      <c r="D136" s="9"/>
      <c r="E136" s="9"/>
      <c r="F136" s="9"/>
      <c r="G136" s="9"/>
      <c r="H136" s="9"/>
      <c r="J136" s="13"/>
      <c r="K136" s="22"/>
    </row>
    <row r="137" spans="1:11">
      <c r="A137" s="6" t="s">
        <v>11</v>
      </c>
      <c r="B137" s="23" t="s">
        <v>35</v>
      </c>
      <c r="C137" s="9"/>
      <c r="D137" s="9"/>
      <c r="E137" s="9"/>
      <c r="F137" s="9"/>
      <c r="G137" s="9"/>
      <c r="H137" s="9"/>
      <c r="K137" s="22"/>
    </row>
    <row r="138" spans="1:11">
      <c r="A138" s="6" t="s">
        <v>4</v>
      </c>
      <c r="B138" s="10" t="s">
        <v>25</v>
      </c>
      <c r="C138" s="9"/>
      <c r="D138" s="9"/>
      <c r="E138" s="9"/>
      <c r="F138" s="9"/>
      <c r="G138" s="9"/>
      <c r="H138" s="9"/>
    </row>
    <row r="139" spans="1:11" ht="16.25" customHeight="1">
      <c r="A139" s="6" t="s">
        <v>2</v>
      </c>
      <c r="B139" s="15" t="s">
        <v>27</v>
      </c>
      <c r="C139" s="9"/>
      <c r="D139" s="9"/>
      <c r="E139" s="9"/>
      <c r="F139" s="9"/>
      <c r="G139" s="9"/>
      <c r="H139" s="9"/>
    </row>
    <row r="140" spans="1:11">
      <c r="A140" s="6" t="s">
        <v>6</v>
      </c>
      <c r="B140" s="10" t="s">
        <v>13</v>
      </c>
      <c r="C140" s="9"/>
      <c r="D140" s="9"/>
      <c r="E140" s="9"/>
      <c r="F140" s="9"/>
      <c r="G140" s="9"/>
      <c r="H140" s="16"/>
    </row>
    <row r="141" spans="1:11">
      <c r="A141" s="16" t="s">
        <v>7</v>
      </c>
      <c r="B141" s="12"/>
      <c r="C141" s="16"/>
      <c r="D141" s="16"/>
      <c r="E141" s="16"/>
      <c r="F141" s="16"/>
      <c r="G141" s="16"/>
      <c r="H141" s="13"/>
    </row>
    <row r="142" spans="1:11">
      <c r="A142" t="s">
        <v>8</v>
      </c>
      <c r="B142" s="19" t="s">
        <v>9</v>
      </c>
      <c r="C142" t="s">
        <v>2</v>
      </c>
      <c r="D142" t="s">
        <v>6</v>
      </c>
      <c r="E142" t="s">
        <v>5</v>
      </c>
      <c r="F142" t="s">
        <v>4</v>
      </c>
      <c r="G142" s="1" t="s">
        <v>10</v>
      </c>
      <c r="H142" s="20" t="s">
        <v>11</v>
      </c>
    </row>
    <row r="143" spans="1:11">
      <c r="A143" t="s">
        <v>38</v>
      </c>
      <c r="B143" s="19">
        <v>1</v>
      </c>
      <c r="C143" t="s">
        <v>27</v>
      </c>
      <c r="D143" t="s">
        <v>13</v>
      </c>
      <c r="E143" t="s">
        <v>18</v>
      </c>
      <c r="F143" s="10" t="s">
        <v>25</v>
      </c>
      <c r="G143" s="13"/>
    </row>
    <row r="144" spans="1:11">
      <c r="A144" t="s">
        <v>119</v>
      </c>
      <c r="B144" s="19">
        <f>4.3*28.6</f>
        <v>122.98</v>
      </c>
      <c r="C144" t="s">
        <v>36</v>
      </c>
      <c r="D144" t="s">
        <v>40</v>
      </c>
      <c r="E144" t="s">
        <v>12</v>
      </c>
      <c r="F144" t="s">
        <v>30</v>
      </c>
    </row>
    <row r="145" spans="1:11">
      <c r="A145" t="s">
        <v>119</v>
      </c>
      <c r="B145" s="19">
        <v>1.34</v>
      </c>
      <c r="C145" t="s">
        <v>36</v>
      </c>
      <c r="D145" t="s">
        <v>13</v>
      </c>
      <c r="E145" t="s">
        <v>12</v>
      </c>
      <c r="F145" t="s">
        <v>31</v>
      </c>
    </row>
    <row r="146" spans="1:11">
      <c r="A146" t="s">
        <v>32</v>
      </c>
      <c r="B146" s="19">
        <v>4.03</v>
      </c>
      <c r="C146" t="s">
        <v>21</v>
      </c>
      <c r="D146" t="s">
        <v>13</v>
      </c>
      <c r="E146" t="s">
        <v>12</v>
      </c>
      <c r="F146" t="s">
        <v>33</v>
      </c>
    </row>
    <row r="147" spans="1:11">
      <c r="A147" t="s">
        <v>34</v>
      </c>
      <c r="B147" s="19">
        <v>8.34</v>
      </c>
      <c r="D147" t="s">
        <v>13</v>
      </c>
      <c r="E147" t="s">
        <v>15</v>
      </c>
      <c r="G147" t="s">
        <v>24</v>
      </c>
    </row>
    <row r="148" spans="1:11">
      <c r="A148" t="s">
        <v>39</v>
      </c>
      <c r="B148" s="19">
        <v>4.6399999999999997</v>
      </c>
      <c r="C148" t="s">
        <v>27</v>
      </c>
      <c r="D148" t="s">
        <v>19</v>
      </c>
      <c r="E148" t="s">
        <v>12</v>
      </c>
      <c r="F148" t="s">
        <v>37</v>
      </c>
    </row>
    <row r="150" spans="1:11">
      <c r="A150" s="4" t="s">
        <v>1</v>
      </c>
      <c r="B150" s="12" t="s">
        <v>41</v>
      </c>
      <c r="C150" s="9"/>
      <c r="D150" s="9"/>
      <c r="E150" s="9"/>
      <c r="F150" s="9"/>
      <c r="G150" s="9"/>
      <c r="H150" s="9"/>
      <c r="J150" s="21"/>
      <c r="K150" s="22"/>
    </row>
    <row r="151" spans="1:11">
      <c r="A151" s="6" t="s">
        <v>3</v>
      </c>
      <c r="B151" s="14">
        <v>1</v>
      </c>
      <c r="C151" s="9"/>
      <c r="D151" s="9"/>
      <c r="E151" s="9"/>
      <c r="F151" s="9"/>
      <c r="G151" s="9"/>
      <c r="H151" s="9"/>
      <c r="J151" s="13"/>
      <c r="K151" s="22"/>
    </row>
    <row r="152" spans="1:11">
      <c r="A152" s="6" t="s">
        <v>11</v>
      </c>
      <c r="B152" s="23" t="s">
        <v>42</v>
      </c>
      <c r="C152" s="9"/>
      <c r="D152" s="9"/>
      <c r="E152" s="9"/>
      <c r="F152" s="9"/>
      <c r="G152" s="9"/>
      <c r="H152" s="9"/>
      <c r="K152" s="22"/>
    </row>
    <row r="153" spans="1:11">
      <c r="A153" s="6" t="s">
        <v>4</v>
      </c>
      <c r="B153" s="10" t="s">
        <v>25</v>
      </c>
      <c r="C153" s="9"/>
      <c r="D153" s="9"/>
      <c r="E153" s="9"/>
      <c r="F153" s="9"/>
      <c r="G153" s="9"/>
      <c r="H153" s="9"/>
    </row>
    <row r="154" spans="1:11" ht="16.25" customHeight="1">
      <c r="A154" s="6" t="s">
        <v>2</v>
      </c>
      <c r="B154" s="15" t="s">
        <v>27</v>
      </c>
      <c r="C154" s="9"/>
      <c r="D154" s="9"/>
      <c r="E154" s="9"/>
      <c r="F154" s="9"/>
      <c r="G154" s="9"/>
      <c r="H154" s="9"/>
    </row>
    <row r="155" spans="1:11">
      <c r="A155" s="6" t="s">
        <v>6</v>
      </c>
      <c r="B155" s="10" t="s">
        <v>13</v>
      </c>
      <c r="C155" s="9"/>
      <c r="D155" s="9"/>
      <c r="E155" s="9"/>
      <c r="F155" s="9"/>
      <c r="G155" s="9"/>
      <c r="H155" s="16"/>
    </row>
    <row r="156" spans="1:11">
      <c r="A156" s="16" t="s">
        <v>7</v>
      </c>
      <c r="B156" s="12"/>
      <c r="C156" s="16"/>
      <c r="D156" s="16"/>
      <c r="E156" s="16"/>
      <c r="F156" s="16"/>
      <c r="G156" s="16"/>
      <c r="H156" s="13"/>
    </row>
    <row r="157" spans="1:11">
      <c r="A157" t="s">
        <v>8</v>
      </c>
      <c r="B157" s="19" t="s">
        <v>9</v>
      </c>
      <c r="C157" t="s">
        <v>2</v>
      </c>
      <c r="D157" t="s">
        <v>6</v>
      </c>
      <c r="E157" t="s">
        <v>5</v>
      </c>
      <c r="F157" t="s">
        <v>4</v>
      </c>
      <c r="G157" s="1" t="s">
        <v>10</v>
      </c>
      <c r="H157" s="20" t="s">
        <v>11</v>
      </c>
    </row>
    <row r="158" spans="1:11">
      <c r="A158" t="s">
        <v>41</v>
      </c>
      <c r="B158" s="19">
        <v>1</v>
      </c>
      <c r="C158" t="s">
        <v>27</v>
      </c>
      <c r="D158" t="s">
        <v>13</v>
      </c>
      <c r="E158" t="s">
        <v>18</v>
      </c>
      <c r="F158" s="10" t="s">
        <v>25</v>
      </c>
      <c r="G158" s="13"/>
    </row>
    <row r="159" spans="1:11">
      <c r="A159" t="s">
        <v>119</v>
      </c>
      <c r="B159" s="19">
        <f>4.3*28.6</f>
        <v>122.98</v>
      </c>
      <c r="C159" t="s">
        <v>36</v>
      </c>
      <c r="D159" t="s">
        <v>40</v>
      </c>
      <c r="E159" t="s">
        <v>12</v>
      </c>
      <c r="F159" t="s">
        <v>30</v>
      </c>
    </row>
    <row r="160" spans="1:11">
      <c r="A160" t="s">
        <v>119</v>
      </c>
      <c r="B160" s="19">
        <v>1.34</v>
      </c>
      <c r="C160" t="s">
        <v>36</v>
      </c>
      <c r="D160" t="s">
        <v>13</v>
      </c>
      <c r="E160" t="s">
        <v>12</v>
      </c>
      <c r="F160" t="s">
        <v>31</v>
      </c>
    </row>
    <row r="161" spans="1:6">
      <c r="A161" t="s">
        <v>32</v>
      </c>
      <c r="B161" s="19">
        <v>4.03</v>
      </c>
      <c r="C161" t="s">
        <v>21</v>
      </c>
      <c r="D161" t="s">
        <v>13</v>
      </c>
      <c r="E161" t="s">
        <v>12</v>
      </c>
      <c r="F161" t="s">
        <v>33</v>
      </c>
    </row>
    <row r="162" spans="1:6">
      <c r="A162" t="s">
        <v>39</v>
      </c>
      <c r="B162" s="19">
        <v>4.6399999999999997</v>
      </c>
      <c r="C162" t="s">
        <v>27</v>
      </c>
      <c r="D162" t="s">
        <v>19</v>
      </c>
      <c r="E162" t="s">
        <v>12</v>
      </c>
      <c r="F162" t="s">
        <v>37</v>
      </c>
    </row>
    <row r="163" spans="1:6">
      <c r="A163" t="s">
        <v>39</v>
      </c>
      <c r="B163" s="19">
        <v>0.7</v>
      </c>
      <c r="C163" t="s">
        <v>27</v>
      </c>
      <c r="D163" t="s">
        <v>19</v>
      </c>
      <c r="E163" t="s">
        <v>12</v>
      </c>
      <c r="F163" t="s">
        <v>37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lci</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Terlouw Tom Mike</dc:creator>
  <cp:lastModifiedBy>Joanna SCHLESINGER</cp:lastModifiedBy>
  <dcterms:created xsi:type="dcterms:W3CDTF">2020-12-17T11:52:00Z</dcterms:created>
  <dcterms:modified xsi:type="dcterms:W3CDTF">2026-03-17T21:58:39Z</dcterms:modified>
</cp:coreProperties>
</file>