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chlesinger\0.Joanna\RTE_scenarios\"/>
    </mc:Choice>
  </mc:AlternateContent>
  <xr:revisionPtr revIDLastSave="0" documentId="13_ncr:1_{E75B5FF0-F196-43DC-99D5-E6CD283587F2}" xr6:coauthVersionLast="47" xr6:coauthVersionMax="47" xr10:uidLastSave="{00000000-0000-0000-0000-000000000000}"/>
  <bookViews>
    <workbookView xWindow="-80" yWindow="-80" windowWidth="19360" windowHeight="11440" xr2:uid="{00000000-000D-0000-FFFF-FFFF00000000}"/>
  </bookViews>
  <sheets>
    <sheet name="Conclusion" sheetId="4" r:id="rId1"/>
    <sheet name="elec 1 kWh" sheetId="1" r:id="rId2"/>
    <sheet name="contrib an. aggreg" sheetId="2" r:id="rId3"/>
    <sheet name="contrib an. detail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6" i="3" l="1"/>
  <c r="AH27" i="3"/>
  <c r="AH28" i="3"/>
  <c r="AH29" i="3"/>
  <c r="AH30" i="3"/>
  <c r="AH31" i="3"/>
  <c r="AH32" i="3"/>
  <c r="AH33" i="3"/>
  <c r="AH34" i="3"/>
  <c r="AH35" i="3"/>
  <c r="AH36" i="3"/>
  <c r="AH37" i="3"/>
  <c r="AH38" i="3"/>
  <c r="AH39" i="3"/>
  <c r="AH40" i="3"/>
  <c r="AH25" i="3"/>
  <c r="AG43" i="3"/>
  <c r="AG42" i="3"/>
  <c r="AG41" i="3"/>
  <c r="AG40" i="3"/>
  <c r="AG39" i="3"/>
  <c r="AG38" i="3"/>
  <c r="AG37" i="3"/>
  <c r="AG36" i="3"/>
  <c r="AG35" i="3"/>
  <c r="AG34" i="3"/>
  <c r="AG32" i="3"/>
  <c r="AG31" i="3"/>
  <c r="AG30" i="3"/>
  <c r="AG29" i="3"/>
  <c r="AG28" i="3"/>
  <c r="AG27" i="3"/>
  <c r="AG26" i="3"/>
  <c r="AG25" i="3"/>
  <c r="AH3" i="3"/>
  <c r="AH4" i="3"/>
  <c r="AH5" i="3"/>
  <c r="AH6" i="3"/>
  <c r="AH7" i="3"/>
  <c r="AH8" i="3"/>
  <c r="AH9" i="3"/>
  <c r="AH10" i="3"/>
  <c r="AH11" i="3"/>
  <c r="AH12" i="3"/>
  <c r="AH13" i="3"/>
  <c r="AH14" i="3"/>
  <c r="AH15" i="3"/>
  <c r="AH16" i="3"/>
  <c r="AH17" i="3"/>
  <c r="AH2" i="3"/>
  <c r="AG2" i="3"/>
  <c r="AG3" i="3"/>
  <c r="AG4" i="3"/>
  <c r="AG5" i="3"/>
  <c r="AG6" i="3"/>
  <c r="AG7" i="3"/>
  <c r="AG8" i="3"/>
  <c r="AG9" i="3"/>
  <c r="AG11" i="3"/>
  <c r="AG12" i="3"/>
  <c r="AG13" i="3"/>
  <c r="AG14" i="3"/>
  <c r="AG15" i="3"/>
  <c r="AG16" i="3"/>
  <c r="AG17" i="3"/>
  <c r="AG18" i="3"/>
  <c r="AG19" i="3"/>
  <c r="AG20" i="3"/>
  <c r="K3" i="1"/>
  <c r="K2" i="1"/>
</calcChain>
</file>

<file path=xl/sharedStrings.xml><?xml version="1.0" encoding="utf-8"?>
<sst xmlns="http://schemas.openxmlformats.org/spreadsheetml/2006/main" count="1290" uniqueCount="63">
  <si>
    <t>db_name</t>
  </si>
  <si>
    <t>model</t>
  </si>
  <si>
    <t>IAM scenario</t>
  </si>
  <si>
    <t>FR scenario</t>
  </si>
  <si>
    <t>year</t>
  </si>
  <si>
    <t>warning</t>
  </si>
  <si>
    <t>act</t>
  </si>
  <si>
    <t>impact</t>
  </si>
  <si>
    <t>unit</t>
  </si>
  <si>
    <t>ei_cutoff_3.9_tiam-ucl_SSP2-RCP45_2020_Reference - N1 2025-05-22 - elec</t>
  </si>
  <si>
    <t>ei_cutoff_3.9_tiam-ucl_SSP2-Base_2050_Reference - N1 2025-05-22 - elec</t>
  </si>
  <si>
    <t>ei_cutoff_3.9_tiam-ucl_SSP2-RCP45_2050_Reference - N1 2025-05-15</t>
  </si>
  <si>
    <t>ei_cutoff_3.9_tiam-ucl_SSP2-Base_2050_Reference - N1 2025-05-15</t>
  </si>
  <si>
    <t>tiam-ucl</t>
  </si>
  <si>
    <t>RCP45</t>
  </si>
  <si>
    <t>Base</t>
  </si>
  <si>
    <t>N1</t>
  </si>
  <si>
    <t>update electricity only</t>
  </si>
  <si>
    <t xml:space="preserve"> </t>
  </si>
  <si>
    <t>market for electricity, high voltage, FE2050</t>
  </si>
  <si>
    <t>kg CO2-Eq</t>
  </si>
  <si>
    <t>amount (kWh)</t>
  </si>
  <si>
    <t>contribution to impact</t>
  </si>
  <si>
    <t>percentage</t>
  </si>
  <si>
    <t>market for electricity, from direct French production, FE2050</t>
  </si>
  <si>
    <t>market for electricity, from storage, FE2050</t>
  </si>
  <si>
    <t>market for electricity, from import, FE2050</t>
  </si>
  <si>
    <t>g CO2-Eq</t>
  </si>
  <si>
    <t>amount</t>
  </si>
  <si>
    <t>unit amount</t>
  </si>
  <si>
    <t>unit impact</t>
  </si>
  <si>
    <t>% impact</t>
  </si>
  <si>
    <t>absolute impact</t>
  </si>
  <si>
    <t>absolute impact/impact elec</t>
  </si>
  <si>
    <t>electricity production, nuclear, pressure water reactor</t>
  </si>
  <si>
    <t>electricity production, Evolutionary Power Reactor (EPR)</t>
  </si>
  <si>
    <t>electricity production, hydro, run-of-river</t>
  </si>
  <si>
    <t>electricity production, hydro, reservoir, alpine region</t>
  </si>
  <si>
    <t>electricity production, photovoltaic</t>
  </si>
  <si>
    <t>electricity production, wind, 1-3MW turbine, onshore</t>
  </si>
  <si>
    <t>electricity production, wind, 1-3MW turbine, offshore</t>
  </si>
  <si>
    <t>heat and power co-generation, wood chips, 6667 kW</t>
  </si>
  <si>
    <t>treatment of municipal solid waste, incineration</t>
  </si>
  <si>
    <t>electricity production, natural gas, combined cycle power plant</t>
  </si>
  <si>
    <t>electricity production, hydro, pumped storage, FE2050</t>
  </si>
  <si>
    <t>electricity production, from hydrogen, with gas turbine, for grid-balancing, FE2050</t>
  </si>
  <si>
    <t>electricity production, from vehicle-to-grid, FE2050</t>
  </si>
  <si>
    <t>electricity supply, high voltage, from vanadium-redox flow battery system, FE2050</t>
  </si>
  <si>
    <t>market group for electricity, high voltage</t>
  </si>
  <si>
    <t>transmission network construction, electricity, high voltage direct current aerial line</t>
  </si>
  <si>
    <t>transmission network construction, electricity, high voltage direct current land cable</t>
  </si>
  <si>
    <t>transmission network construction, electricity, high voltage direct current subsea cable</t>
  </si>
  <si>
    <t>Dinitrogen monoxide('air',)</t>
  </si>
  <si>
    <t>Ozone('air',)</t>
  </si>
  <si>
    <t>kilowatt hour</t>
  </si>
  <si>
    <t>kilometer</t>
  </si>
  <si>
    <t>kilogram</t>
  </si>
  <si>
    <t>impact 1 kWh</t>
  </si>
  <si>
    <t>update electricity only+wrong year in db.name</t>
  </si>
  <si>
    <t>diff in absolute impact / total impact of consumption mix</t>
  </si>
  <si>
    <t>When we compare with update all and with update(electricity) only , there are no huge differences: 12% for RCP45 and 3% for Base scenarios (coupled with N1)</t>
  </si>
  <si>
    <t>RCP 45</t>
  </si>
  <si>
    <t>and all storage technologies that are connected to market for elec &gt;&gt; loop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</si>
</sst>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1F1F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EE6DA"/>
        <bgColor indexed="64"/>
      </patternFill>
    </fill>
    <fill>
      <patternFill patternType="solid">
        <fgColor rgb="FF67000D"/>
        <bgColor indexed="64"/>
      </patternFill>
    </fill>
    <fill>
      <patternFill patternType="solid">
        <fgColor rgb="FFFFF5F0"/>
        <bgColor indexed="64"/>
      </patternFill>
    </fill>
    <fill>
      <patternFill patternType="solid">
        <fgColor rgb="FF7C051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3" fillId="3" borderId="0" xfId="0" applyFont="1" applyFill="1"/>
    <xf numFmtId="0" fontId="2" fillId="4" borderId="0" xfId="0" applyFont="1" applyFill="1"/>
    <xf numFmtId="0" fontId="3" fillId="5" borderId="0" xfId="0" applyFont="1" applyFill="1"/>
    <xf numFmtId="9" fontId="0" fillId="0" borderId="0" xfId="1" applyFont="1"/>
    <xf numFmtId="0" fontId="1" fillId="0" borderId="2" xfId="0" applyFont="1" applyBorder="1" applyAlignment="1">
      <alignment horizontal="center" vertical="top"/>
    </xf>
    <xf numFmtId="0" fontId="0" fillId="6" borderId="0" xfId="0" applyFill="1"/>
    <xf numFmtId="9" fontId="0" fillId="6" borderId="0" xfId="1" applyFont="1" applyFill="1"/>
    <xf numFmtId="9" fontId="0" fillId="0" borderId="0" xfId="1" applyFont="1" applyFill="1"/>
  </cellXfs>
  <cellStyles count="2">
    <cellStyle name="Normal" xfId="0" builtinId="0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FCCE1-60AC-4F1E-B7CD-14E6F283A733}">
  <dimension ref="A1:M7"/>
  <sheetViews>
    <sheetView tabSelected="1" workbookViewId="0">
      <selection activeCell="O20" sqref="O20"/>
    </sheetView>
  </sheetViews>
  <sheetFormatPr baseColWidth="10" defaultRowHeight="14.5" x14ac:dyDescent="0.35"/>
  <sheetData>
    <row r="1" spans="1:13" x14ac:dyDescent="0.35">
      <c r="A1" s="8" t="s">
        <v>60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x14ac:dyDescent="0.35">
      <c r="A2" t="s">
        <v>61</v>
      </c>
      <c r="B2" t="s">
        <v>37</v>
      </c>
    </row>
    <row r="3" spans="1:13" x14ac:dyDescent="0.35">
      <c r="B3" t="s">
        <v>41</v>
      </c>
    </row>
    <row r="4" spans="1:13" x14ac:dyDescent="0.35">
      <c r="B4" t="s">
        <v>43</v>
      </c>
    </row>
    <row r="5" spans="1:13" x14ac:dyDescent="0.35">
      <c r="B5" t="s">
        <v>62</v>
      </c>
    </row>
    <row r="6" spans="1:13" x14ac:dyDescent="0.35">
      <c r="A6" t="s">
        <v>15</v>
      </c>
      <c r="B6" t="s">
        <v>43</v>
      </c>
    </row>
    <row r="7" spans="1:13" x14ac:dyDescent="0.35">
      <c r="B7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workbookViewId="0">
      <selection activeCell="B9" sqref="B9:C15"/>
    </sheetView>
  </sheetViews>
  <sheetFormatPr baseColWidth="10" defaultColWidth="8.7265625" defaultRowHeight="14.5" x14ac:dyDescent="0.35"/>
  <sheetData>
    <row r="1" spans="1:11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1" x14ac:dyDescent="0.35">
      <c r="A2" s="1">
        <v>0</v>
      </c>
      <c r="B2" t="s">
        <v>9</v>
      </c>
      <c r="C2" t="s">
        <v>13</v>
      </c>
      <c r="D2" t="s">
        <v>14</v>
      </c>
      <c r="E2" t="s">
        <v>16</v>
      </c>
      <c r="F2">
        <v>2050</v>
      </c>
      <c r="G2" t="s">
        <v>17</v>
      </c>
      <c r="H2" t="s">
        <v>19</v>
      </c>
      <c r="I2" s="2">
        <v>1.439485832760333E-2</v>
      </c>
      <c r="J2" t="s">
        <v>20</v>
      </c>
      <c r="K2" s="6">
        <f>(I2-I4)/I4</f>
        <v>0.11695840857097994</v>
      </c>
    </row>
    <row r="3" spans="1:11" x14ac:dyDescent="0.35">
      <c r="A3" s="1">
        <v>1</v>
      </c>
      <c r="B3" t="s">
        <v>10</v>
      </c>
      <c r="C3" t="s">
        <v>13</v>
      </c>
      <c r="D3" t="s">
        <v>15</v>
      </c>
      <c r="E3" t="s">
        <v>16</v>
      </c>
      <c r="F3">
        <v>2050</v>
      </c>
      <c r="G3" t="s">
        <v>17</v>
      </c>
      <c r="H3" t="s">
        <v>19</v>
      </c>
      <c r="I3" s="3">
        <v>2.9012976231274561E-2</v>
      </c>
      <c r="J3" t="s">
        <v>20</v>
      </c>
      <c r="K3" s="6">
        <f>(I3-I5)/I5</f>
        <v>2.6013463114018264E-2</v>
      </c>
    </row>
    <row r="4" spans="1:11" x14ac:dyDescent="0.35">
      <c r="A4" s="1">
        <v>2</v>
      </c>
      <c r="B4" t="s">
        <v>11</v>
      </c>
      <c r="C4" t="s">
        <v>13</v>
      </c>
      <c r="D4" t="s">
        <v>14</v>
      </c>
      <c r="E4" t="s">
        <v>16</v>
      </c>
      <c r="F4">
        <v>2050</v>
      </c>
      <c r="G4" t="s">
        <v>18</v>
      </c>
      <c r="H4" t="s">
        <v>19</v>
      </c>
      <c r="I4" s="4">
        <v>1.2887550885641211E-2</v>
      </c>
      <c r="J4" t="s">
        <v>20</v>
      </c>
    </row>
    <row r="5" spans="1:11" x14ac:dyDescent="0.35">
      <c r="A5" s="1">
        <v>3</v>
      </c>
      <c r="B5" t="s">
        <v>12</v>
      </c>
      <c r="C5" t="s">
        <v>13</v>
      </c>
      <c r="D5" t="s">
        <v>15</v>
      </c>
      <c r="E5" t="s">
        <v>16</v>
      </c>
      <c r="F5">
        <v>2050</v>
      </c>
      <c r="G5" t="s">
        <v>18</v>
      </c>
      <c r="H5" t="s">
        <v>19</v>
      </c>
      <c r="I5" s="5">
        <v>2.8277383557149701E-2</v>
      </c>
      <c r="J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3"/>
  <sheetViews>
    <sheetView workbookViewId="0">
      <selection activeCell="L8" sqref="L8"/>
    </sheetView>
  </sheetViews>
  <sheetFormatPr baseColWidth="10" defaultColWidth="8.7265625" defaultRowHeight="14.5" x14ac:dyDescent="0.35"/>
  <sheetData>
    <row r="1" spans="1:13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21</v>
      </c>
      <c r="L1" s="1" t="s">
        <v>22</v>
      </c>
      <c r="M1" s="1" t="s">
        <v>23</v>
      </c>
    </row>
    <row r="2" spans="1:13" x14ac:dyDescent="0.35">
      <c r="A2" s="1">
        <v>0</v>
      </c>
      <c r="B2" t="s">
        <v>9</v>
      </c>
      <c r="C2" t="s">
        <v>13</v>
      </c>
      <c r="D2" t="s">
        <v>14</v>
      </c>
      <c r="E2" t="s">
        <v>16</v>
      </c>
      <c r="F2">
        <v>2050</v>
      </c>
      <c r="G2" t="s">
        <v>58</v>
      </c>
      <c r="H2" t="s">
        <v>19</v>
      </c>
      <c r="I2">
        <v>14.39485832760333</v>
      </c>
      <c r="J2" t="s">
        <v>27</v>
      </c>
      <c r="K2">
        <v>1</v>
      </c>
      <c r="L2">
        <v>14.39485832760333</v>
      </c>
      <c r="M2">
        <v>99.99999934457577</v>
      </c>
    </row>
    <row r="3" spans="1:13" x14ac:dyDescent="0.35">
      <c r="A3" s="1">
        <v>1</v>
      </c>
      <c r="B3" t="s">
        <v>9</v>
      </c>
      <c r="C3" t="s">
        <v>13</v>
      </c>
      <c r="D3" t="s">
        <v>14</v>
      </c>
      <c r="E3" t="s">
        <v>16</v>
      </c>
      <c r="F3">
        <v>2050</v>
      </c>
      <c r="G3" t="s">
        <v>58</v>
      </c>
      <c r="H3" t="s">
        <v>24</v>
      </c>
      <c r="I3">
        <v>13.219036016459411</v>
      </c>
      <c r="J3" t="s">
        <v>27</v>
      </c>
      <c r="K3">
        <v>0.90977795105681925</v>
      </c>
      <c r="L3">
        <v>12.026387502000739</v>
      </c>
      <c r="M3">
        <v>83.546410457651376</v>
      </c>
    </row>
    <row r="4" spans="1:13" x14ac:dyDescent="0.35">
      <c r="A4" s="1">
        <v>2</v>
      </c>
      <c r="B4" t="s">
        <v>9</v>
      </c>
      <c r="C4" t="s">
        <v>13</v>
      </c>
      <c r="D4" t="s">
        <v>14</v>
      </c>
      <c r="E4" t="s">
        <v>16</v>
      </c>
      <c r="F4">
        <v>2050</v>
      </c>
      <c r="G4" t="s">
        <v>58</v>
      </c>
      <c r="H4" t="s">
        <v>25</v>
      </c>
      <c r="I4">
        <v>37.038308714485581</v>
      </c>
      <c r="J4" t="s">
        <v>27</v>
      </c>
      <c r="K4">
        <v>4.3975119343490222E-2</v>
      </c>
      <c r="L4">
        <v>1.628764046000537</v>
      </c>
      <c r="M4">
        <v>11.314901461738829</v>
      </c>
    </row>
    <row r="5" spans="1:13" x14ac:dyDescent="0.35">
      <c r="A5" s="1">
        <v>3</v>
      </c>
      <c r="B5" t="s">
        <v>9</v>
      </c>
      <c r="C5" t="s">
        <v>13</v>
      </c>
      <c r="D5" t="s">
        <v>14</v>
      </c>
      <c r="E5" t="s">
        <v>16</v>
      </c>
      <c r="F5">
        <v>2050</v>
      </c>
      <c r="G5" t="s">
        <v>58</v>
      </c>
      <c r="H5" t="s">
        <v>26</v>
      </c>
      <c r="I5">
        <v>15.994723981727541</v>
      </c>
      <c r="J5" t="s">
        <v>27</v>
      </c>
      <c r="K5">
        <v>4.6246929599690588E-2</v>
      </c>
      <c r="L5">
        <v>0.73970687394943602</v>
      </c>
      <c r="M5">
        <v>5.1386880806097901</v>
      </c>
    </row>
    <row r="7" spans="1:13" x14ac:dyDescent="0.35">
      <c r="B7" s="1" t="s">
        <v>0</v>
      </c>
      <c r="C7" s="1" t="s">
        <v>1</v>
      </c>
      <c r="D7" s="1" t="s">
        <v>2</v>
      </c>
      <c r="E7" s="1" t="s">
        <v>3</v>
      </c>
      <c r="F7" s="1" t="s">
        <v>4</v>
      </c>
      <c r="G7" s="1" t="s">
        <v>5</v>
      </c>
      <c r="H7" s="1" t="s">
        <v>6</v>
      </c>
      <c r="I7" s="1" t="s">
        <v>7</v>
      </c>
      <c r="J7" s="1" t="s">
        <v>8</v>
      </c>
      <c r="K7" s="1" t="s">
        <v>21</v>
      </c>
      <c r="L7" s="1" t="s">
        <v>22</v>
      </c>
      <c r="M7" s="1" t="s">
        <v>23</v>
      </c>
    </row>
    <row r="8" spans="1:13" x14ac:dyDescent="0.35">
      <c r="A8" s="1">
        <v>0</v>
      </c>
      <c r="B8" t="s">
        <v>10</v>
      </c>
      <c r="C8" t="s">
        <v>13</v>
      </c>
      <c r="D8" t="s">
        <v>15</v>
      </c>
      <c r="E8" t="s">
        <v>16</v>
      </c>
      <c r="F8">
        <v>2050</v>
      </c>
      <c r="G8" t="s">
        <v>17</v>
      </c>
      <c r="H8" t="s">
        <v>19</v>
      </c>
      <c r="I8">
        <v>29.01297623127456</v>
      </c>
      <c r="J8" t="s">
        <v>27</v>
      </c>
      <c r="K8">
        <v>1</v>
      </c>
      <c r="L8">
        <v>29.01297623127456</v>
      </c>
      <c r="M8">
        <v>100.0000009052644</v>
      </c>
    </row>
    <row r="9" spans="1:13" x14ac:dyDescent="0.35">
      <c r="A9" s="1">
        <v>1</v>
      </c>
      <c r="B9" t="s">
        <v>10</v>
      </c>
      <c r="C9" t="s">
        <v>13</v>
      </c>
      <c r="D9" t="s">
        <v>15</v>
      </c>
      <c r="E9" t="s">
        <v>16</v>
      </c>
      <c r="F9">
        <v>2050</v>
      </c>
      <c r="G9" t="s">
        <v>17</v>
      </c>
      <c r="H9" t="s">
        <v>24</v>
      </c>
      <c r="I9">
        <v>14.13444683952358</v>
      </c>
      <c r="J9" t="s">
        <v>27</v>
      </c>
      <c r="K9">
        <v>0.90977795105681925</v>
      </c>
      <c r="L9">
        <v>12.859208084983299</v>
      </c>
      <c r="M9">
        <v>44.322264971669917</v>
      </c>
    </row>
    <row r="10" spans="1:13" x14ac:dyDescent="0.35">
      <c r="A10" s="1">
        <v>2</v>
      </c>
      <c r="B10" t="s">
        <v>10</v>
      </c>
      <c r="C10" t="s">
        <v>13</v>
      </c>
      <c r="D10" t="s">
        <v>15</v>
      </c>
      <c r="E10" t="s">
        <v>16</v>
      </c>
      <c r="F10">
        <v>2050</v>
      </c>
      <c r="G10" t="s">
        <v>17</v>
      </c>
      <c r="H10" t="s">
        <v>25</v>
      </c>
      <c r="I10">
        <v>58.708416297319317</v>
      </c>
      <c r="J10" t="s">
        <v>27</v>
      </c>
      <c r="K10">
        <v>4.3975119343490222E-2</v>
      </c>
      <c r="L10">
        <v>2.581709613141923</v>
      </c>
      <c r="M10">
        <v>8.8984653485162415</v>
      </c>
    </row>
    <row r="11" spans="1:13" x14ac:dyDescent="0.35">
      <c r="A11" s="1">
        <v>3</v>
      </c>
      <c r="B11" t="s">
        <v>10</v>
      </c>
      <c r="C11" t="s">
        <v>13</v>
      </c>
      <c r="D11" t="s">
        <v>15</v>
      </c>
      <c r="E11" t="s">
        <v>16</v>
      </c>
      <c r="F11">
        <v>2050</v>
      </c>
      <c r="G11" t="s">
        <v>17</v>
      </c>
      <c r="H11" t="s">
        <v>26</v>
      </c>
      <c r="I11">
        <v>293.4693911138267</v>
      </c>
      <c r="J11" t="s">
        <v>27</v>
      </c>
      <c r="K11">
        <v>4.6246929599690588E-2</v>
      </c>
      <c r="L11">
        <v>13.57205827050521</v>
      </c>
      <c r="M11">
        <v>46.779269679813829</v>
      </c>
    </row>
    <row r="13" spans="1:13" x14ac:dyDescent="0.35">
      <c r="B13" s="1" t="s">
        <v>0</v>
      </c>
      <c r="C13" s="1" t="s">
        <v>1</v>
      </c>
      <c r="D13" s="1" t="s">
        <v>2</v>
      </c>
      <c r="E13" s="1" t="s">
        <v>3</v>
      </c>
      <c r="F13" s="1" t="s">
        <v>4</v>
      </c>
      <c r="G13" s="1" t="s">
        <v>5</v>
      </c>
      <c r="H13" s="1" t="s">
        <v>6</v>
      </c>
      <c r="I13" s="1" t="s">
        <v>7</v>
      </c>
      <c r="J13" s="1" t="s">
        <v>8</v>
      </c>
      <c r="K13" s="1" t="s">
        <v>21</v>
      </c>
      <c r="L13" s="1" t="s">
        <v>22</v>
      </c>
      <c r="M13" s="1" t="s">
        <v>23</v>
      </c>
    </row>
    <row r="14" spans="1:13" x14ac:dyDescent="0.35">
      <c r="A14" s="1">
        <v>0</v>
      </c>
      <c r="B14" t="s">
        <v>11</v>
      </c>
      <c r="C14" t="s">
        <v>13</v>
      </c>
      <c r="D14" t="s">
        <v>14</v>
      </c>
      <c r="E14" t="s">
        <v>16</v>
      </c>
      <c r="F14">
        <v>2050</v>
      </c>
      <c r="G14" t="s">
        <v>18</v>
      </c>
      <c r="H14" t="s">
        <v>19</v>
      </c>
      <c r="I14">
        <v>12.887550885641209</v>
      </c>
      <c r="J14" t="s">
        <v>27</v>
      </c>
      <c r="K14">
        <v>1</v>
      </c>
      <c r="L14">
        <v>12.887550885641209</v>
      </c>
      <c r="M14">
        <v>99.999999364239429</v>
      </c>
    </row>
    <row r="15" spans="1:13" x14ac:dyDescent="0.35">
      <c r="A15" s="1">
        <v>1</v>
      </c>
      <c r="B15" t="s">
        <v>11</v>
      </c>
      <c r="C15" t="s">
        <v>13</v>
      </c>
      <c r="D15" t="s">
        <v>14</v>
      </c>
      <c r="E15" t="s">
        <v>16</v>
      </c>
      <c r="F15">
        <v>2050</v>
      </c>
      <c r="G15" t="s">
        <v>18</v>
      </c>
      <c r="H15" t="s">
        <v>24</v>
      </c>
      <c r="I15">
        <v>11.85710504380792</v>
      </c>
      <c r="J15" t="s">
        <v>27</v>
      </c>
      <c r="K15">
        <v>0.90977795105681925</v>
      </c>
      <c r="L15">
        <v>10.78733273222104</v>
      </c>
      <c r="M15">
        <v>83.703511701810214</v>
      </c>
    </row>
    <row r="16" spans="1:13" x14ac:dyDescent="0.35">
      <c r="A16" s="1">
        <v>2</v>
      </c>
      <c r="B16" t="s">
        <v>11</v>
      </c>
      <c r="C16" t="s">
        <v>13</v>
      </c>
      <c r="D16" t="s">
        <v>14</v>
      </c>
      <c r="E16" t="s">
        <v>16</v>
      </c>
      <c r="F16">
        <v>2050</v>
      </c>
      <c r="G16" t="s">
        <v>18</v>
      </c>
      <c r="H16" t="s">
        <v>25</v>
      </c>
      <c r="I16">
        <v>33.28502197700832</v>
      </c>
      <c r="J16" t="s">
        <v>27</v>
      </c>
      <c r="K16">
        <v>4.3975119343490222E-2</v>
      </c>
      <c r="L16">
        <v>1.463712813789636</v>
      </c>
      <c r="M16">
        <v>11.35757148485626</v>
      </c>
    </row>
    <row r="17" spans="1:13" x14ac:dyDescent="0.35">
      <c r="A17" s="1">
        <v>3</v>
      </c>
      <c r="B17" t="s">
        <v>11</v>
      </c>
      <c r="C17" t="s">
        <v>13</v>
      </c>
      <c r="D17" t="s">
        <v>14</v>
      </c>
      <c r="E17" t="s">
        <v>16</v>
      </c>
      <c r="F17">
        <v>2050</v>
      </c>
      <c r="G17" t="s">
        <v>18</v>
      </c>
      <c r="H17" t="s">
        <v>26</v>
      </c>
      <c r="I17">
        <v>13.763193082741591</v>
      </c>
      <c r="J17" t="s">
        <v>27</v>
      </c>
      <c r="K17">
        <v>4.6246929599690588E-2</v>
      </c>
      <c r="L17">
        <v>0.63650542156449863</v>
      </c>
      <c r="M17">
        <v>4.9389168133335311</v>
      </c>
    </row>
    <row r="19" spans="1:13" x14ac:dyDescent="0.35">
      <c r="B19" s="1" t="s">
        <v>0</v>
      </c>
      <c r="C19" s="1" t="s">
        <v>1</v>
      </c>
      <c r="D19" s="1" t="s">
        <v>2</v>
      </c>
      <c r="E19" s="1" t="s">
        <v>3</v>
      </c>
      <c r="F19" s="1" t="s">
        <v>4</v>
      </c>
      <c r="G19" s="1" t="s">
        <v>5</v>
      </c>
      <c r="H19" s="1" t="s">
        <v>6</v>
      </c>
      <c r="I19" s="1" t="s">
        <v>7</v>
      </c>
      <c r="J19" s="1" t="s">
        <v>8</v>
      </c>
      <c r="K19" s="1" t="s">
        <v>21</v>
      </c>
      <c r="L19" s="1" t="s">
        <v>22</v>
      </c>
      <c r="M19" s="1" t="s">
        <v>23</v>
      </c>
    </row>
    <row r="20" spans="1:13" x14ac:dyDescent="0.35">
      <c r="A20" s="1">
        <v>0</v>
      </c>
      <c r="B20" t="s">
        <v>12</v>
      </c>
      <c r="C20" t="s">
        <v>13</v>
      </c>
      <c r="D20" t="s">
        <v>15</v>
      </c>
      <c r="E20" t="s">
        <v>16</v>
      </c>
      <c r="F20">
        <v>2050</v>
      </c>
      <c r="G20" t="s">
        <v>18</v>
      </c>
      <c r="H20" t="s">
        <v>19</v>
      </c>
      <c r="I20">
        <v>28.277383557149701</v>
      </c>
      <c r="J20" t="s">
        <v>27</v>
      </c>
      <c r="K20">
        <v>1</v>
      </c>
      <c r="L20">
        <v>28.277383557149701</v>
      </c>
      <c r="M20">
        <v>100.00000091357531</v>
      </c>
    </row>
    <row r="21" spans="1:13" x14ac:dyDescent="0.35">
      <c r="A21" s="1">
        <v>1</v>
      </c>
      <c r="B21" t="s">
        <v>12</v>
      </c>
      <c r="C21" t="s">
        <v>13</v>
      </c>
      <c r="D21" t="s">
        <v>15</v>
      </c>
      <c r="E21" t="s">
        <v>16</v>
      </c>
      <c r="F21">
        <v>2050</v>
      </c>
      <c r="G21" t="s">
        <v>18</v>
      </c>
      <c r="H21" t="s">
        <v>24</v>
      </c>
      <c r="I21">
        <v>13.91146299835553</v>
      </c>
      <c r="J21" t="s">
        <v>27</v>
      </c>
      <c r="K21">
        <v>0.90977795105681925</v>
      </c>
      <c r="L21">
        <v>12.65634230284665</v>
      </c>
      <c r="M21">
        <v>44.757827020639667</v>
      </c>
    </row>
    <row r="22" spans="1:13" x14ac:dyDescent="0.35">
      <c r="A22" s="1">
        <v>2</v>
      </c>
      <c r="B22" t="s">
        <v>12</v>
      </c>
      <c r="C22" t="s">
        <v>13</v>
      </c>
      <c r="D22" t="s">
        <v>15</v>
      </c>
      <c r="E22" t="s">
        <v>16</v>
      </c>
      <c r="F22">
        <v>2050</v>
      </c>
      <c r="G22" t="s">
        <v>18</v>
      </c>
      <c r="H22" t="s">
        <v>25</v>
      </c>
      <c r="I22">
        <v>59.155208458133927</v>
      </c>
      <c r="J22" t="s">
        <v>27</v>
      </c>
      <c r="K22">
        <v>4.3975119343490222E-2</v>
      </c>
      <c r="L22">
        <v>2.6013573517354809</v>
      </c>
      <c r="M22">
        <v>9.1994274160598835</v>
      </c>
    </row>
    <row r="23" spans="1:13" x14ac:dyDescent="0.35">
      <c r="A23" s="1">
        <v>3</v>
      </c>
      <c r="B23" t="s">
        <v>12</v>
      </c>
      <c r="C23" t="s">
        <v>13</v>
      </c>
      <c r="D23" t="s">
        <v>15</v>
      </c>
      <c r="E23" t="s">
        <v>16</v>
      </c>
      <c r="F23">
        <v>2050</v>
      </c>
      <c r="G23" t="s">
        <v>18</v>
      </c>
      <c r="H23" t="s">
        <v>26</v>
      </c>
      <c r="I23">
        <v>281.52536302257539</v>
      </c>
      <c r="J23" t="s">
        <v>27</v>
      </c>
      <c r="K23">
        <v>4.6246929599690588E-2</v>
      </c>
      <c r="L23">
        <v>13.01968364423238</v>
      </c>
      <c r="M23">
        <v>46.04274556330045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91"/>
  <sheetViews>
    <sheetView topLeftCell="I25" workbookViewId="0">
      <selection activeCell="X40" sqref="X40"/>
    </sheetView>
  </sheetViews>
  <sheetFormatPr baseColWidth="10" defaultColWidth="8.7265625" defaultRowHeight="14.5" x14ac:dyDescent="0.35"/>
  <cols>
    <col min="8" max="8" width="59.453125" customWidth="1"/>
    <col min="12" max="16" width="8.7265625" customWidth="1"/>
    <col min="17" max="17" width="8.08984375" customWidth="1"/>
    <col min="18" max="18" width="8.7265625" hidden="1" customWidth="1"/>
    <col min="19" max="19" width="7.54296875" hidden="1" customWidth="1"/>
    <col min="20" max="20" width="11.7265625" hidden="1" customWidth="1"/>
    <col min="21" max="21" width="10.26953125" hidden="1" customWidth="1"/>
    <col min="22" max="22" width="4.81640625" hidden="1" customWidth="1"/>
    <col min="23" max="23" width="7.54296875" hidden="1" customWidth="1"/>
    <col min="24" max="24" width="37.26953125" customWidth="1"/>
    <col min="25" max="25" width="11.81640625" hidden="1" customWidth="1"/>
    <col min="26" max="26" width="11.90625" hidden="1" customWidth="1"/>
    <col min="27" max="27" width="8.6328125" hidden="1" customWidth="1"/>
    <col min="28" max="28" width="10.36328125" hidden="1" customWidth="1"/>
    <col min="29" max="29" width="11.81640625" bestFit="1" customWidth="1"/>
    <col min="30" max="30" width="15.81640625" customWidth="1"/>
    <col min="31" max="31" width="8.984375E-2" customWidth="1"/>
    <col min="32" max="32" width="4" customWidth="1"/>
  </cols>
  <sheetData>
    <row r="1" spans="1:34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28</v>
      </c>
      <c r="J1" s="1" t="s">
        <v>29</v>
      </c>
      <c r="K1" s="1" t="s">
        <v>7</v>
      </c>
      <c r="L1" s="1" t="s">
        <v>30</v>
      </c>
      <c r="M1" s="1" t="s">
        <v>31</v>
      </c>
      <c r="N1" s="1" t="s">
        <v>32</v>
      </c>
      <c r="O1" s="1" t="s">
        <v>33</v>
      </c>
      <c r="R1" s="1" t="s">
        <v>0</v>
      </c>
      <c r="S1" s="1" t="s">
        <v>1</v>
      </c>
      <c r="T1" s="1" t="s">
        <v>2</v>
      </c>
      <c r="U1" s="1" t="s">
        <v>3</v>
      </c>
      <c r="V1" s="1" t="s">
        <v>4</v>
      </c>
      <c r="W1" s="1" t="s">
        <v>5</v>
      </c>
      <c r="X1" s="1" t="s">
        <v>6</v>
      </c>
      <c r="Y1" s="1" t="s">
        <v>28</v>
      </c>
      <c r="Z1" s="1" t="s">
        <v>29</v>
      </c>
      <c r="AA1" s="1" t="s">
        <v>7</v>
      </c>
      <c r="AB1" s="1" t="s">
        <v>30</v>
      </c>
      <c r="AC1" s="1" t="s">
        <v>31</v>
      </c>
      <c r="AD1" s="1" t="s">
        <v>32</v>
      </c>
      <c r="AE1" s="1" t="s">
        <v>33</v>
      </c>
      <c r="AG1" s="7" t="s">
        <v>57</v>
      </c>
      <c r="AH1" s="7" t="s">
        <v>59</v>
      </c>
    </row>
    <row r="2" spans="1:34" x14ac:dyDescent="0.35">
      <c r="A2" s="1">
        <v>0</v>
      </c>
      <c r="B2" t="s">
        <v>9</v>
      </c>
      <c r="C2" t="s">
        <v>13</v>
      </c>
      <c r="D2" t="s">
        <v>14</v>
      </c>
      <c r="E2" t="s">
        <v>16</v>
      </c>
      <c r="F2">
        <v>2050</v>
      </c>
      <c r="G2" t="s">
        <v>58</v>
      </c>
      <c r="H2" t="s">
        <v>34</v>
      </c>
      <c r="I2">
        <v>0.1238413121453323</v>
      </c>
      <c r="J2" t="s">
        <v>54</v>
      </c>
      <c r="K2">
        <v>5.4089374362214788E-4</v>
      </c>
      <c r="L2" t="s">
        <v>20</v>
      </c>
      <c r="M2">
        <v>3.7575482252919401E-2</v>
      </c>
      <c r="N2">
        <v>4.3676357610567739E-3</v>
      </c>
      <c r="O2">
        <v>0.30341637699076712</v>
      </c>
      <c r="Q2" s="1">
        <v>0</v>
      </c>
      <c r="R2" t="s">
        <v>11</v>
      </c>
      <c r="S2" t="s">
        <v>13</v>
      </c>
      <c r="T2" t="s">
        <v>14</v>
      </c>
      <c r="U2" t="s">
        <v>16</v>
      </c>
      <c r="V2">
        <v>2050</v>
      </c>
      <c r="W2" t="s">
        <v>18</v>
      </c>
      <c r="X2" t="s">
        <v>34</v>
      </c>
      <c r="Y2">
        <v>0.1238413121453323</v>
      </c>
      <c r="Z2" t="s">
        <v>54</v>
      </c>
      <c r="AA2">
        <v>5.3143947714966763E-4</v>
      </c>
      <c r="AB2" t="s">
        <v>20</v>
      </c>
      <c r="AC2">
        <v>4.1236654028794263E-2</v>
      </c>
      <c r="AD2">
        <v>4.2912939789107214E-3</v>
      </c>
      <c r="AE2">
        <v>0.33297978933234768</v>
      </c>
      <c r="AG2" s="6">
        <f>(K2-AA2)/AA2</f>
        <v>1.7789921296753188E-2</v>
      </c>
      <c r="AH2" s="6">
        <f>(N2-AD2)/('contrib an. aggreg'!$I$2/1000)</f>
        <v>5.3034062863724649E-3</v>
      </c>
    </row>
    <row r="3" spans="1:34" x14ac:dyDescent="0.35">
      <c r="A3" s="1">
        <v>1</v>
      </c>
      <c r="B3" t="s">
        <v>9</v>
      </c>
      <c r="C3" t="s">
        <v>13</v>
      </c>
      <c r="D3" t="s">
        <v>14</v>
      </c>
      <c r="E3" t="s">
        <v>16</v>
      </c>
      <c r="F3">
        <v>2050</v>
      </c>
      <c r="G3" t="s">
        <v>58</v>
      </c>
      <c r="H3" t="s">
        <v>35</v>
      </c>
      <c r="I3">
        <v>0.1200885451119403</v>
      </c>
      <c r="J3" t="s">
        <v>54</v>
      </c>
      <c r="K3">
        <v>4.0310477281337432E-4</v>
      </c>
      <c r="L3" t="s">
        <v>20</v>
      </c>
      <c r="M3">
        <v>2.8003385906229292E-2</v>
      </c>
      <c r="N3">
        <v>3.3567295901338538E-3</v>
      </c>
      <c r="O3">
        <v>0.23318948431031439</v>
      </c>
      <c r="Q3" s="1">
        <v>1</v>
      </c>
      <c r="R3" t="s">
        <v>11</v>
      </c>
      <c r="S3" t="s">
        <v>13</v>
      </c>
      <c r="T3" t="s">
        <v>14</v>
      </c>
      <c r="U3" t="s">
        <v>16</v>
      </c>
      <c r="V3">
        <v>2050</v>
      </c>
      <c r="W3" t="s">
        <v>18</v>
      </c>
      <c r="X3" t="s">
        <v>35</v>
      </c>
      <c r="Y3">
        <v>0.1200885451119403</v>
      </c>
      <c r="Z3" t="s">
        <v>54</v>
      </c>
      <c r="AA3">
        <v>3.8453227004382149E-4</v>
      </c>
      <c r="AB3" t="s">
        <v>20</v>
      </c>
      <c r="AC3">
        <v>2.9837497710465059E-2</v>
      </c>
      <c r="AD3">
        <v>3.2020728512064198E-3</v>
      </c>
      <c r="AE3">
        <v>0.24846247976984059</v>
      </c>
      <c r="AG3" s="6">
        <f t="shared" ref="AG3:AG20" si="0">(K3-AA3)/AA3</f>
        <v>4.8298944500643093E-2</v>
      </c>
      <c r="AH3" s="6">
        <f>(N3-AD3)/('contrib an. aggreg'!$I$2/1000)</f>
        <v>1.0743887533152507E-2</v>
      </c>
    </row>
    <row r="4" spans="1:34" x14ac:dyDescent="0.35">
      <c r="A4" s="1">
        <v>2</v>
      </c>
      <c r="B4" t="s">
        <v>9</v>
      </c>
      <c r="C4" t="s">
        <v>13</v>
      </c>
      <c r="D4" t="s">
        <v>14</v>
      </c>
      <c r="E4" t="s">
        <v>16</v>
      </c>
      <c r="F4">
        <v>2050</v>
      </c>
      <c r="G4" t="s">
        <v>58</v>
      </c>
      <c r="H4" s="8" t="s">
        <v>36</v>
      </c>
      <c r="I4">
        <v>7.0702130932249987E-2</v>
      </c>
      <c r="J4" t="s">
        <v>54</v>
      </c>
      <c r="K4">
        <v>2.5040577307803191E-4</v>
      </c>
      <c r="L4" t="s">
        <v>20</v>
      </c>
      <c r="M4">
        <v>1.7395501044831979E-2</v>
      </c>
      <c r="N4">
        <v>3.5417005085459472E-3</v>
      </c>
      <c r="O4">
        <v>0.24603927513162421</v>
      </c>
      <c r="Q4" s="1">
        <v>2</v>
      </c>
      <c r="R4" t="s">
        <v>11</v>
      </c>
      <c r="S4" t="s">
        <v>13</v>
      </c>
      <c r="T4" t="s">
        <v>14</v>
      </c>
      <c r="U4" t="s">
        <v>16</v>
      </c>
      <c r="V4">
        <v>2050</v>
      </c>
      <c r="W4" t="s">
        <v>18</v>
      </c>
      <c r="X4" t="s">
        <v>36</v>
      </c>
      <c r="Y4">
        <v>7.0702130932249987E-2</v>
      </c>
      <c r="Z4" t="s">
        <v>54</v>
      </c>
      <c r="AA4">
        <v>1.473190392303524E-4</v>
      </c>
      <c r="AB4" t="s">
        <v>20</v>
      </c>
      <c r="AC4">
        <v>1.1431112128099479E-2</v>
      </c>
      <c r="AD4">
        <v>2.0836576958553092E-3</v>
      </c>
      <c r="AE4">
        <v>0.1616798811771783</v>
      </c>
      <c r="AG4" s="10">
        <f t="shared" si="0"/>
        <v>0.69975160295805394</v>
      </c>
      <c r="AH4" s="10">
        <f>(N4-AD4)/('contrib an. aggreg'!$I$2/1000)</f>
        <v>0.10128913946271499</v>
      </c>
    </row>
    <row r="5" spans="1:34" x14ac:dyDescent="0.35">
      <c r="A5" s="1">
        <v>3</v>
      </c>
      <c r="B5" t="s">
        <v>9</v>
      </c>
      <c r="C5" t="s">
        <v>13</v>
      </c>
      <c r="D5" t="s">
        <v>14</v>
      </c>
      <c r="E5" t="s">
        <v>16</v>
      </c>
      <c r="F5">
        <v>2050</v>
      </c>
      <c r="G5" t="s">
        <v>58</v>
      </c>
      <c r="H5" s="8" t="s">
        <v>37</v>
      </c>
      <c r="I5">
        <v>1.346707255845492E-2</v>
      </c>
      <c r="J5" t="s">
        <v>54</v>
      </c>
      <c r="K5">
        <v>7.1092797454093174E-5</v>
      </c>
      <c r="L5" t="s">
        <v>20</v>
      </c>
      <c r="M5">
        <v>4.9387632608906516E-3</v>
      </c>
      <c r="N5">
        <v>5.2790090159170909E-3</v>
      </c>
      <c r="O5">
        <v>0.36672879272414632</v>
      </c>
      <c r="Q5" s="1">
        <v>3</v>
      </c>
      <c r="R5" t="s">
        <v>11</v>
      </c>
      <c r="S5" t="s">
        <v>13</v>
      </c>
      <c r="T5" t="s">
        <v>14</v>
      </c>
      <c r="U5" t="s">
        <v>16</v>
      </c>
      <c r="V5">
        <v>2050</v>
      </c>
      <c r="W5" t="s">
        <v>18</v>
      </c>
      <c r="X5" s="8" t="s">
        <v>37</v>
      </c>
      <c r="Y5">
        <v>1.346707255845492E-2</v>
      </c>
      <c r="Z5" t="s">
        <v>54</v>
      </c>
      <c r="AA5">
        <v>3.7078970388428201E-5</v>
      </c>
      <c r="AB5" t="s">
        <v>20</v>
      </c>
      <c r="AC5">
        <v>2.8771153431285459E-3</v>
      </c>
      <c r="AD5">
        <v>2.753305904270132E-3</v>
      </c>
      <c r="AE5">
        <v>0.21364073971089059</v>
      </c>
      <c r="AG5" s="10">
        <f t="shared" si="0"/>
        <v>0.91733472395123961</v>
      </c>
      <c r="AH5" s="9">
        <f>(N5-AD5)/('contrib an. aggreg'!$I$2/1000)</f>
        <v>0.17545869880523343</v>
      </c>
    </row>
    <row r="6" spans="1:34" x14ac:dyDescent="0.35">
      <c r="A6" s="1">
        <v>4</v>
      </c>
      <c r="B6" t="s">
        <v>9</v>
      </c>
      <c r="C6" t="s">
        <v>13</v>
      </c>
      <c r="D6" t="s">
        <v>14</v>
      </c>
      <c r="E6" t="s">
        <v>16</v>
      </c>
      <c r="F6">
        <v>2050</v>
      </c>
      <c r="G6" t="s">
        <v>58</v>
      </c>
      <c r="H6" t="s">
        <v>38</v>
      </c>
      <c r="I6">
        <v>0.19353555708011469</v>
      </c>
      <c r="J6" t="s">
        <v>54</v>
      </c>
      <c r="K6">
        <v>3.1565780065720768E-3</v>
      </c>
      <c r="L6" t="s">
        <v>20</v>
      </c>
      <c r="M6">
        <v>0.21928510407907789</v>
      </c>
      <c r="N6">
        <v>1.6310067535886451E-2</v>
      </c>
      <c r="O6">
        <v>1.133048145712594</v>
      </c>
      <c r="Q6" s="1">
        <v>4</v>
      </c>
      <c r="R6" t="s">
        <v>11</v>
      </c>
      <c r="S6" t="s">
        <v>13</v>
      </c>
      <c r="T6" t="s">
        <v>14</v>
      </c>
      <c r="U6" t="s">
        <v>16</v>
      </c>
      <c r="V6">
        <v>2050</v>
      </c>
      <c r="W6" t="s">
        <v>18</v>
      </c>
      <c r="X6" t="s">
        <v>38</v>
      </c>
      <c r="Y6">
        <v>0.19353555708011469</v>
      </c>
      <c r="Z6" t="s">
        <v>54</v>
      </c>
      <c r="AA6">
        <v>2.8979676611813549E-3</v>
      </c>
      <c r="AB6" t="s">
        <v>20</v>
      </c>
      <c r="AC6">
        <v>0.22486566197850311</v>
      </c>
      <c r="AD6">
        <v>1.4973825507329031E-2</v>
      </c>
      <c r="AE6">
        <v>1.161882939605869</v>
      </c>
      <c r="AG6" s="10">
        <f t="shared" si="0"/>
        <v>8.9238520103188307E-2</v>
      </c>
      <c r="AH6" s="10">
        <f>(N6-AD6)/('contrib an. aggreg'!$I$2/1000)</f>
        <v>9.2827730440046469E-2</v>
      </c>
    </row>
    <row r="7" spans="1:34" x14ac:dyDescent="0.35">
      <c r="A7" s="1">
        <v>5</v>
      </c>
      <c r="B7" t="s">
        <v>9</v>
      </c>
      <c r="C7" t="s">
        <v>13</v>
      </c>
      <c r="D7" t="s">
        <v>14</v>
      </c>
      <c r="E7" t="s">
        <v>16</v>
      </c>
      <c r="F7">
        <v>2050</v>
      </c>
      <c r="G7" t="s">
        <v>58</v>
      </c>
      <c r="H7" t="s">
        <v>39</v>
      </c>
      <c r="I7">
        <v>0.1572141332383965</v>
      </c>
      <c r="J7" t="s">
        <v>54</v>
      </c>
      <c r="K7">
        <v>1.8003153179650361E-3</v>
      </c>
      <c r="L7" t="s">
        <v>20</v>
      </c>
      <c r="M7">
        <v>0.12506655341739509</v>
      </c>
      <c r="N7">
        <v>1.1451357971964719E-2</v>
      </c>
      <c r="O7">
        <v>0.79551724034725668</v>
      </c>
      <c r="Q7" s="1">
        <v>5</v>
      </c>
      <c r="R7" t="s">
        <v>11</v>
      </c>
      <c r="S7" t="s">
        <v>13</v>
      </c>
      <c r="T7" t="s">
        <v>14</v>
      </c>
      <c r="U7" t="s">
        <v>16</v>
      </c>
      <c r="V7">
        <v>2050</v>
      </c>
      <c r="W7" t="s">
        <v>18</v>
      </c>
      <c r="X7" t="s">
        <v>39</v>
      </c>
      <c r="Y7">
        <v>0.1572141332383965</v>
      </c>
      <c r="Z7" t="s">
        <v>54</v>
      </c>
      <c r="AA7">
        <v>1.6594351637621071E-3</v>
      </c>
      <c r="AB7" t="s">
        <v>20</v>
      </c>
      <c r="AC7">
        <v>0.12876264687427799</v>
      </c>
      <c r="AD7">
        <v>1.055525435010205E-2</v>
      </c>
      <c r="AE7">
        <v>0.81902717155222149</v>
      </c>
      <c r="AG7" s="10">
        <f t="shared" si="0"/>
        <v>8.4896449876076779E-2</v>
      </c>
      <c r="AH7" s="10">
        <f>(N7-AD7)/('contrib an. aggreg'!$I$2/1000)</f>
        <v>6.2251645793853824E-2</v>
      </c>
    </row>
    <row r="8" spans="1:34" x14ac:dyDescent="0.35">
      <c r="A8" s="1">
        <v>6</v>
      </c>
      <c r="B8" t="s">
        <v>9</v>
      </c>
      <c r="C8" t="s">
        <v>13</v>
      </c>
      <c r="D8" t="s">
        <v>14</v>
      </c>
      <c r="E8" t="s">
        <v>16</v>
      </c>
      <c r="F8">
        <v>2050</v>
      </c>
      <c r="G8" t="s">
        <v>58</v>
      </c>
      <c r="H8" t="s">
        <v>40</v>
      </c>
      <c r="I8">
        <v>0.21471188530380569</v>
      </c>
      <c r="J8" t="s">
        <v>54</v>
      </c>
      <c r="K8">
        <v>2.6761002585283722E-3</v>
      </c>
      <c r="L8" t="s">
        <v>20</v>
      </c>
      <c r="M8">
        <v>0.18590667567715691</v>
      </c>
      <c r="N8">
        <v>1.2463680129965019E-2</v>
      </c>
      <c r="O8">
        <v>0.86584250058681644</v>
      </c>
      <c r="Q8" s="1">
        <v>6</v>
      </c>
      <c r="R8" t="s">
        <v>11</v>
      </c>
      <c r="S8" t="s">
        <v>13</v>
      </c>
      <c r="T8" t="s">
        <v>14</v>
      </c>
      <c r="U8" t="s">
        <v>16</v>
      </c>
      <c r="V8">
        <v>2050</v>
      </c>
      <c r="W8" t="s">
        <v>18</v>
      </c>
      <c r="X8" t="s">
        <v>40</v>
      </c>
      <c r="Y8">
        <v>0.21471188530380569</v>
      </c>
      <c r="Z8" t="s">
        <v>54</v>
      </c>
      <c r="AA8">
        <v>2.408687854690473E-3</v>
      </c>
      <c r="AB8" t="s">
        <v>20</v>
      </c>
      <c r="AC8">
        <v>0.18690035648077519</v>
      </c>
      <c r="AD8">
        <v>1.12182325225374E-2</v>
      </c>
      <c r="AE8">
        <v>0.87047047356657192</v>
      </c>
      <c r="AG8" s="10">
        <f t="shared" si="0"/>
        <v>0.11101994943726856</v>
      </c>
      <c r="AH8" s="10">
        <f>(N8-AD8)/('contrib an. aggreg'!$I$2/1000)</f>
        <v>8.6520310174874743E-2</v>
      </c>
    </row>
    <row r="9" spans="1:34" x14ac:dyDescent="0.35">
      <c r="A9" s="1">
        <v>7</v>
      </c>
      <c r="B9" t="s">
        <v>9</v>
      </c>
      <c r="C9" t="s">
        <v>13</v>
      </c>
      <c r="D9" t="s">
        <v>14</v>
      </c>
      <c r="E9" t="s">
        <v>16</v>
      </c>
      <c r="F9">
        <v>2050</v>
      </c>
      <c r="G9" t="s">
        <v>58</v>
      </c>
      <c r="H9" s="8" t="s">
        <v>41</v>
      </c>
      <c r="I9">
        <v>1.313468462121163E-2</v>
      </c>
      <c r="J9" t="s">
        <v>54</v>
      </c>
      <c r="K9">
        <v>7.3780007233833632E-4</v>
      </c>
      <c r="L9" t="s">
        <v>20</v>
      </c>
      <c r="M9">
        <v>5.1254417066651077E-2</v>
      </c>
      <c r="N9">
        <v>5.6171890960125453E-2</v>
      </c>
      <c r="O9">
        <v>3.902219089743399</v>
      </c>
      <c r="Q9" s="1">
        <v>7</v>
      </c>
      <c r="R9" t="s">
        <v>11</v>
      </c>
      <c r="S9" t="s">
        <v>13</v>
      </c>
      <c r="T9" t="s">
        <v>14</v>
      </c>
      <c r="U9" t="s">
        <v>16</v>
      </c>
      <c r="V9">
        <v>2050</v>
      </c>
      <c r="W9" t="s">
        <v>18</v>
      </c>
      <c r="X9" s="8" t="s">
        <v>41</v>
      </c>
      <c r="Y9">
        <v>1.313468462121163E-2</v>
      </c>
      <c r="Z9" t="s">
        <v>54</v>
      </c>
      <c r="AA9">
        <v>5.3832104652912845E-4</v>
      </c>
      <c r="AB9" t="s">
        <v>20</v>
      </c>
      <c r="AC9">
        <v>4.1770624326217337E-2</v>
      </c>
      <c r="AD9">
        <v>4.098469525943365E-2</v>
      </c>
      <c r="AE9">
        <v>3.1801771820817519</v>
      </c>
      <c r="AG9" s="10">
        <f t="shared" si="0"/>
        <v>0.37055773147894955</v>
      </c>
      <c r="AH9" s="9">
        <f>(N9-AD9)/('contrib an. aggreg'!$I$2/1000)</f>
        <v>1.0550430824017978</v>
      </c>
    </row>
    <row r="10" spans="1:34" x14ac:dyDescent="0.35">
      <c r="A10" s="1">
        <v>8</v>
      </c>
      <c r="B10" t="s">
        <v>9</v>
      </c>
      <c r="C10" t="s">
        <v>13</v>
      </c>
      <c r="D10" t="s">
        <v>14</v>
      </c>
      <c r="E10" t="s">
        <v>16</v>
      </c>
      <c r="F10">
        <v>2050</v>
      </c>
      <c r="G10" t="s">
        <v>58</v>
      </c>
      <c r="H10" t="s">
        <v>42</v>
      </c>
      <c r="I10">
        <v>2.412493094341404E-3</v>
      </c>
      <c r="J10" t="s">
        <v>54</v>
      </c>
      <c r="K10">
        <v>0</v>
      </c>
      <c r="L10" t="s">
        <v>20</v>
      </c>
      <c r="M10">
        <v>0</v>
      </c>
      <c r="N10">
        <v>0</v>
      </c>
      <c r="O10">
        <v>0</v>
      </c>
      <c r="Q10" s="1">
        <v>8</v>
      </c>
      <c r="R10" t="s">
        <v>11</v>
      </c>
      <c r="S10" t="s">
        <v>13</v>
      </c>
      <c r="T10" t="s">
        <v>14</v>
      </c>
      <c r="U10" t="s">
        <v>16</v>
      </c>
      <c r="V10">
        <v>2050</v>
      </c>
      <c r="W10" t="s">
        <v>18</v>
      </c>
      <c r="X10" t="s">
        <v>42</v>
      </c>
      <c r="Y10">
        <v>2.412493094341404E-3</v>
      </c>
      <c r="Z10" t="s">
        <v>54</v>
      </c>
      <c r="AA10">
        <v>0</v>
      </c>
      <c r="AB10" t="s">
        <v>20</v>
      </c>
      <c r="AC10">
        <v>0</v>
      </c>
      <c r="AD10">
        <v>0</v>
      </c>
      <c r="AE10">
        <v>0</v>
      </c>
      <c r="AG10" s="10"/>
      <c r="AH10" s="6">
        <f>(N10-AD10)/('contrib an. aggreg'!$I$2/1000)</f>
        <v>0</v>
      </c>
    </row>
    <row r="11" spans="1:34" x14ac:dyDescent="0.35">
      <c r="A11" s="1">
        <v>9</v>
      </c>
      <c r="B11" t="s">
        <v>9</v>
      </c>
      <c r="C11" t="s">
        <v>13</v>
      </c>
      <c r="D11" t="s">
        <v>14</v>
      </c>
      <c r="E11" t="s">
        <v>16</v>
      </c>
      <c r="F11">
        <v>2050</v>
      </c>
      <c r="G11" t="s">
        <v>58</v>
      </c>
      <c r="H11" s="8" t="s">
        <v>43</v>
      </c>
      <c r="I11">
        <v>6.7013697097184535E-4</v>
      </c>
      <c r="J11" t="s">
        <v>54</v>
      </c>
      <c r="K11">
        <v>4.4945958568661923E-5</v>
      </c>
      <c r="L11" t="s">
        <v>20</v>
      </c>
      <c r="M11">
        <v>3.122361995218413E-3</v>
      </c>
      <c r="N11">
        <v>6.706980888322045E-2</v>
      </c>
      <c r="O11">
        <v>4.6592892654322666</v>
      </c>
      <c r="Q11" s="1">
        <v>9</v>
      </c>
      <c r="R11" t="s">
        <v>11</v>
      </c>
      <c r="S11" t="s">
        <v>13</v>
      </c>
      <c r="T11" t="s">
        <v>14</v>
      </c>
      <c r="U11" t="s">
        <v>16</v>
      </c>
      <c r="V11">
        <v>2050</v>
      </c>
      <c r="W11" t="s">
        <v>18</v>
      </c>
      <c r="X11" s="8" t="s">
        <v>43</v>
      </c>
      <c r="Y11">
        <v>6.7013697097184535E-4</v>
      </c>
      <c r="Z11" t="s">
        <v>54</v>
      </c>
      <c r="AA11">
        <v>2.5995649751585341E-5</v>
      </c>
      <c r="AB11" t="s">
        <v>20</v>
      </c>
      <c r="AC11">
        <v>2.0171132577679008E-3</v>
      </c>
      <c r="AD11">
        <v>3.8791546918961889E-2</v>
      </c>
      <c r="AE11">
        <v>3.0100014551393062</v>
      </c>
      <c r="AG11" s="10">
        <f t="shared" si="0"/>
        <v>0.72898000235292837</v>
      </c>
      <c r="AH11" s="9">
        <f>(N11-AD11)/('contrib an. aggreg'!$I$2/1000)</f>
        <v>1.9644696266327719</v>
      </c>
    </row>
    <row r="12" spans="1:34" x14ac:dyDescent="0.35">
      <c r="A12" s="1">
        <v>10</v>
      </c>
      <c r="B12" t="s">
        <v>9</v>
      </c>
      <c r="C12" t="s">
        <v>13</v>
      </c>
      <c r="D12" t="s">
        <v>14</v>
      </c>
      <c r="E12" t="s">
        <v>16</v>
      </c>
      <c r="F12">
        <v>2050</v>
      </c>
      <c r="G12" t="s">
        <v>58</v>
      </c>
      <c r="H12" t="s">
        <v>44</v>
      </c>
      <c r="I12">
        <v>2.1842904673904678E-2</v>
      </c>
      <c r="J12" t="s">
        <v>54</v>
      </c>
      <c r="K12">
        <v>4.595557026982389E-4</v>
      </c>
      <c r="L12" t="s">
        <v>20</v>
      </c>
      <c r="M12">
        <v>3.1924989620564927E-2</v>
      </c>
      <c r="N12">
        <v>2.103912961938903E-2</v>
      </c>
      <c r="O12">
        <v>1.461572537955776</v>
      </c>
      <c r="Q12" s="1">
        <v>10</v>
      </c>
      <c r="R12" t="s">
        <v>11</v>
      </c>
      <c r="S12" t="s">
        <v>13</v>
      </c>
      <c r="T12" t="s">
        <v>14</v>
      </c>
      <c r="U12" t="s">
        <v>16</v>
      </c>
      <c r="V12">
        <v>2050</v>
      </c>
      <c r="W12" t="s">
        <v>18</v>
      </c>
      <c r="X12" t="s">
        <v>44</v>
      </c>
      <c r="Y12">
        <v>2.1842904673904678E-2</v>
      </c>
      <c r="Z12" t="s">
        <v>54</v>
      </c>
      <c r="AA12">
        <v>3.6834040474158339E-4</v>
      </c>
      <c r="AB12" t="s">
        <v>20</v>
      </c>
      <c r="AC12">
        <v>2.8581101871882689E-2</v>
      </c>
      <c r="AD12">
        <v>1.6863160382768739E-2</v>
      </c>
      <c r="AE12">
        <v>1.308484484942519</v>
      </c>
      <c r="AG12" s="10">
        <f t="shared" si="0"/>
        <v>0.24763858860569324</v>
      </c>
      <c r="AH12" s="6">
        <f>(N12-AD12)/('contrib an. aggreg'!$I$2/1000)</f>
        <v>0.29010144744617078</v>
      </c>
    </row>
    <row r="13" spans="1:34" x14ac:dyDescent="0.35">
      <c r="A13" s="1">
        <v>11</v>
      </c>
      <c r="B13" t="s">
        <v>9</v>
      </c>
      <c r="C13" t="s">
        <v>13</v>
      </c>
      <c r="D13" t="s">
        <v>14</v>
      </c>
      <c r="E13" t="s">
        <v>16</v>
      </c>
      <c r="F13">
        <v>2050</v>
      </c>
      <c r="G13" t="s">
        <v>58</v>
      </c>
      <c r="H13" t="s">
        <v>45</v>
      </c>
      <c r="I13">
        <v>8.2453348769044171E-3</v>
      </c>
      <c r="J13" t="s">
        <v>54</v>
      </c>
      <c r="K13">
        <v>4.9813092849478578E-4</v>
      </c>
      <c r="L13" t="s">
        <v>20</v>
      </c>
      <c r="M13">
        <v>3.4604781593409552E-2</v>
      </c>
      <c r="N13">
        <v>6.0413668569129282E-2</v>
      </c>
      <c r="O13">
        <v>4.1968921954084877</v>
      </c>
      <c r="Q13" s="1">
        <v>11</v>
      </c>
      <c r="R13" t="s">
        <v>11</v>
      </c>
      <c r="S13" t="s">
        <v>13</v>
      </c>
      <c r="T13" t="s">
        <v>14</v>
      </c>
      <c r="U13" t="s">
        <v>16</v>
      </c>
      <c r="V13">
        <v>2050</v>
      </c>
      <c r="W13" t="s">
        <v>18</v>
      </c>
      <c r="X13" t="s">
        <v>45</v>
      </c>
      <c r="Y13">
        <v>8.2453348769044171E-3</v>
      </c>
      <c r="Z13" t="s">
        <v>54</v>
      </c>
      <c r="AA13">
        <v>4.664128154509144E-4</v>
      </c>
      <c r="AB13" t="s">
        <v>20</v>
      </c>
      <c r="AC13">
        <v>3.6190958203747833E-2</v>
      </c>
      <c r="AD13">
        <v>5.6566873561116282E-2</v>
      </c>
      <c r="AE13">
        <v>4.3892648078030723</v>
      </c>
      <c r="AG13" s="10">
        <f t="shared" si="0"/>
        <v>6.800437722365589E-2</v>
      </c>
      <c r="AH13" s="6">
        <f>(N13-AD13)/('contrib an. aggreg'!$I$2/1000)</f>
        <v>0.26723396093704188</v>
      </c>
    </row>
    <row r="14" spans="1:34" x14ac:dyDescent="0.35">
      <c r="A14" s="1">
        <v>12</v>
      </c>
      <c r="B14" t="s">
        <v>9</v>
      </c>
      <c r="C14" t="s">
        <v>13</v>
      </c>
      <c r="D14" t="s">
        <v>14</v>
      </c>
      <c r="E14" t="s">
        <v>16</v>
      </c>
      <c r="F14">
        <v>2050</v>
      </c>
      <c r="G14" t="s">
        <v>58</v>
      </c>
      <c r="H14" t="s">
        <v>46</v>
      </c>
      <c r="I14">
        <v>2.748444958968138E-3</v>
      </c>
      <c r="J14" t="s">
        <v>54</v>
      </c>
      <c r="K14">
        <v>6.5502835137142042E-5</v>
      </c>
      <c r="L14" t="s">
        <v>20</v>
      </c>
      <c r="M14">
        <v>4.5504327758151648E-3</v>
      </c>
      <c r="N14">
        <v>2.3832689435314029E-2</v>
      </c>
      <c r="O14">
        <v>1.6556390408937121</v>
      </c>
      <c r="Q14" s="1">
        <v>12</v>
      </c>
      <c r="R14" t="s">
        <v>11</v>
      </c>
      <c r="S14" t="s">
        <v>13</v>
      </c>
      <c r="T14" t="s">
        <v>14</v>
      </c>
      <c r="U14" t="s">
        <v>16</v>
      </c>
      <c r="V14">
        <v>2050</v>
      </c>
      <c r="W14" t="s">
        <v>18</v>
      </c>
      <c r="X14" t="s">
        <v>46</v>
      </c>
      <c r="Y14">
        <v>2.748444958968138E-3</v>
      </c>
      <c r="Z14" t="s">
        <v>54</v>
      </c>
      <c r="AA14">
        <v>5.9707758276490009E-5</v>
      </c>
      <c r="AB14" t="s">
        <v>20</v>
      </c>
      <c r="AC14">
        <v>4.6329794393296236E-3</v>
      </c>
      <c r="AD14">
        <v>2.1724196470322029E-2</v>
      </c>
      <c r="AE14">
        <v>1.685672992727133</v>
      </c>
      <c r="AG14" s="6">
        <f t="shared" si="0"/>
        <v>9.7057351137127698E-2</v>
      </c>
      <c r="AH14" s="6">
        <f>(N14-AD14)/('contrib an. aggreg'!$I$2/1000)</f>
        <v>0.14647542316889567</v>
      </c>
    </row>
    <row r="15" spans="1:34" x14ac:dyDescent="0.35">
      <c r="A15" s="1">
        <v>13</v>
      </c>
      <c r="B15" t="s">
        <v>9</v>
      </c>
      <c r="C15" t="s">
        <v>13</v>
      </c>
      <c r="D15" t="s">
        <v>14</v>
      </c>
      <c r="E15" t="s">
        <v>16</v>
      </c>
      <c r="F15">
        <v>2050</v>
      </c>
      <c r="G15" t="s">
        <v>58</v>
      </c>
      <c r="H15" t="s">
        <v>47</v>
      </c>
      <c r="I15">
        <v>1.113843483371298E-2</v>
      </c>
      <c r="J15" t="s">
        <v>54</v>
      </c>
      <c r="K15">
        <v>4.5949382964769999E-4</v>
      </c>
      <c r="L15" t="s">
        <v>20</v>
      </c>
      <c r="M15">
        <v>3.1920691346199827E-2</v>
      </c>
      <c r="N15">
        <v>4.1252997975706467E-2</v>
      </c>
      <c r="O15">
        <v>2.865814795592704</v>
      </c>
      <c r="Q15" s="1">
        <v>13</v>
      </c>
      <c r="R15" t="s">
        <v>11</v>
      </c>
      <c r="S15" t="s">
        <v>13</v>
      </c>
      <c r="T15" t="s">
        <v>14</v>
      </c>
      <c r="U15" t="s">
        <v>16</v>
      </c>
      <c r="V15">
        <v>2050</v>
      </c>
      <c r="W15" t="s">
        <v>18</v>
      </c>
      <c r="X15" t="s">
        <v>47</v>
      </c>
      <c r="Y15">
        <v>1.113843483371298E-2</v>
      </c>
      <c r="Z15" t="s">
        <v>54</v>
      </c>
      <c r="AA15">
        <v>4.3557252867663021E-4</v>
      </c>
      <c r="AB15" t="s">
        <v>20</v>
      </c>
      <c r="AC15">
        <v>3.3797928911530252E-2</v>
      </c>
      <c r="AD15">
        <v>3.910536221465083E-2</v>
      </c>
      <c r="AE15">
        <v>3.0343517214136049</v>
      </c>
      <c r="AG15" s="6">
        <f t="shared" si="0"/>
        <v>5.4919214128926377E-2</v>
      </c>
      <c r="AH15" s="6">
        <f>(N15-AD15)/('contrib an. aggreg'!$I$2/1000)</f>
        <v>0.14919464382204917</v>
      </c>
    </row>
    <row r="16" spans="1:34" x14ac:dyDescent="0.35">
      <c r="A16" s="1">
        <v>14</v>
      </c>
      <c r="B16" t="s">
        <v>9</v>
      </c>
      <c r="C16" t="s">
        <v>13</v>
      </c>
      <c r="D16" t="s">
        <v>14</v>
      </c>
      <c r="E16" t="s">
        <v>16</v>
      </c>
      <c r="F16">
        <v>2050</v>
      </c>
      <c r="G16" t="s">
        <v>58</v>
      </c>
      <c r="H16" t="s">
        <v>48</v>
      </c>
      <c r="I16">
        <v>4.6246929599690588E-2</v>
      </c>
      <c r="J16" t="s">
        <v>54</v>
      </c>
      <c r="K16">
        <v>6.164848143250625E-4</v>
      </c>
      <c r="L16" t="s">
        <v>20</v>
      </c>
      <c r="M16">
        <v>4.2826737178989951E-2</v>
      </c>
      <c r="N16">
        <v>1.3330286348981471E-2</v>
      </c>
      <c r="O16">
        <v>0.92604498395232882</v>
      </c>
      <c r="Q16" s="1">
        <v>14</v>
      </c>
      <c r="R16" t="s">
        <v>11</v>
      </c>
      <c r="S16" t="s">
        <v>13</v>
      </c>
      <c r="T16" t="s">
        <v>14</v>
      </c>
      <c r="U16" t="s">
        <v>16</v>
      </c>
      <c r="V16">
        <v>2050</v>
      </c>
      <c r="W16" t="s">
        <v>18</v>
      </c>
      <c r="X16" t="s">
        <v>48</v>
      </c>
      <c r="Y16">
        <v>4.6246929599690588E-2</v>
      </c>
      <c r="Z16" t="s">
        <v>54</v>
      </c>
      <c r="AA16">
        <v>5.241267264377527E-4</v>
      </c>
      <c r="AB16" t="s">
        <v>20</v>
      </c>
      <c r="AC16">
        <v>4.0669226534089858E-2</v>
      </c>
      <c r="AD16">
        <v>1.1333222139816589E-2</v>
      </c>
      <c r="AE16">
        <v>0.87939300805738141</v>
      </c>
      <c r="AG16" s="6">
        <f t="shared" si="0"/>
        <v>0.1762132767298952</v>
      </c>
      <c r="AH16" s="6">
        <f>(N16-AD16)/('contrib an. aggreg'!$I$2/1000)</f>
        <v>0.13873455116507438</v>
      </c>
    </row>
    <row r="17" spans="1:34" x14ac:dyDescent="0.35">
      <c r="A17" s="1">
        <v>15</v>
      </c>
      <c r="B17" t="s">
        <v>9</v>
      </c>
      <c r="C17" t="s">
        <v>13</v>
      </c>
      <c r="D17" t="s">
        <v>14</v>
      </c>
      <c r="E17" t="s">
        <v>16</v>
      </c>
      <c r="F17">
        <v>2050</v>
      </c>
      <c r="G17" t="s">
        <v>58</v>
      </c>
      <c r="H17" t="s">
        <v>19</v>
      </c>
      <c r="I17">
        <v>3.1242684515255099E-2</v>
      </c>
      <c r="J17" t="s">
        <v>54</v>
      </c>
      <c r="K17">
        <v>4.497340173711042E-4</v>
      </c>
      <c r="L17" t="s">
        <v>20</v>
      </c>
      <c r="M17">
        <v>3.1242684515255161E-2</v>
      </c>
      <c r="N17">
        <v>1.4394858327603351E-2</v>
      </c>
      <c r="O17">
        <v>1.000000000000002</v>
      </c>
      <c r="Q17" s="1">
        <v>15</v>
      </c>
      <c r="R17" t="s">
        <v>11</v>
      </c>
      <c r="S17" t="s">
        <v>13</v>
      </c>
      <c r="T17" t="s">
        <v>14</v>
      </c>
      <c r="U17" t="s">
        <v>16</v>
      </c>
      <c r="V17">
        <v>2050</v>
      </c>
      <c r="W17" t="s">
        <v>18</v>
      </c>
      <c r="X17" t="s">
        <v>19</v>
      </c>
      <c r="Y17">
        <v>3.1242684515255099E-2</v>
      </c>
      <c r="Z17" t="s">
        <v>54</v>
      </c>
      <c r="AA17">
        <v>4.0264168649438431E-4</v>
      </c>
      <c r="AB17" t="s">
        <v>20</v>
      </c>
      <c r="AC17">
        <v>3.1242684515255061E-2</v>
      </c>
      <c r="AD17">
        <v>1.288755088564119E-2</v>
      </c>
      <c r="AE17">
        <v>0.99999999999999878</v>
      </c>
      <c r="AG17" s="6">
        <f t="shared" si="0"/>
        <v>0.11695840857098311</v>
      </c>
      <c r="AH17" s="6">
        <f>(N17-AD17)/('contrib an. aggreg'!$I$2/1000)</f>
        <v>0.10471151626909549</v>
      </c>
    </row>
    <row r="18" spans="1:34" x14ac:dyDescent="0.35">
      <c r="A18" s="1">
        <v>16</v>
      </c>
      <c r="B18" t="s">
        <v>9</v>
      </c>
      <c r="C18" t="s">
        <v>13</v>
      </c>
      <c r="D18" t="s">
        <v>14</v>
      </c>
      <c r="E18" t="s">
        <v>16</v>
      </c>
      <c r="F18">
        <v>2050</v>
      </c>
      <c r="G18" t="s">
        <v>58</v>
      </c>
      <c r="H18" t="s">
        <v>49</v>
      </c>
      <c r="I18">
        <v>5.6500000000000001E-9</v>
      </c>
      <c r="J18" t="s">
        <v>55</v>
      </c>
      <c r="K18">
        <v>7.3957431696784542E-4</v>
      </c>
      <c r="L18" t="s">
        <v>20</v>
      </c>
      <c r="M18">
        <v>5.1377672508915957E-2</v>
      </c>
      <c r="N18">
        <v>130898.10919784869</v>
      </c>
      <c r="O18">
        <v>9093393.3644099049</v>
      </c>
      <c r="Q18" s="1">
        <v>16</v>
      </c>
      <c r="R18" t="s">
        <v>11</v>
      </c>
      <c r="S18" t="s">
        <v>13</v>
      </c>
      <c r="T18" t="s">
        <v>14</v>
      </c>
      <c r="U18" t="s">
        <v>16</v>
      </c>
      <c r="V18">
        <v>2050</v>
      </c>
      <c r="W18" t="s">
        <v>18</v>
      </c>
      <c r="X18" t="s">
        <v>49</v>
      </c>
      <c r="Y18">
        <v>5.6500000000000001E-9</v>
      </c>
      <c r="Z18" t="s">
        <v>55</v>
      </c>
      <c r="AA18">
        <v>5.7973313801164901E-4</v>
      </c>
      <c r="AB18" t="s">
        <v>20</v>
      </c>
      <c r="AC18">
        <v>4.4983965002812473E-2</v>
      </c>
      <c r="AD18">
        <v>102607.6350463096</v>
      </c>
      <c r="AE18">
        <v>7961763.717311942</v>
      </c>
      <c r="AG18" s="6">
        <f t="shared" si="0"/>
        <v>0.27571509799218102</v>
      </c>
      <c r="AH18" s="6"/>
    </row>
    <row r="19" spans="1:34" x14ac:dyDescent="0.35">
      <c r="A19" s="1">
        <v>17</v>
      </c>
      <c r="B19" t="s">
        <v>9</v>
      </c>
      <c r="C19" t="s">
        <v>13</v>
      </c>
      <c r="D19" t="s">
        <v>14</v>
      </c>
      <c r="E19" t="s">
        <v>16</v>
      </c>
      <c r="F19">
        <v>2050</v>
      </c>
      <c r="G19" t="s">
        <v>58</v>
      </c>
      <c r="H19" t="s">
        <v>50</v>
      </c>
      <c r="I19">
        <v>3.8600000000000001E-10</v>
      </c>
      <c r="J19" t="s">
        <v>55</v>
      </c>
      <c r="K19">
        <v>5.9634681967474352E-5</v>
      </c>
      <c r="L19" t="s">
        <v>20</v>
      </c>
      <c r="M19">
        <v>4.1427765810740863E-3</v>
      </c>
      <c r="N19">
        <v>154493.9947343895</v>
      </c>
      <c r="O19">
        <v>10732581.816254109</v>
      </c>
      <c r="Q19" s="1">
        <v>17</v>
      </c>
      <c r="R19" t="s">
        <v>11</v>
      </c>
      <c r="S19" t="s">
        <v>13</v>
      </c>
      <c r="T19" t="s">
        <v>14</v>
      </c>
      <c r="U19" t="s">
        <v>16</v>
      </c>
      <c r="V19">
        <v>2050</v>
      </c>
      <c r="W19" t="s">
        <v>18</v>
      </c>
      <c r="X19" t="s">
        <v>50</v>
      </c>
      <c r="Y19">
        <v>3.8600000000000001E-10</v>
      </c>
      <c r="Z19" t="s">
        <v>55</v>
      </c>
      <c r="AA19">
        <v>5.489593141257487E-5</v>
      </c>
      <c r="AB19" t="s">
        <v>20</v>
      </c>
      <c r="AC19">
        <v>4.2596092849369631E-3</v>
      </c>
      <c r="AD19">
        <v>142217.43889268101</v>
      </c>
      <c r="AE19">
        <v>11035257.2148626</v>
      </c>
      <c r="AG19" s="6">
        <f t="shared" si="0"/>
        <v>8.6322436526033497E-2</v>
      </c>
      <c r="AH19" s="6"/>
    </row>
    <row r="20" spans="1:34" x14ac:dyDescent="0.35">
      <c r="A20" s="1">
        <v>18</v>
      </c>
      <c r="B20" t="s">
        <v>9</v>
      </c>
      <c r="C20" t="s">
        <v>13</v>
      </c>
      <c r="D20" t="s">
        <v>14</v>
      </c>
      <c r="E20" t="s">
        <v>16</v>
      </c>
      <c r="F20">
        <v>2050</v>
      </c>
      <c r="G20" t="s">
        <v>58</v>
      </c>
      <c r="H20" t="s">
        <v>51</v>
      </c>
      <c r="I20">
        <v>3.47E-12</v>
      </c>
      <c r="J20" t="s">
        <v>55</v>
      </c>
      <c r="K20">
        <v>5.1053444205227773E-7</v>
      </c>
      <c r="L20" t="s">
        <v>20</v>
      </c>
      <c r="M20">
        <v>3.5466444367381232E-5</v>
      </c>
      <c r="N20">
        <v>147128.08128307719</v>
      </c>
      <c r="O20">
        <v>10220877.33930295</v>
      </c>
      <c r="Q20" s="1">
        <v>18</v>
      </c>
      <c r="R20" t="s">
        <v>11</v>
      </c>
      <c r="S20" t="s">
        <v>13</v>
      </c>
      <c r="T20" t="s">
        <v>14</v>
      </c>
      <c r="U20" t="s">
        <v>16</v>
      </c>
      <c r="V20">
        <v>2050</v>
      </c>
      <c r="W20" t="s">
        <v>18</v>
      </c>
      <c r="X20" t="s">
        <v>51</v>
      </c>
      <c r="Y20">
        <v>3.47E-12</v>
      </c>
      <c r="Z20" t="s">
        <v>55</v>
      </c>
      <c r="AA20">
        <v>3.427927289889403E-7</v>
      </c>
      <c r="AB20" t="s">
        <v>20</v>
      </c>
      <c r="AC20">
        <v>2.6598748825959331E-5</v>
      </c>
      <c r="AD20">
        <v>98787.529967994327</v>
      </c>
      <c r="AE20">
        <v>7665345.4829853997</v>
      </c>
      <c r="AG20" s="6">
        <f t="shared" si="0"/>
        <v>0.48933859699442273</v>
      </c>
      <c r="AH20" s="6"/>
    </row>
    <row r="21" spans="1:34" x14ac:dyDescent="0.35">
      <c r="A21" s="1">
        <v>19</v>
      </c>
      <c r="B21" t="s">
        <v>9</v>
      </c>
      <c r="C21" t="s">
        <v>13</v>
      </c>
      <c r="D21" t="s">
        <v>14</v>
      </c>
      <c r="E21" t="s">
        <v>16</v>
      </c>
      <c r="F21">
        <v>2050</v>
      </c>
      <c r="G21" t="s">
        <v>58</v>
      </c>
      <c r="H21" t="s">
        <v>52</v>
      </c>
      <c r="I21">
        <v>5.0000000000000004E-6</v>
      </c>
      <c r="J21" t="s">
        <v>56</v>
      </c>
      <c r="Q21" s="1">
        <v>19</v>
      </c>
      <c r="R21" t="s">
        <v>11</v>
      </c>
      <c r="S21" t="s">
        <v>13</v>
      </c>
      <c r="T21" t="s">
        <v>14</v>
      </c>
      <c r="U21" t="s">
        <v>16</v>
      </c>
      <c r="V21">
        <v>2050</v>
      </c>
      <c r="W21" t="s">
        <v>18</v>
      </c>
      <c r="X21" t="s">
        <v>52</v>
      </c>
      <c r="Y21">
        <v>5.0000000000000004E-6</v>
      </c>
      <c r="Z21" t="s">
        <v>56</v>
      </c>
    </row>
    <row r="22" spans="1:34" x14ac:dyDescent="0.35">
      <c r="A22" s="1">
        <v>20</v>
      </c>
      <c r="B22" t="s">
        <v>9</v>
      </c>
      <c r="C22" t="s">
        <v>13</v>
      </c>
      <c r="D22" t="s">
        <v>14</v>
      </c>
      <c r="E22" t="s">
        <v>16</v>
      </c>
      <c r="F22">
        <v>2050</v>
      </c>
      <c r="G22" t="s">
        <v>58</v>
      </c>
      <c r="H22" t="s">
        <v>53</v>
      </c>
      <c r="I22">
        <v>4.16E-6</v>
      </c>
      <c r="J22" t="s">
        <v>56</v>
      </c>
      <c r="Q22" s="1">
        <v>20</v>
      </c>
      <c r="R22" t="s">
        <v>11</v>
      </c>
      <c r="S22" t="s">
        <v>13</v>
      </c>
      <c r="T22" t="s">
        <v>14</v>
      </c>
      <c r="U22" t="s">
        <v>16</v>
      </c>
      <c r="V22">
        <v>2050</v>
      </c>
      <c r="W22" t="s">
        <v>18</v>
      </c>
      <c r="X22" t="s">
        <v>53</v>
      </c>
      <c r="Y22">
        <v>4.16E-6</v>
      </c>
      <c r="Z22" t="s">
        <v>56</v>
      </c>
    </row>
    <row r="24" spans="1:34" x14ac:dyDescent="0.35">
      <c r="B24" s="1" t="s">
        <v>0</v>
      </c>
      <c r="C24" s="1" t="s">
        <v>1</v>
      </c>
      <c r="D24" s="1" t="s">
        <v>2</v>
      </c>
      <c r="E24" s="1" t="s">
        <v>3</v>
      </c>
      <c r="F24" s="1" t="s">
        <v>4</v>
      </c>
      <c r="G24" s="1" t="s">
        <v>5</v>
      </c>
      <c r="H24" s="1" t="s">
        <v>6</v>
      </c>
      <c r="I24" s="1" t="s">
        <v>28</v>
      </c>
      <c r="J24" s="1" t="s">
        <v>29</v>
      </c>
      <c r="K24" s="1" t="s">
        <v>7</v>
      </c>
      <c r="L24" s="1" t="s">
        <v>30</v>
      </c>
      <c r="M24" s="1" t="s">
        <v>31</v>
      </c>
      <c r="N24" s="1" t="s">
        <v>32</v>
      </c>
      <c r="O24" s="1" t="s">
        <v>33</v>
      </c>
      <c r="R24" s="1" t="s">
        <v>0</v>
      </c>
      <c r="S24" s="1" t="s">
        <v>1</v>
      </c>
      <c r="T24" s="1" t="s">
        <v>2</v>
      </c>
      <c r="U24" s="1" t="s">
        <v>3</v>
      </c>
      <c r="V24" s="1" t="s">
        <v>4</v>
      </c>
      <c r="W24" s="1" t="s">
        <v>5</v>
      </c>
      <c r="X24" s="1" t="s">
        <v>6</v>
      </c>
      <c r="Y24" s="1" t="s">
        <v>28</v>
      </c>
      <c r="Z24" s="1" t="s">
        <v>29</v>
      </c>
      <c r="AA24" s="1" t="s">
        <v>7</v>
      </c>
      <c r="AB24" s="1" t="s">
        <v>30</v>
      </c>
      <c r="AC24" s="1" t="s">
        <v>31</v>
      </c>
      <c r="AD24" s="1" t="s">
        <v>32</v>
      </c>
      <c r="AE24" s="1" t="s">
        <v>33</v>
      </c>
      <c r="AG24" s="7" t="s">
        <v>57</v>
      </c>
      <c r="AH24" s="7" t="s">
        <v>59</v>
      </c>
    </row>
    <row r="25" spans="1:34" x14ac:dyDescent="0.35">
      <c r="A25" s="1">
        <v>0</v>
      </c>
      <c r="B25" t="s">
        <v>10</v>
      </c>
      <c r="C25" t="s">
        <v>13</v>
      </c>
      <c r="D25" t="s">
        <v>15</v>
      </c>
      <c r="E25" t="s">
        <v>16</v>
      </c>
      <c r="F25">
        <v>2050</v>
      </c>
      <c r="G25" t="s">
        <v>17</v>
      </c>
      <c r="H25" t="s">
        <v>34</v>
      </c>
      <c r="I25">
        <v>0.1238413121453323</v>
      </c>
      <c r="J25" t="s">
        <v>54</v>
      </c>
      <c r="K25">
        <v>6.9077278292321062E-4</v>
      </c>
      <c r="L25" t="s">
        <v>20</v>
      </c>
      <c r="M25">
        <v>2.380909760573241E-2</v>
      </c>
      <c r="N25">
        <v>5.5778864981062496E-3</v>
      </c>
      <c r="O25">
        <v>0.19225488807637611</v>
      </c>
      <c r="Q25" s="1">
        <v>0</v>
      </c>
      <c r="R25" t="s">
        <v>12</v>
      </c>
      <c r="S25" t="s">
        <v>13</v>
      </c>
      <c r="T25" t="s">
        <v>15</v>
      </c>
      <c r="U25" t="s">
        <v>16</v>
      </c>
      <c r="V25">
        <v>2050</v>
      </c>
      <c r="W25" t="s">
        <v>18</v>
      </c>
      <c r="X25" t="s">
        <v>34</v>
      </c>
      <c r="Y25">
        <v>0.1238413121453323</v>
      </c>
      <c r="Z25" t="s">
        <v>54</v>
      </c>
      <c r="AA25">
        <v>7.1700884830208558E-4</v>
      </c>
      <c r="AB25" t="s">
        <v>20</v>
      </c>
      <c r="AC25">
        <v>2.5356265612516179E-2</v>
      </c>
      <c r="AD25">
        <v>5.7897387865258531E-3</v>
      </c>
      <c r="AE25">
        <v>0.20474803741387751</v>
      </c>
      <c r="AG25" s="6">
        <f>(K25-AA25)/AA25</f>
        <v>-3.6590992483570228E-2</v>
      </c>
      <c r="AH25" s="6">
        <f>(N25-AD25)/('contrib an. aggreg'!$I$8/1000)</f>
        <v>-7.3019840064266544E-3</v>
      </c>
    </row>
    <row r="26" spans="1:34" x14ac:dyDescent="0.35">
      <c r="A26" s="1">
        <v>1</v>
      </c>
      <c r="B26" t="s">
        <v>10</v>
      </c>
      <c r="C26" t="s">
        <v>13</v>
      </c>
      <c r="D26" t="s">
        <v>15</v>
      </c>
      <c r="E26" t="s">
        <v>16</v>
      </c>
      <c r="F26">
        <v>2050</v>
      </c>
      <c r="G26" t="s">
        <v>17</v>
      </c>
      <c r="H26" t="s">
        <v>35</v>
      </c>
      <c r="I26">
        <v>0.1200885451119403</v>
      </c>
      <c r="J26" t="s">
        <v>54</v>
      </c>
      <c r="K26">
        <v>5.307194370880136E-4</v>
      </c>
      <c r="L26" t="s">
        <v>20</v>
      </c>
      <c r="M26">
        <v>1.8292485157586968E-2</v>
      </c>
      <c r="N26">
        <v>4.4194010060934989E-3</v>
      </c>
      <c r="O26">
        <v>0.15232497937697281</v>
      </c>
      <c r="Q26" s="1">
        <v>1</v>
      </c>
      <c r="R26" t="s">
        <v>12</v>
      </c>
      <c r="S26" t="s">
        <v>13</v>
      </c>
      <c r="T26" t="s">
        <v>15</v>
      </c>
      <c r="U26" t="s">
        <v>16</v>
      </c>
      <c r="V26">
        <v>2050</v>
      </c>
      <c r="W26" t="s">
        <v>18</v>
      </c>
      <c r="X26" t="s">
        <v>35</v>
      </c>
      <c r="Y26">
        <v>0.1200885451119403</v>
      </c>
      <c r="Z26" t="s">
        <v>54</v>
      </c>
      <c r="AA26">
        <v>5.4859334660427273E-4</v>
      </c>
      <c r="AB26" t="s">
        <v>20</v>
      </c>
      <c r="AC26">
        <v>1.940042810168572E-2</v>
      </c>
      <c r="AD26">
        <v>4.5682404270357543E-3</v>
      </c>
      <c r="AE26">
        <v>0.16155102956407411</v>
      </c>
      <c r="AG26" s="10">
        <f t="shared" ref="AG26:AG32" si="1">(K26-AA26)/AA26</f>
        <v>-3.2581345776241187E-2</v>
      </c>
      <c r="AH26" s="6">
        <f>(N26-AD26)/('contrib an. aggreg'!$I$8/1000)</f>
        <v>-5.1300983310293372E-3</v>
      </c>
    </row>
    <row r="27" spans="1:34" x14ac:dyDescent="0.35">
      <c r="A27" s="1">
        <v>2</v>
      </c>
      <c r="B27" t="s">
        <v>10</v>
      </c>
      <c r="C27" t="s">
        <v>13</v>
      </c>
      <c r="D27" t="s">
        <v>15</v>
      </c>
      <c r="E27" t="s">
        <v>16</v>
      </c>
      <c r="F27">
        <v>2050</v>
      </c>
      <c r="G27" t="s">
        <v>17</v>
      </c>
      <c r="H27" t="s">
        <v>36</v>
      </c>
      <c r="I27">
        <v>7.0702130932249987E-2</v>
      </c>
      <c r="J27" t="s">
        <v>54</v>
      </c>
      <c r="K27">
        <v>2.6836259097034158E-4</v>
      </c>
      <c r="L27" t="s">
        <v>20</v>
      </c>
      <c r="M27">
        <v>9.2497435916643351E-3</v>
      </c>
      <c r="N27">
        <v>3.7956789623144302E-3</v>
      </c>
      <c r="O27">
        <v>0.13082694212608481</v>
      </c>
      <c r="Q27" s="1">
        <v>2</v>
      </c>
      <c r="R27" t="s">
        <v>12</v>
      </c>
      <c r="S27" t="s">
        <v>13</v>
      </c>
      <c r="T27" t="s">
        <v>15</v>
      </c>
      <c r="U27" t="s">
        <v>16</v>
      </c>
      <c r="V27">
        <v>2050</v>
      </c>
      <c r="W27" t="s">
        <v>18</v>
      </c>
      <c r="X27" t="s">
        <v>36</v>
      </c>
      <c r="Y27">
        <v>7.0702130932249987E-2</v>
      </c>
      <c r="Z27" t="s">
        <v>54</v>
      </c>
      <c r="AA27">
        <v>2.7128035664540293E-4</v>
      </c>
      <c r="AB27" t="s">
        <v>20</v>
      </c>
      <c r="AC27">
        <v>9.5935451770894804E-3</v>
      </c>
      <c r="AD27">
        <v>3.8369473885498042E-3</v>
      </c>
      <c r="AE27">
        <v>0.1356896185531162</v>
      </c>
      <c r="AG27" s="10">
        <f t="shared" si="1"/>
        <v>-1.0755536121899256E-2</v>
      </c>
      <c r="AH27" s="6">
        <f>(N27-AD27)/('contrib an. aggreg'!$I$8/1000)</f>
        <v>-1.4224127130703884E-3</v>
      </c>
    </row>
    <row r="28" spans="1:34" x14ac:dyDescent="0.35">
      <c r="A28" s="1">
        <v>3</v>
      </c>
      <c r="B28" t="s">
        <v>10</v>
      </c>
      <c r="C28" t="s">
        <v>13</v>
      </c>
      <c r="D28" t="s">
        <v>15</v>
      </c>
      <c r="E28" t="s">
        <v>16</v>
      </c>
      <c r="F28">
        <v>2050</v>
      </c>
      <c r="G28" t="s">
        <v>17</v>
      </c>
      <c r="H28" t="s">
        <v>37</v>
      </c>
      <c r="I28">
        <v>1.346707255845492E-2</v>
      </c>
      <c r="J28" t="s">
        <v>54</v>
      </c>
      <c r="K28">
        <v>7.8124655944806893E-5</v>
      </c>
      <c r="L28" t="s">
        <v>20</v>
      </c>
      <c r="M28">
        <v>2.6927487660018952E-3</v>
      </c>
      <c r="N28">
        <v>5.8011609877128443E-3</v>
      </c>
      <c r="O28">
        <v>0.19995056492892571</v>
      </c>
      <c r="Q28" s="1">
        <v>3</v>
      </c>
      <c r="R28" t="s">
        <v>12</v>
      </c>
      <c r="S28" t="s">
        <v>13</v>
      </c>
      <c r="T28" t="s">
        <v>15</v>
      </c>
      <c r="U28" t="s">
        <v>16</v>
      </c>
      <c r="V28">
        <v>2050</v>
      </c>
      <c r="W28" t="s">
        <v>18</v>
      </c>
      <c r="X28" t="s">
        <v>37</v>
      </c>
      <c r="Y28">
        <v>1.346707255845492E-2</v>
      </c>
      <c r="Z28" t="s">
        <v>54</v>
      </c>
      <c r="AA28">
        <v>7.8503122407522354E-5</v>
      </c>
      <c r="AB28" t="s">
        <v>20</v>
      </c>
      <c r="AC28">
        <v>2.7761805560569089E-3</v>
      </c>
      <c r="AD28">
        <v>5.8292640859231417E-3</v>
      </c>
      <c r="AE28">
        <v>0.20614580815590561</v>
      </c>
      <c r="AG28" s="10">
        <f t="shared" si="1"/>
        <v>-4.8210370633511978E-3</v>
      </c>
      <c r="AH28" s="6">
        <f>(N28-AD28)/('contrib an. aggreg'!$I$8/1000)</f>
        <v>-9.6863892853583163E-4</v>
      </c>
    </row>
    <row r="29" spans="1:34" x14ac:dyDescent="0.35">
      <c r="A29" s="1">
        <v>4</v>
      </c>
      <c r="B29" t="s">
        <v>10</v>
      </c>
      <c r="C29" t="s">
        <v>13</v>
      </c>
      <c r="D29" t="s">
        <v>15</v>
      </c>
      <c r="E29" t="s">
        <v>16</v>
      </c>
      <c r="F29">
        <v>2050</v>
      </c>
      <c r="G29" t="s">
        <v>17</v>
      </c>
      <c r="H29" t="s">
        <v>38</v>
      </c>
      <c r="I29">
        <v>0.19353555708011469</v>
      </c>
      <c r="J29" t="s">
        <v>54</v>
      </c>
      <c r="K29">
        <v>3.4685218060453099E-3</v>
      </c>
      <c r="L29" t="s">
        <v>20</v>
      </c>
      <c r="M29">
        <v>0.1195507064975434</v>
      </c>
      <c r="N29">
        <v>1.7921884011264679E-2</v>
      </c>
      <c r="O29">
        <v>0.61771959789308917</v>
      </c>
      <c r="Q29" s="1">
        <v>4</v>
      </c>
      <c r="R29" t="s">
        <v>12</v>
      </c>
      <c r="S29" t="s">
        <v>13</v>
      </c>
      <c r="T29" t="s">
        <v>15</v>
      </c>
      <c r="U29" t="s">
        <v>16</v>
      </c>
      <c r="V29">
        <v>2050</v>
      </c>
      <c r="W29" t="s">
        <v>18</v>
      </c>
      <c r="X29" t="s">
        <v>38</v>
      </c>
      <c r="Y29">
        <v>0.19353555708011469</v>
      </c>
      <c r="Z29" t="s">
        <v>54</v>
      </c>
      <c r="AA29">
        <v>3.3840001386503549E-3</v>
      </c>
      <c r="AB29" t="s">
        <v>20</v>
      </c>
      <c r="AC29">
        <v>0.1196716143065768</v>
      </c>
      <c r="AD29">
        <v>1.7485159779965068E-2</v>
      </c>
      <c r="AE29">
        <v>0.61834432965224229</v>
      </c>
      <c r="AG29" s="10">
        <f t="shared" si="1"/>
        <v>2.4976851043707369E-2</v>
      </c>
      <c r="AH29" s="6">
        <f>(N29-AD29)/('contrib an. aggreg'!$I$8/1000)</f>
        <v>1.5052720817688591E-2</v>
      </c>
    </row>
    <row r="30" spans="1:34" x14ac:dyDescent="0.35">
      <c r="A30" s="1">
        <v>5</v>
      </c>
      <c r="B30" t="s">
        <v>10</v>
      </c>
      <c r="C30" t="s">
        <v>13</v>
      </c>
      <c r="D30" t="s">
        <v>15</v>
      </c>
      <c r="E30" t="s">
        <v>16</v>
      </c>
      <c r="F30">
        <v>2050</v>
      </c>
      <c r="G30" t="s">
        <v>17</v>
      </c>
      <c r="H30" t="s">
        <v>39</v>
      </c>
      <c r="I30">
        <v>0.1572141332383965</v>
      </c>
      <c r="J30" t="s">
        <v>54</v>
      </c>
      <c r="K30">
        <v>1.876077650293661E-3</v>
      </c>
      <c r="L30" t="s">
        <v>20</v>
      </c>
      <c r="M30">
        <v>6.4663398726785629E-2</v>
      </c>
      <c r="N30">
        <v>1.1933263324670771E-2</v>
      </c>
      <c r="O30">
        <v>0.41130779653716809</v>
      </c>
      <c r="Q30" s="1">
        <v>5</v>
      </c>
      <c r="R30" t="s">
        <v>12</v>
      </c>
      <c r="S30" t="s">
        <v>13</v>
      </c>
      <c r="T30" t="s">
        <v>15</v>
      </c>
      <c r="U30" t="s">
        <v>16</v>
      </c>
      <c r="V30">
        <v>2050</v>
      </c>
      <c r="W30" t="s">
        <v>18</v>
      </c>
      <c r="X30" t="s">
        <v>39</v>
      </c>
      <c r="Y30">
        <v>0.1572141332383965</v>
      </c>
      <c r="Z30" t="s">
        <v>54</v>
      </c>
      <c r="AA30">
        <v>1.8769348399544829E-3</v>
      </c>
      <c r="AB30" t="s">
        <v>20</v>
      </c>
      <c r="AC30">
        <v>6.6375831277357175E-2</v>
      </c>
      <c r="AD30">
        <v>1.193871569490724E-2</v>
      </c>
      <c r="AE30">
        <v>0.42220015408351441</v>
      </c>
      <c r="AG30" s="10">
        <f t="shared" si="1"/>
        <v>-4.5669654725079078E-4</v>
      </c>
      <c r="AH30" s="6">
        <f>(N30-AD30)/('contrib an. aggreg'!$I$8/1000)</f>
        <v>-1.8792867691361177E-4</v>
      </c>
    </row>
    <row r="31" spans="1:34" x14ac:dyDescent="0.35">
      <c r="A31" s="1">
        <v>6</v>
      </c>
      <c r="B31" t="s">
        <v>10</v>
      </c>
      <c r="C31" t="s">
        <v>13</v>
      </c>
      <c r="D31" t="s">
        <v>15</v>
      </c>
      <c r="E31" t="s">
        <v>16</v>
      </c>
      <c r="F31">
        <v>2050</v>
      </c>
      <c r="G31" t="s">
        <v>17</v>
      </c>
      <c r="H31" t="s">
        <v>40</v>
      </c>
      <c r="I31">
        <v>0.21471188530380569</v>
      </c>
      <c r="J31" t="s">
        <v>54</v>
      </c>
      <c r="K31">
        <v>2.773969767509829E-3</v>
      </c>
      <c r="L31" t="s">
        <v>20</v>
      </c>
      <c r="M31">
        <v>9.5611348018809106E-2</v>
      </c>
      <c r="N31">
        <v>1.2919497975553669E-2</v>
      </c>
      <c r="O31">
        <v>0.4453006776197983</v>
      </c>
      <c r="Q31" s="1">
        <v>6</v>
      </c>
      <c r="R31" t="s">
        <v>12</v>
      </c>
      <c r="S31" t="s">
        <v>13</v>
      </c>
      <c r="T31" t="s">
        <v>15</v>
      </c>
      <c r="U31" t="s">
        <v>16</v>
      </c>
      <c r="V31">
        <v>2050</v>
      </c>
      <c r="W31" t="s">
        <v>18</v>
      </c>
      <c r="X31" t="s">
        <v>40</v>
      </c>
      <c r="Y31">
        <v>0.21471188530380569</v>
      </c>
      <c r="Z31" t="s">
        <v>54</v>
      </c>
      <c r="AA31">
        <v>2.7687999348121298E-3</v>
      </c>
      <c r="AB31" t="s">
        <v>20</v>
      </c>
      <c r="AC31">
        <v>9.791570458477096E-2</v>
      </c>
      <c r="AD31">
        <v>1.289541997591064E-2</v>
      </c>
      <c r="AE31">
        <v>0.45603299717770868</v>
      </c>
      <c r="AG31" s="10">
        <f t="shared" si="1"/>
        <v>1.8671745230483599E-3</v>
      </c>
      <c r="AH31" s="6">
        <f>(N31-AD31)/('contrib an. aggreg'!$I$8/1000)</f>
        <v>8.2990450380178503E-4</v>
      </c>
    </row>
    <row r="32" spans="1:34" x14ac:dyDescent="0.35">
      <c r="A32" s="1">
        <v>7</v>
      </c>
      <c r="B32" t="s">
        <v>10</v>
      </c>
      <c r="C32" t="s">
        <v>13</v>
      </c>
      <c r="D32" t="s">
        <v>15</v>
      </c>
      <c r="E32" t="s">
        <v>16</v>
      </c>
      <c r="F32">
        <v>2050</v>
      </c>
      <c r="G32" t="s">
        <v>17</v>
      </c>
      <c r="H32" t="s">
        <v>41</v>
      </c>
      <c r="I32">
        <v>1.313468462121163E-2</v>
      </c>
      <c r="J32" t="s">
        <v>54</v>
      </c>
      <c r="K32">
        <v>7.4303389340624844E-4</v>
      </c>
      <c r="L32" t="s">
        <v>20</v>
      </c>
      <c r="M32">
        <v>2.5610398860262201E-2</v>
      </c>
      <c r="N32">
        <v>5.657036425574305E-2</v>
      </c>
      <c r="O32">
        <v>1.949829752204566</v>
      </c>
      <c r="Q32" s="1">
        <v>7</v>
      </c>
      <c r="R32" t="s">
        <v>12</v>
      </c>
      <c r="S32" t="s">
        <v>13</v>
      </c>
      <c r="T32" t="s">
        <v>15</v>
      </c>
      <c r="U32" t="s">
        <v>16</v>
      </c>
      <c r="V32">
        <v>2050</v>
      </c>
      <c r="W32" t="s">
        <v>18</v>
      </c>
      <c r="X32" t="s">
        <v>41</v>
      </c>
      <c r="Y32">
        <v>1.313468462121163E-2</v>
      </c>
      <c r="Z32" t="s">
        <v>54</v>
      </c>
      <c r="AA32">
        <v>6.0279948062016758E-4</v>
      </c>
      <c r="AB32" t="s">
        <v>20</v>
      </c>
      <c r="AC32">
        <v>2.131737115641856E-2</v>
      </c>
      <c r="AD32">
        <v>4.5893715609028558E-2</v>
      </c>
      <c r="AE32">
        <v>1.6229830994184999</v>
      </c>
      <c r="AG32" s="10">
        <f t="shared" si="1"/>
        <v>0.23263857600176754</v>
      </c>
      <c r="AH32" s="6">
        <f>(N32-AD32)/('contrib an. aggreg'!$I$8/1000)</f>
        <v>0.36799563621485992</v>
      </c>
    </row>
    <row r="33" spans="1:34" x14ac:dyDescent="0.35">
      <c r="A33" s="1">
        <v>8</v>
      </c>
      <c r="B33" t="s">
        <v>10</v>
      </c>
      <c r="C33" t="s">
        <v>13</v>
      </c>
      <c r="D33" t="s">
        <v>15</v>
      </c>
      <c r="E33" t="s">
        <v>16</v>
      </c>
      <c r="F33">
        <v>2050</v>
      </c>
      <c r="G33" t="s">
        <v>17</v>
      </c>
      <c r="H33" t="s">
        <v>42</v>
      </c>
      <c r="I33">
        <v>2.412493094341404E-3</v>
      </c>
      <c r="J33" t="s">
        <v>54</v>
      </c>
      <c r="K33">
        <v>0</v>
      </c>
      <c r="L33" t="s">
        <v>20</v>
      </c>
      <c r="M33">
        <v>0</v>
      </c>
      <c r="N33">
        <v>0</v>
      </c>
      <c r="O33">
        <v>0</v>
      </c>
      <c r="Q33" s="1">
        <v>8</v>
      </c>
      <c r="R33" t="s">
        <v>12</v>
      </c>
      <c r="S33" t="s">
        <v>13</v>
      </c>
      <c r="T33" t="s">
        <v>15</v>
      </c>
      <c r="U33" t="s">
        <v>16</v>
      </c>
      <c r="V33">
        <v>2050</v>
      </c>
      <c r="W33" t="s">
        <v>18</v>
      </c>
      <c r="X33" t="s">
        <v>42</v>
      </c>
      <c r="Y33">
        <v>2.412493094341404E-3</v>
      </c>
      <c r="Z33" t="s">
        <v>54</v>
      </c>
      <c r="AA33">
        <v>0</v>
      </c>
      <c r="AB33" t="s">
        <v>20</v>
      </c>
      <c r="AC33">
        <v>0</v>
      </c>
      <c r="AD33">
        <v>0</v>
      </c>
      <c r="AE33">
        <v>0</v>
      </c>
      <c r="AG33" s="6"/>
      <c r="AH33" s="6">
        <f>(N33-AD33)/('contrib an. aggreg'!$I$8/1000)</f>
        <v>0</v>
      </c>
    </row>
    <row r="34" spans="1:34" x14ac:dyDescent="0.35">
      <c r="A34" s="1">
        <v>9</v>
      </c>
      <c r="B34" t="s">
        <v>10</v>
      </c>
      <c r="C34" t="s">
        <v>13</v>
      </c>
      <c r="D34" t="s">
        <v>15</v>
      </c>
      <c r="E34" t="s">
        <v>16</v>
      </c>
      <c r="F34">
        <v>2050</v>
      </c>
      <c r="G34" t="s">
        <v>17</v>
      </c>
      <c r="H34" t="s">
        <v>43</v>
      </c>
      <c r="I34">
        <v>6.7013697097184535E-4</v>
      </c>
      <c r="J34" t="s">
        <v>54</v>
      </c>
      <c r="K34">
        <v>4.7098670895959408E-5</v>
      </c>
      <c r="L34" t="s">
        <v>20</v>
      </c>
      <c r="M34">
        <v>1.623365714724205E-3</v>
      </c>
      <c r="N34">
        <v>7.02821556429815E-2</v>
      </c>
      <c r="O34">
        <v>2.4224386730521221</v>
      </c>
      <c r="Q34" s="1">
        <v>9</v>
      </c>
      <c r="R34" t="s">
        <v>12</v>
      </c>
      <c r="S34" t="s">
        <v>13</v>
      </c>
      <c r="T34" t="s">
        <v>15</v>
      </c>
      <c r="U34" t="s">
        <v>16</v>
      </c>
      <c r="V34">
        <v>2050</v>
      </c>
      <c r="W34" t="s">
        <v>18</v>
      </c>
      <c r="X34" s="8" t="s">
        <v>43</v>
      </c>
      <c r="Y34">
        <v>6.7013697097184535E-4</v>
      </c>
      <c r="Z34" t="s">
        <v>54</v>
      </c>
      <c r="AA34">
        <v>2.13857265289347E-5</v>
      </c>
      <c r="AB34" t="s">
        <v>20</v>
      </c>
      <c r="AC34">
        <v>7.5628378013522016E-4</v>
      </c>
      <c r="AD34">
        <v>3.1912470816108998E-2</v>
      </c>
      <c r="AE34">
        <v>1.12855104686799</v>
      </c>
      <c r="AG34" s="9">
        <f t="shared" ref="AG34:AG43" si="2">(K34-AA34)/AA34</f>
        <v>1.2023413996356551</v>
      </c>
      <c r="AH34" s="9">
        <f>(N34-AD34)/('contrib an. aggreg'!$I$8/1000)</f>
        <v>1.3225008189787806</v>
      </c>
    </row>
    <row r="35" spans="1:34" x14ac:dyDescent="0.35">
      <c r="A35" s="1">
        <v>10</v>
      </c>
      <c r="B35" t="s">
        <v>10</v>
      </c>
      <c r="C35" t="s">
        <v>13</v>
      </c>
      <c r="D35" t="s">
        <v>15</v>
      </c>
      <c r="E35" t="s">
        <v>16</v>
      </c>
      <c r="F35">
        <v>2050</v>
      </c>
      <c r="G35" t="s">
        <v>17</v>
      </c>
      <c r="H35" t="s">
        <v>44</v>
      </c>
      <c r="I35">
        <v>2.1842904673904678E-2</v>
      </c>
      <c r="J35" t="s">
        <v>54</v>
      </c>
      <c r="K35">
        <v>8.2054698664961684E-4</v>
      </c>
      <c r="L35" t="s">
        <v>20</v>
      </c>
      <c r="M35">
        <v>2.828206868915115E-2</v>
      </c>
      <c r="N35">
        <v>3.7565836545077697E-2</v>
      </c>
      <c r="O35">
        <v>1.2947943101605539</v>
      </c>
      <c r="Q35" s="1">
        <v>10</v>
      </c>
      <c r="R35" t="s">
        <v>12</v>
      </c>
      <c r="S35" t="s">
        <v>13</v>
      </c>
      <c r="T35" t="s">
        <v>15</v>
      </c>
      <c r="U35" t="s">
        <v>16</v>
      </c>
      <c r="V35">
        <v>2050</v>
      </c>
      <c r="W35" t="s">
        <v>18</v>
      </c>
      <c r="X35" t="s">
        <v>44</v>
      </c>
      <c r="Y35">
        <v>2.1842904673904678E-2</v>
      </c>
      <c r="Z35" t="s">
        <v>54</v>
      </c>
      <c r="AA35">
        <v>8.0356945924292783E-4</v>
      </c>
      <c r="AB35" t="s">
        <v>20</v>
      </c>
      <c r="AC35">
        <v>2.8417390796389708E-2</v>
      </c>
      <c r="AD35">
        <v>3.6788580604984182E-2</v>
      </c>
      <c r="AE35">
        <v>1.300989553387534</v>
      </c>
      <c r="AG35" s="6">
        <f t="shared" si="2"/>
        <v>2.1127641439589007E-2</v>
      </c>
      <c r="AH35" s="6">
        <f>(N35-AD35)/('contrib an. aggreg'!$I$8/1000)</f>
        <v>2.6789941641894386E-2</v>
      </c>
    </row>
    <row r="36" spans="1:34" x14ac:dyDescent="0.35">
      <c r="A36" s="1">
        <v>11</v>
      </c>
      <c r="B36" t="s">
        <v>10</v>
      </c>
      <c r="C36" t="s">
        <v>13</v>
      </c>
      <c r="D36" t="s">
        <v>15</v>
      </c>
      <c r="E36" t="s">
        <v>16</v>
      </c>
      <c r="F36">
        <v>2050</v>
      </c>
      <c r="G36" t="s">
        <v>17</v>
      </c>
      <c r="H36" t="s">
        <v>45</v>
      </c>
      <c r="I36">
        <v>8.2453348769044171E-3</v>
      </c>
      <c r="J36" t="s">
        <v>54</v>
      </c>
      <c r="K36">
        <v>8.0999566912998285E-4</v>
      </c>
      <c r="L36" t="s">
        <v>20</v>
      </c>
      <c r="M36">
        <v>2.7918392883004101E-2</v>
      </c>
      <c r="N36">
        <v>9.8236843163134593E-2</v>
      </c>
      <c r="O36">
        <v>3.385962280465391</v>
      </c>
      <c r="Q36" s="1">
        <v>11</v>
      </c>
      <c r="R36" t="s">
        <v>12</v>
      </c>
      <c r="S36" t="s">
        <v>13</v>
      </c>
      <c r="T36" t="s">
        <v>15</v>
      </c>
      <c r="U36" t="s">
        <v>16</v>
      </c>
      <c r="V36">
        <v>2050</v>
      </c>
      <c r="W36" t="s">
        <v>18</v>
      </c>
      <c r="X36" t="s">
        <v>45</v>
      </c>
      <c r="Y36">
        <v>8.2453348769044171E-3</v>
      </c>
      <c r="Z36" t="s">
        <v>54</v>
      </c>
      <c r="AA36">
        <v>8.5565740998300448E-4</v>
      </c>
      <c r="AB36" t="s">
        <v>20</v>
      </c>
      <c r="AC36">
        <v>3.0259426522036139E-2</v>
      </c>
      <c r="AD36">
        <v>0.10377473113672341</v>
      </c>
      <c r="AE36">
        <v>3.6698844830176962</v>
      </c>
      <c r="AG36" s="6">
        <f t="shared" si="2"/>
        <v>-5.3364512853255816E-2</v>
      </c>
      <c r="AH36" s="6">
        <f>(N36-AD36)/('contrib an. aggreg'!$I$8/1000)</f>
        <v>-0.19087624549249935</v>
      </c>
    </row>
    <row r="37" spans="1:34" x14ac:dyDescent="0.35">
      <c r="A37" s="1">
        <v>12</v>
      </c>
      <c r="B37" t="s">
        <v>10</v>
      </c>
      <c r="C37" t="s">
        <v>13</v>
      </c>
      <c r="D37" t="s">
        <v>15</v>
      </c>
      <c r="E37" t="s">
        <v>16</v>
      </c>
      <c r="F37">
        <v>2050</v>
      </c>
      <c r="G37" t="s">
        <v>17</v>
      </c>
      <c r="H37" t="s">
        <v>46</v>
      </c>
      <c r="I37">
        <v>2.748444958968138E-3</v>
      </c>
      <c r="J37" t="s">
        <v>54</v>
      </c>
      <c r="K37">
        <v>1.155697443942657E-4</v>
      </c>
      <c r="L37" t="s">
        <v>20</v>
      </c>
      <c r="M37">
        <v>3.9833812109799057E-3</v>
      </c>
      <c r="N37">
        <v>4.2049139102154187E-2</v>
      </c>
      <c r="O37">
        <v>1.449321805765907</v>
      </c>
      <c r="Q37" s="1">
        <v>12</v>
      </c>
      <c r="R37" t="s">
        <v>12</v>
      </c>
      <c r="S37" t="s">
        <v>13</v>
      </c>
      <c r="T37" t="s">
        <v>15</v>
      </c>
      <c r="U37" t="s">
        <v>16</v>
      </c>
      <c r="V37">
        <v>2050</v>
      </c>
      <c r="W37" t="s">
        <v>18</v>
      </c>
      <c r="X37" t="s">
        <v>46</v>
      </c>
      <c r="Y37">
        <v>2.748444958968138E-3</v>
      </c>
      <c r="Z37" t="s">
        <v>54</v>
      </c>
      <c r="AA37">
        <v>1.1326625220189269E-4</v>
      </c>
      <c r="AB37" t="s">
        <v>20</v>
      </c>
      <c r="AC37">
        <v>4.0055421666922329E-3</v>
      </c>
      <c r="AD37">
        <v>4.1211031653483367E-2</v>
      </c>
      <c r="AE37">
        <v>1.4573848945463519</v>
      </c>
      <c r="AG37" s="6">
        <f t="shared" si="2"/>
        <v>2.0336968404914838E-2</v>
      </c>
      <c r="AH37" s="6">
        <f>(N37-AD37)/('contrib an. aggreg'!$I$8/1000)</f>
        <v>2.888733103387655E-2</v>
      </c>
    </row>
    <row r="38" spans="1:34" x14ac:dyDescent="0.35">
      <c r="A38" s="1">
        <v>13</v>
      </c>
      <c r="B38" t="s">
        <v>10</v>
      </c>
      <c r="C38" t="s">
        <v>13</v>
      </c>
      <c r="D38" t="s">
        <v>15</v>
      </c>
      <c r="E38" t="s">
        <v>16</v>
      </c>
      <c r="F38">
        <v>2050</v>
      </c>
      <c r="G38" t="s">
        <v>17</v>
      </c>
      <c r="H38" t="s">
        <v>47</v>
      </c>
      <c r="I38">
        <v>1.113843483371298E-2</v>
      </c>
      <c r="J38" t="s">
        <v>54</v>
      </c>
      <c r="K38">
        <v>6.5919495785834981E-4</v>
      </c>
      <c r="L38" t="s">
        <v>20</v>
      </c>
      <c r="M38">
        <v>2.2720694099206889E-2</v>
      </c>
      <c r="N38">
        <v>5.9182009653919038E-2</v>
      </c>
      <c r="O38">
        <v>2.0398462116452478</v>
      </c>
      <c r="Q38" s="1">
        <v>13</v>
      </c>
      <c r="R38" t="s">
        <v>12</v>
      </c>
      <c r="S38" t="s">
        <v>13</v>
      </c>
      <c r="T38" t="s">
        <v>15</v>
      </c>
      <c r="U38" t="s">
        <v>16</v>
      </c>
      <c r="V38">
        <v>2050</v>
      </c>
      <c r="W38" t="s">
        <v>18</v>
      </c>
      <c r="X38" t="s">
        <v>47</v>
      </c>
      <c r="Y38">
        <v>1.113843483371298E-2</v>
      </c>
      <c r="Z38" t="s">
        <v>54</v>
      </c>
      <c r="AA38">
        <v>6.5132378897669971E-4</v>
      </c>
      <c r="AB38" t="s">
        <v>20</v>
      </c>
      <c r="AC38">
        <v>2.3033382408253891E-2</v>
      </c>
      <c r="AD38">
        <v>5.8475342245152932E-2</v>
      </c>
      <c r="AE38">
        <v>2.0679191243762691</v>
      </c>
      <c r="AG38" s="6">
        <f t="shared" si="2"/>
        <v>1.2084878542539585E-2</v>
      </c>
      <c r="AH38" s="6">
        <f>(N38-AD38)/('contrib an. aggreg'!$I$8/1000)</f>
        <v>2.4356943015186174E-2</v>
      </c>
    </row>
    <row r="39" spans="1:34" x14ac:dyDescent="0.35">
      <c r="A39" s="1">
        <v>14</v>
      </c>
      <c r="B39" t="s">
        <v>10</v>
      </c>
      <c r="C39" t="s">
        <v>13</v>
      </c>
      <c r="D39" t="s">
        <v>15</v>
      </c>
      <c r="E39" t="s">
        <v>16</v>
      </c>
      <c r="F39">
        <v>2050</v>
      </c>
      <c r="G39" t="s">
        <v>17</v>
      </c>
      <c r="H39" t="s">
        <v>48</v>
      </c>
      <c r="I39">
        <v>4.6246929599690588E-2</v>
      </c>
      <c r="J39" t="s">
        <v>54</v>
      </c>
      <c r="K39">
        <v>1.3047341807762991E-2</v>
      </c>
      <c r="L39" t="s">
        <v>20</v>
      </c>
      <c r="M39">
        <v>0.44970711393954133</v>
      </c>
      <c r="N39">
        <v>0.28212341707221761</v>
      </c>
      <c r="O39">
        <v>9.7240426084967595</v>
      </c>
      <c r="Q39" s="1">
        <v>14</v>
      </c>
      <c r="R39" t="s">
        <v>12</v>
      </c>
      <c r="S39" t="s">
        <v>13</v>
      </c>
      <c r="T39" t="s">
        <v>15</v>
      </c>
      <c r="U39" t="s">
        <v>16</v>
      </c>
      <c r="V39">
        <v>2050</v>
      </c>
      <c r="W39" t="s">
        <v>18</v>
      </c>
      <c r="X39" s="8" t="s">
        <v>48</v>
      </c>
      <c r="Y39">
        <v>4.6246929599690588E-2</v>
      </c>
      <c r="Z39" t="s">
        <v>54</v>
      </c>
      <c r="AA39">
        <v>1.2511673422041561E-2</v>
      </c>
      <c r="AB39" t="s">
        <v>20</v>
      </c>
      <c r="AC39">
        <v>0.44246220293878957</v>
      </c>
      <c r="AD39">
        <v>0.27054062897454001</v>
      </c>
      <c r="AE39">
        <v>9.5673854841543857</v>
      </c>
      <c r="AG39" s="6">
        <f t="shared" si="2"/>
        <v>4.2813488464121349E-2</v>
      </c>
      <c r="AH39" s="9">
        <f>(N39-AD39)/('contrib an. aggreg'!$I$8/1000)</f>
        <v>0.39922784913020826</v>
      </c>
    </row>
    <row r="40" spans="1:34" x14ac:dyDescent="0.35">
      <c r="A40" s="1">
        <v>15</v>
      </c>
      <c r="B40" t="s">
        <v>10</v>
      </c>
      <c r="C40" t="s">
        <v>13</v>
      </c>
      <c r="D40" t="s">
        <v>15</v>
      </c>
      <c r="E40" t="s">
        <v>16</v>
      </c>
      <c r="F40">
        <v>2050</v>
      </c>
      <c r="G40" t="s">
        <v>17</v>
      </c>
      <c r="H40" t="s">
        <v>19</v>
      </c>
      <c r="I40">
        <v>3.1242684515255099E-2</v>
      </c>
      <c r="J40" t="s">
        <v>54</v>
      </c>
      <c r="K40">
        <v>9.0644326324230593E-4</v>
      </c>
      <c r="L40" t="s">
        <v>20</v>
      </c>
      <c r="M40">
        <v>3.1242684515255099E-2</v>
      </c>
      <c r="N40">
        <v>2.9012976231274561E-2</v>
      </c>
      <c r="O40">
        <v>0.99999999999999989</v>
      </c>
      <c r="Q40" s="1">
        <v>15</v>
      </c>
      <c r="R40" t="s">
        <v>12</v>
      </c>
      <c r="S40" t="s">
        <v>13</v>
      </c>
      <c r="T40" t="s">
        <v>15</v>
      </c>
      <c r="U40" t="s">
        <v>16</v>
      </c>
      <c r="V40">
        <v>2050</v>
      </c>
      <c r="W40" t="s">
        <v>18</v>
      </c>
      <c r="X40" t="s">
        <v>19</v>
      </c>
      <c r="Y40">
        <v>3.1242684515255099E-2</v>
      </c>
      <c r="Z40" t="s">
        <v>54</v>
      </c>
      <c r="AA40">
        <v>8.8346137339288984E-4</v>
      </c>
      <c r="AB40" t="s">
        <v>20</v>
      </c>
      <c r="AC40">
        <v>3.1242684515255081E-2</v>
      </c>
      <c r="AD40">
        <v>2.8277383557149691E-2</v>
      </c>
      <c r="AE40">
        <v>0.99999999999999967</v>
      </c>
      <c r="AG40" s="6">
        <f t="shared" si="2"/>
        <v>2.6013463114018531E-2</v>
      </c>
      <c r="AH40" s="6">
        <f>(N40-AD40)/('contrib an. aggreg'!$I$8/1000)</f>
        <v>2.5353919855072918E-2</v>
      </c>
    </row>
    <row r="41" spans="1:34" x14ac:dyDescent="0.35">
      <c r="A41" s="1">
        <v>16</v>
      </c>
      <c r="B41" t="s">
        <v>10</v>
      </c>
      <c r="C41" t="s">
        <v>13</v>
      </c>
      <c r="D41" t="s">
        <v>15</v>
      </c>
      <c r="E41" t="s">
        <v>16</v>
      </c>
      <c r="F41">
        <v>2050</v>
      </c>
      <c r="G41" t="s">
        <v>17</v>
      </c>
      <c r="H41" t="s">
        <v>49</v>
      </c>
      <c r="I41">
        <v>5.6500000000000001E-9</v>
      </c>
      <c r="J41" t="s">
        <v>55</v>
      </c>
      <c r="K41">
        <v>7.4725719797158333E-4</v>
      </c>
      <c r="L41" t="s">
        <v>20</v>
      </c>
      <c r="M41">
        <v>2.575596491772798E-2</v>
      </c>
      <c r="N41">
        <v>132257.911145413</v>
      </c>
      <c r="O41">
        <v>4558577.8615447748</v>
      </c>
      <c r="Q41" s="1">
        <v>16</v>
      </c>
      <c r="R41" t="s">
        <v>12</v>
      </c>
      <c r="S41" t="s">
        <v>13</v>
      </c>
      <c r="T41" t="s">
        <v>15</v>
      </c>
      <c r="U41" t="s">
        <v>16</v>
      </c>
      <c r="V41">
        <v>2050</v>
      </c>
      <c r="W41" t="s">
        <v>18</v>
      </c>
      <c r="X41" t="s">
        <v>49</v>
      </c>
      <c r="Y41">
        <v>5.6500000000000001E-9</v>
      </c>
      <c r="Z41" t="s">
        <v>55</v>
      </c>
      <c r="AA41">
        <v>7.5603687649375851E-4</v>
      </c>
      <c r="AB41" t="s">
        <v>20</v>
      </c>
      <c r="AC41">
        <v>2.6736450880109831E-2</v>
      </c>
      <c r="AD41">
        <v>133811.83654756789</v>
      </c>
      <c r="AE41">
        <v>4732115.2000194397</v>
      </c>
      <c r="AG41" s="6">
        <f t="shared" si="2"/>
        <v>-1.161276492608712E-2</v>
      </c>
      <c r="AH41" s="6"/>
    </row>
    <row r="42" spans="1:34" x14ac:dyDescent="0.35">
      <c r="A42" s="1">
        <v>17</v>
      </c>
      <c r="B42" t="s">
        <v>10</v>
      </c>
      <c r="C42" t="s">
        <v>13</v>
      </c>
      <c r="D42" t="s">
        <v>15</v>
      </c>
      <c r="E42" t="s">
        <v>16</v>
      </c>
      <c r="F42">
        <v>2050</v>
      </c>
      <c r="G42" t="s">
        <v>17</v>
      </c>
      <c r="H42" t="s">
        <v>50</v>
      </c>
      <c r="I42">
        <v>3.8600000000000001E-10</v>
      </c>
      <c r="J42" t="s">
        <v>55</v>
      </c>
      <c r="K42">
        <v>6.4304440153736388E-5</v>
      </c>
      <c r="L42" t="s">
        <v>20</v>
      </c>
      <c r="M42">
        <v>2.2164027447973212E-3</v>
      </c>
      <c r="N42">
        <v>166591.81386978339</v>
      </c>
      <c r="O42">
        <v>5741976.022790988</v>
      </c>
      <c r="Q42" s="1">
        <v>17</v>
      </c>
      <c r="R42" t="s">
        <v>12</v>
      </c>
      <c r="S42" t="s">
        <v>13</v>
      </c>
      <c r="T42" t="s">
        <v>15</v>
      </c>
      <c r="U42" t="s">
        <v>16</v>
      </c>
      <c r="V42">
        <v>2050</v>
      </c>
      <c r="W42" t="s">
        <v>18</v>
      </c>
      <c r="X42" t="s">
        <v>50</v>
      </c>
      <c r="Y42">
        <v>3.8600000000000001E-10</v>
      </c>
      <c r="Z42" t="s">
        <v>55</v>
      </c>
      <c r="AA42">
        <v>6.7519492917697451E-5</v>
      </c>
      <c r="AB42" t="s">
        <v>20</v>
      </c>
      <c r="AC42">
        <v>2.3877560235103751E-3</v>
      </c>
      <c r="AD42">
        <v>174920.9661080245</v>
      </c>
      <c r="AE42">
        <v>6185896.4339647023</v>
      </c>
      <c r="AG42" s="6">
        <f t="shared" si="2"/>
        <v>-4.761666038991192E-2</v>
      </c>
      <c r="AH42" s="6"/>
    </row>
    <row r="43" spans="1:34" x14ac:dyDescent="0.35">
      <c r="A43" s="1">
        <v>18</v>
      </c>
      <c r="B43" t="s">
        <v>10</v>
      </c>
      <c r="C43" t="s">
        <v>13</v>
      </c>
      <c r="D43" t="s">
        <v>15</v>
      </c>
      <c r="E43" t="s">
        <v>16</v>
      </c>
      <c r="F43">
        <v>2050</v>
      </c>
      <c r="G43" t="s">
        <v>17</v>
      </c>
      <c r="H43" t="s">
        <v>51</v>
      </c>
      <c r="I43">
        <v>3.47E-12</v>
      </c>
      <c r="J43" t="s">
        <v>55</v>
      </c>
      <c r="K43">
        <v>6.4057437303362547E-7</v>
      </c>
      <c r="L43" t="s">
        <v>20</v>
      </c>
      <c r="M43">
        <v>2.207889214561579E-5</v>
      </c>
      <c r="N43">
        <v>184603.56571574221</v>
      </c>
      <c r="O43">
        <v>6362793.1255376907</v>
      </c>
      <c r="Q43" s="1">
        <v>18</v>
      </c>
      <c r="R43" t="s">
        <v>12</v>
      </c>
      <c r="S43" t="s">
        <v>13</v>
      </c>
      <c r="T43" t="s">
        <v>15</v>
      </c>
      <c r="U43" t="s">
        <v>16</v>
      </c>
      <c r="V43">
        <v>2050</v>
      </c>
      <c r="W43" t="s">
        <v>18</v>
      </c>
      <c r="X43" t="s">
        <v>51</v>
      </c>
      <c r="Y43">
        <v>3.47E-12</v>
      </c>
      <c r="Z43" t="s">
        <v>55</v>
      </c>
      <c r="AA43">
        <v>5.6936136760080115E-7</v>
      </c>
      <c r="AB43" t="s">
        <v>20</v>
      </c>
      <c r="AC43">
        <v>2.0134867373782991E-5</v>
      </c>
      <c r="AD43">
        <v>164081.0857639196</v>
      </c>
      <c r="AE43">
        <v>5802555.4391305437</v>
      </c>
      <c r="AG43" s="6">
        <f t="shared" si="2"/>
        <v>0.12507523250638636</v>
      </c>
      <c r="AH43" s="6"/>
    </row>
    <row r="44" spans="1:34" x14ac:dyDescent="0.35">
      <c r="A44" s="1">
        <v>19</v>
      </c>
      <c r="B44" t="s">
        <v>10</v>
      </c>
      <c r="C44" t="s">
        <v>13</v>
      </c>
      <c r="D44" t="s">
        <v>15</v>
      </c>
      <c r="E44" t="s">
        <v>16</v>
      </c>
      <c r="F44">
        <v>2050</v>
      </c>
      <c r="G44" t="s">
        <v>17</v>
      </c>
      <c r="H44" t="s">
        <v>52</v>
      </c>
      <c r="I44">
        <v>5.0000000000000004E-6</v>
      </c>
      <c r="J44" t="s">
        <v>56</v>
      </c>
      <c r="Q44" s="1">
        <v>19</v>
      </c>
      <c r="R44" t="s">
        <v>12</v>
      </c>
      <c r="S44" t="s">
        <v>13</v>
      </c>
      <c r="T44" t="s">
        <v>15</v>
      </c>
      <c r="U44" t="s">
        <v>16</v>
      </c>
      <c r="V44">
        <v>2050</v>
      </c>
      <c r="W44" t="s">
        <v>18</v>
      </c>
      <c r="X44" t="s">
        <v>52</v>
      </c>
      <c r="Y44">
        <v>5.0000000000000004E-6</v>
      </c>
      <c r="Z44" t="s">
        <v>56</v>
      </c>
    </row>
    <row r="45" spans="1:34" x14ac:dyDescent="0.35">
      <c r="A45" s="1">
        <v>20</v>
      </c>
      <c r="B45" t="s">
        <v>10</v>
      </c>
      <c r="C45" t="s">
        <v>13</v>
      </c>
      <c r="D45" t="s">
        <v>15</v>
      </c>
      <c r="E45" t="s">
        <v>16</v>
      </c>
      <c r="F45">
        <v>2050</v>
      </c>
      <c r="G45" t="s">
        <v>17</v>
      </c>
      <c r="H45" t="s">
        <v>53</v>
      </c>
      <c r="I45">
        <v>4.16E-6</v>
      </c>
      <c r="J45" t="s">
        <v>56</v>
      </c>
      <c r="Q45" s="1">
        <v>20</v>
      </c>
      <c r="R45" t="s">
        <v>12</v>
      </c>
      <c r="S45" t="s">
        <v>13</v>
      </c>
      <c r="T45" t="s">
        <v>15</v>
      </c>
      <c r="U45" t="s">
        <v>16</v>
      </c>
      <c r="V45">
        <v>2050</v>
      </c>
      <c r="W45" t="s">
        <v>18</v>
      </c>
      <c r="X45" t="s">
        <v>53</v>
      </c>
      <c r="Y45">
        <v>4.16E-6</v>
      </c>
      <c r="Z45" t="s">
        <v>56</v>
      </c>
    </row>
    <row r="47" spans="1:34" x14ac:dyDescent="0.35">
      <c r="B47" s="1" t="s">
        <v>0</v>
      </c>
      <c r="C47" s="1" t="s">
        <v>1</v>
      </c>
      <c r="D47" s="1" t="s">
        <v>2</v>
      </c>
      <c r="E47" s="1" t="s">
        <v>3</v>
      </c>
      <c r="F47" s="1" t="s">
        <v>4</v>
      </c>
      <c r="G47" s="1" t="s">
        <v>5</v>
      </c>
      <c r="H47" s="1" t="s">
        <v>6</v>
      </c>
      <c r="I47" s="1" t="s">
        <v>28</v>
      </c>
      <c r="J47" s="1" t="s">
        <v>29</v>
      </c>
      <c r="K47" s="1" t="s">
        <v>7</v>
      </c>
      <c r="L47" s="1" t="s">
        <v>30</v>
      </c>
      <c r="M47" s="1" t="s">
        <v>31</v>
      </c>
      <c r="N47" s="1" t="s">
        <v>32</v>
      </c>
      <c r="O47" s="1" t="s">
        <v>33</v>
      </c>
    </row>
    <row r="48" spans="1:34" x14ac:dyDescent="0.35">
      <c r="A48" s="1">
        <v>0</v>
      </c>
      <c r="B48" t="s">
        <v>11</v>
      </c>
      <c r="C48" t="s">
        <v>13</v>
      </c>
      <c r="D48" t="s">
        <v>14</v>
      </c>
      <c r="E48" t="s">
        <v>16</v>
      </c>
      <c r="F48">
        <v>2050</v>
      </c>
      <c r="G48" t="s">
        <v>18</v>
      </c>
      <c r="H48" t="s">
        <v>34</v>
      </c>
      <c r="I48">
        <v>0.1238413121453323</v>
      </c>
      <c r="J48" t="s">
        <v>54</v>
      </c>
      <c r="K48">
        <v>5.3143947714966763E-4</v>
      </c>
      <c r="L48" t="s">
        <v>20</v>
      </c>
      <c r="M48">
        <v>4.1236654028794263E-2</v>
      </c>
      <c r="N48">
        <v>4.2912939789107214E-3</v>
      </c>
      <c r="O48">
        <v>0.33297978933234768</v>
      </c>
    </row>
    <row r="49" spans="1:15" x14ac:dyDescent="0.35">
      <c r="A49" s="1">
        <v>1</v>
      </c>
      <c r="B49" t="s">
        <v>11</v>
      </c>
      <c r="C49" t="s">
        <v>13</v>
      </c>
      <c r="D49" t="s">
        <v>14</v>
      </c>
      <c r="E49" t="s">
        <v>16</v>
      </c>
      <c r="F49">
        <v>2050</v>
      </c>
      <c r="G49" t="s">
        <v>18</v>
      </c>
      <c r="H49" t="s">
        <v>35</v>
      </c>
      <c r="I49">
        <v>0.1200885451119403</v>
      </c>
      <c r="J49" t="s">
        <v>54</v>
      </c>
      <c r="K49">
        <v>3.8453227004382149E-4</v>
      </c>
      <c r="L49" t="s">
        <v>20</v>
      </c>
      <c r="M49">
        <v>2.9837497710465059E-2</v>
      </c>
      <c r="N49">
        <v>3.2020728512064198E-3</v>
      </c>
      <c r="O49">
        <v>0.24846247976984059</v>
      </c>
    </row>
    <row r="50" spans="1:15" x14ac:dyDescent="0.35">
      <c r="A50" s="1">
        <v>2</v>
      </c>
      <c r="B50" t="s">
        <v>11</v>
      </c>
      <c r="C50" t="s">
        <v>13</v>
      </c>
      <c r="D50" t="s">
        <v>14</v>
      </c>
      <c r="E50" t="s">
        <v>16</v>
      </c>
      <c r="F50">
        <v>2050</v>
      </c>
      <c r="G50" t="s">
        <v>18</v>
      </c>
      <c r="H50" t="s">
        <v>36</v>
      </c>
      <c r="I50">
        <v>7.0702130932249987E-2</v>
      </c>
      <c r="J50" t="s">
        <v>54</v>
      </c>
      <c r="K50">
        <v>1.473190392303524E-4</v>
      </c>
      <c r="L50" t="s">
        <v>20</v>
      </c>
      <c r="M50">
        <v>1.1431112128099479E-2</v>
      </c>
      <c r="N50">
        <v>2.0836576958553092E-3</v>
      </c>
      <c r="O50">
        <v>0.1616798811771783</v>
      </c>
    </row>
    <row r="51" spans="1:15" x14ac:dyDescent="0.35">
      <c r="A51" s="1">
        <v>3</v>
      </c>
      <c r="B51" t="s">
        <v>11</v>
      </c>
      <c r="C51" t="s">
        <v>13</v>
      </c>
      <c r="D51" t="s">
        <v>14</v>
      </c>
      <c r="E51" t="s">
        <v>16</v>
      </c>
      <c r="F51">
        <v>2050</v>
      </c>
      <c r="G51" t="s">
        <v>18</v>
      </c>
      <c r="H51" t="s">
        <v>37</v>
      </c>
      <c r="I51">
        <v>1.346707255845492E-2</v>
      </c>
      <c r="J51" t="s">
        <v>54</v>
      </c>
      <c r="K51">
        <v>3.7078970388428201E-5</v>
      </c>
      <c r="L51" t="s">
        <v>20</v>
      </c>
      <c r="M51">
        <v>2.8771153431285459E-3</v>
      </c>
      <c r="N51">
        <v>2.753305904270132E-3</v>
      </c>
      <c r="O51">
        <v>0.21364073971089059</v>
      </c>
    </row>
    <row r="52" spans="1:15" x14ac:dyDescent="0.35">
      <c r="A52" s="1">
        <v>4</v>
      </c>
      <c r="B52" t="s">
        <v>11</v>
      </c>
      <c r="C52" t="s">
        <v>13</v>
      </c>
      <c r="D52" t="s">
        <v>14</v>
      </c>
      <c r="E52" t="s">
        <v>16</v>
      </c>
      <c r="F52">
        <v>2050</v>
      </c>
      <c r="G52" t="s">
        <v>18</v>
      </c>
      <c r="H52" t="s">
        <v>38</v>
      </c>
      <c r="I52">
        <v>0.19353555708011469</v>
      </c>
      <c r="J52" t="s">
        <v>54</v>
      </c>
      <c r="K52">
        <v>2.8979676611813549E-3</v>
      </c>
      <c r="L52" t="s">
        <v>20</v>
      </c>
      <c r="M52">
        <v>0.22486566197850311</v>
      </c>
      <c r="N52">
        <v>1.4973825507329031E-2</v>
      </c>
      <c r="O52">
        <v>1.161882939605869</v>
      </c>
    </row>
    <row r="53" spans="1:15" x14ac:dyDescent="0.35">
      <c r="A53" s="1">
        <v>5</v>
      </c>
      <c r="B53" t="s">
        <v>11</v>
      </c>
      <c r="C53" t="s">
        <v>13</v>
      </c>
      <c r="D53" t="s">
        <v>14</v>
      </c>
      <c r="E53" t="s">
        <v>16</v>
      </c>
      <c r="F53">
        <v>2050</v>
      </c>
      <c r="G53" t="s">
        <v>18</v>
      </c>
      <c r="H53" t="s">
        <v>39</v>
      </c>
      <c r="I53">
        <v>0.1572141332383965</v>
      </c>
      <c r="J53" t="s">
        <v>54</v>
      </c>
      <c r="K53">
        <v>1.6594351637621071E-3</v>
      </c>
      <c r="L53" t="s">
        <v>20</v>
      </c>
      <c r="M53">
        <v>0.12876264687427799</v>
      </c>
      <c r="N53">
        <v>1.055525435010205E-2</v>
      </c>
      <c r="O53">
        <v>0.81902717155222149</v>
      </c>
    </row>
    <row r="54" spans="1:15" x14ac:dyDescent="0.35">
      <c r="A54" s="1">
        <v>6</v>
      </c>
      <c r="B54" t="s">
        <v>11</v>
      </c>
      <c r="C54" t="s">
        <v>13</v>
      </c>
      <c r="D54" t="s">
        <v>14</v>
      </c>
      <c r="E54" t="s">
        <v>16</v>
      </c>
      <c r="F54">
        <v>2050</v>
      </c>
      <c r="G54" t="s">
        <v>18</v>
      </c>
      <c r="H54" t="s">
        <v>40</v>
      </c>
      <c r="I54">
        <v>0.21471188530380569</v>
      </c>
      <c r="J54" t="s">
        <v>54</v>
      </c>
      <c r="K54">
        <v>2.408687854690473E-3</v>
      </c>
      <c r="L54" t="s">
        <v>20</v>
      </c>
      <c r="M54">
        <v>0.18690035648077519</v>
      </c>
      <c r="N54">
        <v>1.12182325225374E-2</v>
      </c>
      <c r="O54">
        <v>0.87047047356657192</v>
      </c>
    </row>
    <row r="55" spans="1:15" x14ac:dyDescent="0.35">
      <c r="A55" s="1">
        <v>7</v>
      </c>
      <c r="B55" t="s">
        <v>11</v>
      </c>
      <c r="C55" t="s">
        <v>13</v>
      </c>
      <c r="D55" t="s">
        <v>14</v>
      </c>
      <c r="E55" t="s">
        <v>16</v>
      </c>
      <c r="F55">
        <v>2050</v>
      </c>
      <c r="G55" t="s">
        <v>18</v>
      </c>
      <c r="H55" t="s">
        <v>41</v>
      </c>
      <c r="I55">
        <v>1.313468462121163E-2</v>
      </c>
      <c r="J55" t="s">
        <v>54</v>
      </c>
      <c r="K55">
        <v>5.3832104652912845E-4</v>
      </c>
      <c r="L55" t="s">
        <v>20</v>
      </c>
      <c r="M55">
        <v>4.1770624326217337E-2</v>
      </c>
      <c r="N55">
        <v>4.098469525943365E-2</v>
      </c>
      <c r="O55">
        <v>3.1801771820817519</v>
      </c>
    </row>
    <row r="56" spans="1:15" x14ac:dyDescent="0.35">
      <c r="A56" s="1">
        <v>8</v>
      </c>
      <c r="B56" t="s">
        <v>11</v>
      </c>
      <c r="C56" t="s">
        <v>13</v>
      </c>
      <c r="D56" t="s">
        <v>14</v>
      </c>
      <c r="E56" t="s">
        <v>16</v>
      </c>
      <c r="F56">
        <v>2050</v>
      </c>
      <c r="G56" t="s">
        <v>18</v>
      </c>
      <c r="H56" t="s">
        <v>42</v>
      </c>
      <c r="I56">
        <v>2.412493094341404E-3</v>
      </c>
      <c r="J56" t="s">
        <v>54</v>
      </c>
      <c r="K56">
        <v>0</v>
      </c>
      <c r="L56" t="s">
        <v>20</v>
      </c>
      <c r="M56">
        <v>0</v>
      </c>
      <c r="N56">
        <v>0</v>
      </c>
      <c r="O56">
        <v>0</v>
      </c>
    </row>
    <row r="57" spans="1:15" x14ac:dyDescent="0.35">
      <c r="A57" s="1">
        <v>9</v>
      </c>
      <c r="B57" t="s">
        <v>11</v>
      </c>
      <c r="C57" t="s">
        <v>13</v>
      </c>
      <c r="D57" t="s">
        <v>14</v>
      </c>
      <c r="E57" t="s">
        <v>16</v>
      </c>
      <c r="F57">
        <v>2050</v>
      </c>
      <c r="G57" t="s">
        <v>18</v>
      </c>
      <c r="H57" t="s">
        <v>43</v>
      </c>
      <c r="I57">
        <v>6.7013697097184535E-4</v>
      </c>
      <c r="J57" t="s">
        <v>54</v>
      </c>
      <c r="K57">
        <v>2.5995649751585341E-5</v>
      </c>
      <c r="L57" t="s">
        <v>20</v>
      </c>
      <c r="M57">
        <v>2.0171132577679008E-3</v>
      </c>
      <c r="N57">
        <v>3.8791546918961889E-2</v>
      </c>
      <c r="O57">
        <v>3.0100014551393062</v>
      </c>
    </row>
    <row r="58" spans="1:15" x14ac:dyDescent="0.35">
      <c r="A58" s="1">
        <v>10</v>
      </c>
      <c r="B58" t="s">
        <v>11</v>
      </c>
      <c r="C58" t="s">
        <v>13</v>
      </c>
      <c r="D58" t="s">
        <v>14</v>
      </c>
      <c r="E58" t="s">
        <v>16</v>
      </c>
      <c r="F58">
        <v>2050</v>
      </c>
      <c r="G58" t="s">
        <v>18</v>
      </c>
      <c r="H58" t="s">
        <v>44</v>
      </c>
      <c r="I58">
        <v>2.1842904673904678E-2</v>
      </c>
      <c r="J58" t="s">
        <v>54</v>
      </c>
      <c r="K58">
        <v>3.6834040474158339E-4</v>
      </c>
      <c r="L58" t="s">
        <v>20</v>
      </c>
      <c r="M58">
        <v>2.8581101871882689E-2</v>
      </c>
      <c r="N58">
        <v>1.6863160382768739E-2</v>
      </c>
      <c r="O58">
        <v>1.308484484942519</v>
      </c>
    </row>
    <row r="59" spans="1:15" x14ac:dyDescent="0.35">
      <c r="A59" s="1">
        <v>11</v>
      </c>
      <c r="B59" t="s">
        <v>11</v>
      </c>
      <c r="C59" t="s">
        <v>13</v>
      </c>
      <c r="D59" t="s">
        <v>14</v>
      </c>
      <c r="E59" t="s">
        <v>16</v>
      </c>
      <c r="F59">
        <v>2050</v>
      </c>
      <c r="G59" t="s">
        <v>18</v>
      </c>
      <c r="H59" t="s">
        <v>45</v>
      </c>
      <c r="I59">
        <v>8.2453348769044171E-3</v>
      </c>
      <c r="J59" t="s">
        <v>54</v>
      </c>
      <c r="K59">
        <v>4.664128154509144E-4</v>
      </c>
      <c r="L59" t="s">
        <v>20</v>
      </c>
      <c r="M59">
        <v>3.6190958203747833E-2</v>
      </c>
      <c r="N59">
        <v>5.6566873561116282E-2</v>
      </c>
      <c r="O59">
        <v>4.3892648078030723</v>
      </c>
    </row>
    <row r="60" spans="1:15" x14ac:dyDescent="0.35">
      <c r="A60" s="1">
        <v>12</v>
      </c>
      <c r="B60" t="s">
        <v>11</v>
      </c>
      <c r="C60" t="s">
        <v>13</v>
      </c>
      <c r="D60" t="s">
        <v>14</v>
      </c>
      <c r="E60" t="s">
        <v>16</v>
      </c>
      <c r="F60">
        <v>2050</v>
      </c>
      <c r="G60" t="s">
        <v>18</v>
      </c>
      <c r="H60" t="s">
        <v>46</v>
      </c>
      <c r="I60">
        <v>2.748444958968138E-3</v>
      </c>
      <c r="J60" t="s">
        <v>54</v>
      </c>
      <c r="K60">
        <v>5.9707758276490009E-5</v>
      </c>
      <c r="L60" t="s">
        <v>20</v>
      </c>
      <c r="M60">
        <v>4.6329794393296236E-3</v>
      </c>
      <c r="N60">
        <v>2.1724196470322029E-2</v>
      </c>
      <c r="O60">
        <v>1.685672992727133</v>
      </c>
    </row>
    <row r="61" spans="1:15" x14ac:dyDescent="0.35">
      <c r="A61" s="1">
        <v>13</v>
      </c>
      <c r="B61" t="s">
        <v>11</v>
      </c>
      <c r="C61" t="s">
        <v>13</v>
      </c>
      <c r="D61" t="s">
        <v>14</v>
      </c>
      <c r="E61" t="s">
        <v>16</v>
      </c>
      <c r="F61">
        <v>2050</v>
      </c>
      <c r="G61" t="s">
        <v>18</v>
      </c>
      <c r="H61" t="s">
        <v>47</v>
      </c>
      <c r="I61">
        <v>1.113843483371298E-2</v>
      </c>
      <c r="J61" t="s">
        <v>54</v>
      </c>
      <c r="K61">
        <v>4.3557252867663021E-4</v>
      </c>
      <c r="L61" t="s">
        <v>20</v>
      </c>
      <c r="M61">
        <v>3.3797928911530252E-2</v>
      </c>
      <c r="N61">
        <v>3.910536221465083E-2</v>
      </c>
      <c r="O61">
        <v>3.0343517214136049</v>
      </c>
    </row>
    <row r="62" spans="1:15" x14ac:dyDescent="0.35">
      <c r="A62" s="1">
        <v>14</v>
      </c>
      <c r="B62" t="s">
        <v>11</v>
      </c>
      <c r="C62" t="s">
        <v>13</v>
      </c>
      <c r="D62" t="s">
        <v>14</v>
      </c>
      <c r="E62" t="s">
        <v>16</v>
      </c>
      <c r="F62">
        <v>2050</v>
      </c>
      <c r="G62" t="s">
        <v>18</v>
      </c>
      <c r="H62" t="s">
        <v>48</v>
      </c>
      <c r="I62">
        <v>4.6246929599690588E-2</v>
      </c>
      <c r="J62" t="s">
        <v>54</v>
      </c>
      <c r="K62">
        <v>5.241267264377527E-4</v>
      </c>
      <c r="L62" t="s">
        <v>20</v>
      </c>
      <c r="M62">
        <v>4.0669226534089858E-2</v>
      </c>
      <c r="N62">
        <v>1.1333222139816589E-2</v>
      </c>
      <c r="O62">
        <v>0.87939300805738141</v>
      </c>
    </row>
    <row r="63" spans="1:15" x14ac:dyDescent="0.35">
      <c r="A63" s="1">
        <v>15</v>
      </c>
      <c r="B63" t="s">
        <v>11</v>
      </c>
      <c r="C63" t="s">
        <v>13</v>
      </c>
      <c r="D63" t="s">
        <v>14</v>
      </c>
      <c r="E63" t="s">
        <v>16</v>
      </c>
      <c r="F63">
        <v>2050</v>
      </c>
      <c r="G63" t="s">
        <v>18</v>
      </c>
      <c r="H63" t="s">
        <v>19</v>
      </c>
      <c r="I63">
        <v>3.1242684515255099E-2</v>
      </c>
      <c r="J63" t="s">
        <v>54</v>
      </c>
      <c r="K63">
        <v>4.0264168649438431E-4</v>
      </c>
      <c r="L63" t="s">
        <v>20</v>
      </c>
      <c r="M63">
        <v>3.1242684515255061E-2</v>
      </c>
      <c r="N63">
        <v>1.288755088564119E-2</v>
      </c>
      <c r="O63">
        <v>0.99999999999999878</v>
      </c>
    </row>
    <row r="64" spans="1:15" x14ac:dyDescent="0.35">
      <c r="A64" s="1">
        <v>16</v>
      </c>
      <c r="B64" t="s">
        <v>11</v>
      </c>
      <c r="C64" t="s">
        <v>13</v>
      </c>
      <c r="D64" t="s">
        <v>14</v>
      </c>
      <c r="E64" t="s">
        <v>16</v>
      </c>
      <c r="F64">
        <v>2050</v>
      </c>
      <c r="G64" t="s">
        <v>18</v>
      </c>
      <c r="H64" t="s">
        <v>49</v>
      </c>
      <c r="I64">
        <v>5.6500000000000001E-9</v>
      </c>
      <c r="J64" t="s">
        <v>55</v>
      </c>
      <c r="K64">
        <v>5.7973313801164901E-4</v>
      </c>
      <c r="L64" t="s">
        <v>20</v>
      </c>
      <c r="M64">
        <v>4.4983965002812473E-2</v>
      </c>
      <c r="N64">
        <v>102607.6350463096</v>
      </c>
      <c r="O64">
        <v>7961763.717311942</v>
      </c>
    </row>
    <row r="65" spans="1:15" x14ac:dyDescent="0.35">
      <c r="A65" s="1">
        <v>17</v>
      </c>
      <c r="B65" t="s">
        <v>11</v>
      </c>
      <c r="C65" t="s">
        <v>13</v>
      </c>
      <c r="D65" t="s">
        <v>14</v>
      </c>
      <c r="E65" t="s">
        <v>16</v>
      </c>
      <c r="F65">
        <v>2050</v>
      </c>
      <c r="G65" t="s">
        <v>18</v>
      </c>
      <c r="H65" t="s">
        <v>50</v>
      </c>
      <c r="I65">
        <v>3.8600000000000001E-10</v>
      </c>
      <c r="J65" t="s">
        <v>55</v>
      </c>
      <c r="K65">
        <v>5.489593141257487E-5</v>
      </c>
      <c r="L65" t="s">
        <v>20</v>
      </c>
      <c r="M65">
        <v>4.2596092849369631E-3</v>
      </c>
      <c r="N65">
        <v>142217.43889268101</v>
      </c>
      <c r="O65">
        <v>11035257.2148626</v>
      </c>
    </row>
    <row r="66" spans="1:15" x14ac:dyDescent="0.35">
      <c r="A66" s="1">
        <v>18</v>
      </c>
      <c r="B66" t="s">
        <v>11</v>
      </c>
      <c r="C66" t="s">
        <v>13</v>
      </c>
      <c r="D66" t="s">
        <v>14</v>
      </c>
      <c r="E66" t="s">
        <v>16</v>
      </c>
      <c r="F66">
        <v>2050</v>
      </c>
      <c r="G66" t="s">
        <v>18</v>
      </c>
      <c r="H66" t="s">
        <v>51</v>
      </c>
      <c r="I66">
        <v>3.47E-12</v>
      </c>
      <c r="J66" t="s">
        <v>55</v>
      </c>
      <c r="K66">
        <v>3.427927289889403E-7</v>
      </c>
      <c r="L66" t="s">
        <v>20</v>
      </c>
      <c r="M66">
        <v>2.6598748825959331E-5</v>
      </c>
      <c r="N66">
        <v>98787.529967994327</v>
      </c>
      <c r="O66">
        <v>7665345.4829853997</v>
      </c>
    </row>
    <row r="67" spans="1:15" x14ac:dyDescent="0.35">
      <c r="A67" s="1">
        <v>19</v>
      </c>
      <c r="B67" t="s">
        <v>11</v>
      </c>
      <c r="C67" t="s">
        <v>13</v>
      </c>
      <c r="D67" t="s">
        <v>14</v>
      </c>
      <c r="E67" t="s">
        <v>16</v>
      </c>
      <c r="F67">
        <v>2050</v>
      </c>
      <c r="G67" t="s">
        <v>18</v>
      </c>
      <c r="H67" t="s">
        <v>52</v>
      </c>
      <c r="I67">
        <v>5.0000000000000004E-6</v>
      </c>
      <c r="J67" t="s">
        <v>56</v>
      </c>
    </row>
    <row r="68" spans="1:15" x14ac:dyDescent="0.35">
      <c r="A68" s="1">
        <v>20</v>
      </c>
      <c r="B68" t="s">
        <v>11</v>
      </c>
      <c r="C68" t="s">
        <v>13</v>
      </c>
      <c r="D68" t="s">
        <v>14</v>
      </c>
      <c r="E68" t="s">
        <v>16</v>
      </c>
      <c r="F68">
        <v>2050</v>
      </c>
      <c r="G68" t="s">
        <v>18</v>
      </c>
      <c r="H68" t="s">
        <v>53</v>
      </c>
      <c r="I68">
        <v>4.16E-6</v>
      </c>
      <c r="J68" t="s">
        <v>56</v>
      </c>
    </row>
    <row r="70" spans="1:15" x14ac:dyDescent="0.35">
      <c r="B70" s="1" t="s">
        <v>0</v>
      </c>
      <c r="C70" s="1" t="s">
        <v>1</v>
      </c>
      <c r="D70" s="1" t="s">
        <v>2</v>
      </c>
      <c r="E70" s="1" t="s">
        <v>3</v>
      </c>
      <c r="F70" s="1" t="s">
        <v>4</v>
      </c>
      <c r="G70" s="1" t="s">
        <v>5</v>
      </c>
      <c r="H70" s="1" t="s">
        <v>6</v>
      </c>
      <c r="I70" s="1" t="s">
        <v>28</v>
      </c>
      <c r="J70" s="1" t="s">
        <v>29</v>
      </c>
      <c r="K70" s="1" t="s">
        <v>7</v>
      </c>
      <c r="L70" s="1" t="s">
        <v>30</v>
      </c>
      <c r="M70" s="1" t="s">
        <v>31</v>
      </c>
      <c r="N70" s="1" t="s">
        <v>32</v>
      </c>
      <c r="O70" s="1" t="s">
        <v>33</v>
      </c>
    </row>
    <row r="71" spans="1:15" x14ac:dyDescent="0.35">
      <c r="A71" s="1">
        <v>0</v>
      </c>
      <c r="B71" t="s">
        <v>12</v>
      </c>
      <c r="C71" t="s">
        <v>13</v>
      </c>
      <c r="D71" t="s">
        <v>15</v>
      </c>
      <c r="E71" t="s">
        <v>16</v>
      </c>
      <c r="F71">
        <v>2050</v>
      </c>
      <c r="G71" t="s">
        <v>18</v>
      </c>
      <c r="H71" t="s">
        <v>34</v>
      </c>
      <c r="I71">
        <v>0.1238413121453323</v>
      </c>
      <c r="J71" t="s">
        <v>54</v>
      </c>
      <c r="K71">
        <v>7.1700884830208558E-4</v>
      </c>
      <c r="L71" t="s">
        <v>20</v>
      </c>
      <c r="M71">
        <v>2.5356265612516179E-2</v>
      </c>
      <c r="N71">
        <v>5.7897387865258531E-3</v>
      </c>
      <c r="O71">
        <v>0.20474803741387751</v>
      </c>
    </row>
    <row r="72" spans="1:15" x14ac:dyDescent="0.35">
      <c r="A72" s="1">
        <v>1</v>
      </c>
      <c r="B72" t="s">
        <v>12</v>
      </c>
      <c r="C72" t="s">
        <v>13</v>
      </c>
      <c r="D72" t="s">
        <v>15</v>
      </c>
      <c r="E72" t="s">
        <v>16</v>
      </c>
      <c r="F72">
        <v>2050</v>
      </c>
      <c r="G72" t="s">
        <v>18</v>
      </c>
      <c r="H72" t="s">
        <v>35</v>
      </c>
      <c r="I72">
        <v>0.1200885451119403</v>
      </c>
      <c r="J72" t="s">
        <v>54</v>
      </c>
      <c r="K72">
        <v>5.4859334660427273E-4</v>
      </c>
      <c r="L72" t="s">
        <v>20</v>
      </c>
      <c r="M72">
        <v>1.940042810168572E-2</v>
      </c>
      <c r="N72">
        <v>4.5682404270357543E-3</v>
      </c>
      <c r="O72">
        <v>0.16155102956407411</v>
      </c>
    </row>
    <row r="73" spans="1:15" x14ac:dyDescent="0.35">
      <c r="A73" s="1">
        <v>2</v>
      </c>
      <c r="B73" t="s">
        <v>12</v>
      </c>
      <c r="C73" t="s">
        <v>13</v>
      </c>
      <c r="D73" t="s">
        <v>15</v>
      </c>
      <c r="E73" t="s">
        <v>16</v>
      </c>
      <c r="F73">
        <v>2050</v>
      </c>
      <c r="G73" t="s">
        <v>18</v>
      </c>
      <c r="H73" t="s">
        <v>36</v>
      </c>
      <c r="I73">
        <v>7.0702130932249987E-2</v>
      </c>
      <c r="J73" t="s">
        <v>54</v>
      </c>
      <c r="K73">
        <v>2.7128035664540293E-4</v>
      </c>
      <c r="L73" t="s">
        <v>20</v>
      </c>
      <c r="M73">
        <v>9.5935451770894804E-3</v>
      </c>
      <c r="N73">
        <v>3.8369473885498042E-3</v>
      </c>
      <c r="O73">
        <v>0.1356896185531162</v>
      </c>
    </row>
    <row r="74" spans="1:15" x14ac:dyDescent="0.35">
      <c r="A74" s="1">
        <v>3</v>
      </c>
      <c r="B74" t="s">
        <v>12</v>
      </c>
      <c r="C74" t="s">
        <v>13</v>
      </c>
      <c r="D74" t="s">
        <v>15</v>
      </c>
      <c r="E74" t="s">
        <v>16</v>
      </c>
      <c r="F74">
        <v>2050</v>
      </c>
      <c r="G74" t="s">
        <v>18</v>
      </c>
      <c r="H74" t="s">
        <v>37</v>
      </c>
      <c r="I74">
        <v>1.346707255845492E-2</v>
      </c>
      <c r="J74" t="s">
        <v>54</v>
      </c>
      <c r="K74">
        <v>7.8503122407522354E-5</v>
      </c>
      <c r="L74" t="s">
        <v>20</v>
      </c>
      <c r="M74">
        <v>2.7761805560569089E-3</v>
      </c>
      <c r="N74">
        <v>5.8292640859231417E-3</v>
      </c>
      <c r="O74">
        <v>0.20614580815590561</v>
      </c>
    </row>
    <row r="75" spans="1:15" x14ac:dyDescent="0.35">
      <c r="A75" s="1">
        <v>4</v>
      </c>
      <c r="B75" t="s">
        <v>12</v>
      </c>
      <c r="C75" t="s">
        <v>13</v>
      </c>
      <c r="D75" t="s">
        <v>15</v>
      </c>
      <c r="E75" t="s">
        <v>16</v>
      </c>
      <c r="F75">
        <v>2050</v>
      </c>
      <c r="G75" t="s">
        <v>18</v>
      </c>
      <c r="H75" t="s">
        <v>38</v>
      </c>
      <c r="I75">
        <v>0.19353555708011469</v>
      </c>
      <c r="J75" t="s">
        <v>54</v>
      </c>
      <c r="K75">
        <v>3.3840001386503549E-3</v>
      </c>
      <c r="L75" t="s">
        <v>20</v>
      </c>
      <c r="M75">
        <v>0.1196716143065768</v>
      </c>
      <c r="N75">
        <v>1.7485159779965068E-2</v>
      </c>
      <c r="O75">
        <v>0.61834432965224229</v>
      </c>
    </row>
    <row r="76" spans="1:15" x14ac:dyDescent="0.35">
      <c r="A76" s="1">
        <v>5</v>
      </c>
      <c r="B76" t="s">
        <v>12</v>
      </c>
      <c r="C76" t="s">
        <v>13</v>
      </c>
      <c r="D76" t="s">
        <v>15</v>
      </c>
      <c r="E76" t="s">
        <v>16</v>
      </c>
      <c r="F76">
        <v>2050</v>
      </c>
      <c r="G76" t="s">
        <v>18</v>
      </c>
      <c r="H76" t="s">
        <v>39</v>
      </c>
      <c r="I76">
        <v>0.1572141332383965</v>
      </c>
      <c r="J76" t="s">
        <v>54</v>
      </c>
      <c r="K76">
        <v>1.8769348399544829E-3</v>
      </c>
      <c r="L76" t="s">
        <v>20</v>
      </c>
      <c r="M76">
        <v>6.6375831277357175E-2</v>
      </c>
      <c r="N76">
        <v>1.193871569490724E-2</v>
      </c>
      <c r="O76">
        <v>0.42220015408351441</v>
      </c>
    </row>
    <row r="77" spans="1:15" x14ac:dyDescent="0.35">
      <c r="A77" s="1">
        <v>6</v>
      </c>
      <c r="B77" t="s">
        <v>12</v>
      </c>
      <c r="C77" t="s">
        <v>13</v>
      </c>
      <c r="D77" t="s">
        <v>15</v>
      </c>
      <c r="E77" t="s">
        <v>16</v>
      </c>
      <c r="F77">
        <v>2050</v>
      </c>
      <c r="G77" t="s">
        <v>18</v>
      </c>
      <c r="H77" t="s">
        <v>40</v>
      </c>
      <c r="I77">
        <v>0.21471188530380569</v>
      </c>
      <c r="J77" t="s">
        <v>54</v>
      </c>
      <c r="K77">
        <v>2.7687999348121298E-3</v>
      </c>
      <c r="L77" t="s">
        <v>20</v>
      </c>
      <c r="M77">
        <v>9.791570458477096E-2</v>
      </c>
      <c r="N77">
        <v>1.289541997591064E-2</v>
      </c>
      <c r="O77">
        <v>0.45603299717770868</v>
      </c>
    </row>
    <row r="78" spans="1:15" x14ac:dyDescent="0.35">
      <c r="A78" s="1">
        <v>7</v>
      </c>
      <c r="B78" t="s">
        <v>12</v>
      </c>
      <c r="C78" t="s">
        <v>13</v>
      </c>
      <c r="D78" t="s">
        <v>15</v>
      </c>
      <c r="E78" t="s">
        <v>16</v>
      </c>
      <c r="F78">
        <v>2050</v>
      </c>
      <c r="G78" t="s">
        <v>18</v>
      </c>
      <c r="H78" t="s">
        <v>41</v>
      </c>
      <c r="I78">
        <v>1.313468462121163E-2</v>
      </c>
      <c r="J78" t="s">
        <v>54</v>
      </c>
      <c r="K78">
        <v>6.0279948062016758E-4</v>
      </c>
      <c r="L78" t="s">
        <v>20</v>
      </c>
      <c r="M78">
        <v>2.131737115641856E-2</v>
      </c>
      <c r="N78">
        <v>4.5893715609028558E-2</v>
      </c>
      <c r="O78">
        <v>1.6229830994184999</v>
      </c>
    </row>
    <row r="79" spans="1:15" x14ac:dyDescent="0.35">
      <c r="A79" s="1">
        <v>8</v>
      </c>
      <c r="B79" t="s">
        <v>12</v>
      </c>
      <c r="C79" t="s">
        <v>13</v>
      </c>
      <c r="D79" t="s">
        <v>15</v>
      </c>
      <c r="E79" t="s">
        <v>16</v>
      </c>
      <c r="F79">
        <v>2050</v>
      </c>
      <c r="G79" t="s">
        <v>18</v>
      </c>
      <c r="H79" t="s">
        <v>42</v>
      </c>
      <c r="I79">
        <v>2.412493094341404E-3</v>
      </c>
      <c r="J79" t="s">
        <v>54</v>
      </c>
      <c r="K79">
        <v>0</v>
      </c>
      <c r="L79" t="s">
        <v>20</v>
      </c>
      <c r="M79">
        <v>0</v>
      </c>
      <c r="N79">
        <v>0</v>
      </c>
      <c r="O79">
        <v>0</v>
      </c>
    </row>
    <row r="80" spans="1:15" x14ac:dyDescent="0.35">
      <c r="A80" s="1">
        <v>9</v>
      </c>
      <c r="B80" t="s">
        <v>12</v>
      </c>
      <c r="C80" t="s">
        <v>13</v>
      </c>
      <c r="D80" t="s">
        <v>15</v>
      </c>
      <c r="E80" t="s">
        <v>16</v>
      </c>
      <c r="F80">
        <v>2050</v>
      </c>
      <c r="G80" t="s">
        <v>18</v>
      </c>
      <c r="H80" t="s">
        <v>43</v>
      </c>
      <c r="I80">
        <v>6.7013697097184535E-4</v>
      </c>
      <c r="J80" t="s">
        <v>54</v>
      </c>
      <c r="K80">
        <v>2.13857265289347E-5</v>
      </c>
      <c r="L80" t="s">
        <v>20</v>
      </c>
      <c r="M80">
        <v>7.5628378013522016E-4</v>
      </c>
      <c r="N80">
        <v>3.1912470816108998E-2</v>
      </c>
      <c r="O80">
        <v>1.12855104686799</v>
      </c>
    </row>
    <row r="81" spans="1:15" x14ac:dyDescent="0.35">
      <c r="A81" s="1">
        <v>10</v>
      </c>
      <c r="B81" t="s">
        <v>12</v>
      </c>
      <c r="C81" t="s">
        <v>13</v>
      </c>
      <c r="D81" t="s">
        <v>15</v>
      </c>
      <c r="E81" t="s">
        <v>16</v>
      </c>
      <c r="F81">
        <v>2050</v>
      </c>
      <c r="G81" t="s">
        <v>18</v>
      </c>
      <c r="H81" t="s">
        <v>44</v>
      </c>
      <c r="I81">
        <v>2.1842904673904678E-2</v>
      </c>
      <c r="J81" t="s">
        <v>54</v>
      </c>
      <c r="K81">
        <v>8.0356945924292783E-4</v>
      </c>
      <c r="L81" t="s">
        <v>20</v>
      </c>
      <c r="M81">
        <v>2.8417390796389708E-2</v>
      </c>
      <c r="N81">
        <v>3.6788580604984182E-2</v>
      </c>
      <c r="O81">
        <v>1.300989553387534</v>
      </c>
    </row>
    <row r="82" spans="1:15" x14ac:dyDescent="0.35">
      <c r="A82" s="1">
        <v>11</v>
      </c>
      <c r="B82" t="s">
        <v>12</v>
      </c>
      <c r="C82" t="s">
        <v>13</v>
      </c>
      <c r="D82" t="s">
        <v>15</v>
      </c>
      <c r="E82" t="s">
        <v>16</v>
      </c>
      <c r="F82">
        <v>2050</v>
      </c>
      <c r="G82" t="s">
        <v>18</v>
      </c>
      <c r="H82" t="s">
        <v>45</v>
      </c>
      <c r="I82">
        <v>8.2453348769044171E-3</v>
      </c>
      <c r="J82" t="s">
        <v>54</v>
      </c>
      <c r="K82">
        <v>8.5565740998300448E-4</v>
      </c>
      <c r="L82" t="s">
        <v>20</v>
      </c>
      <c r="M82">
        <v>3.0259426522036139E-2</v>
      </c>
      <c r="N82">
        <v>0.10377473113672341</v>
      </c>
      <c r="O82">
        <v>3.6698844830176962</v>
      </c>
    </row>
    <row r="83" spans="1:15" x14ac:dyDescent="0.35">
      <c r="A83" s="1">
        <v>12</v>
      </c>
      <c r="B83" t="s">
        <v>12</v>
      </c>
      <c r="C83" t="s">
        <v>13</v>
      </c>
      <c r="D83" t="s">
        <v>15</v>
      </c>
      <c r="E83" t="s">
        <v>16</v>
      </c>
      <c r="F83">
        <v>2050</v>
      </c>
      <c r="G83" t="s">
        <v>18</v>
      </c>
      <c r="H83" t="s">
        <v>46</v>
      </c>
      <c r="I83">
        <v>2.748444958968138E-3</v>
      </c>
      <c r="J83" t="s">
        <v>54</v>
      </c>
      <c r="K83">
        <v>1.1326625220189269E-4</v>
      </c>
      <c r="L83" t="s">
        <v>20</v>
      </c>
      <c r="M83">
        <v>4.0055421666922329E-3</v>
      </c>
      <c r="N83">
        <v>4.1211031653483367E-2</v>
      </c>
      <c r="O83">
        <v>1.4573848945463519</v>
      </c>
    </row>
    <row r="84" spans="1:15" x14ac:dyDescent="0.35">
      <c r="A84" s="1">
        <v>13</v>
      </c>
      <c r="B84" t="s">
        <v>12</v>
      </c>
      <c r="C84" t="s">
        <v>13</v>
      </c>
      <c r="D84" t="s">
        <v>15</v>
      </c>
      <c r="E84" t="s">
        <v>16</v>
      </c>
      <c r="F84">
        <v>2050</v>
      </c>
      <c r="G84" t="s">
        <v>18</v>
      </c>
      <c r="H84" t="s">
        <v>47</v>
      </c>
      <c r="I84">
        <v>1.113843483371298E-2</v>
      </c>
      <c r="J84" t="s">
        <v>54</v>
      </c>
      <c r="K84">
        <v>6.5132378897669971E-4</v>
      </c>
      <c r="L84" t="s">
        <v>20</v>
      </c>
      <c r="M84">
        <v>2.3033382408253891E-2</v>
      </c>
      <c r="N84">
        <v>5.8475342245152932E-2</v>
      </c>
      <c r="O84">
        <v>2.0679191243762691</v>
      </c>
    </row>
    <row r="85" spans="1:15" x14ac:dyDescent="0.35">
      <c r="A85" s="1">
        <v>14</v>
      </c>
      <c r="B85" t="s">
        <v>12</v>
      </c>
      <c r="C85" t="s">
        <v>13</v>
      </c>
      <c r="D85" t="s">
        <v>15</v>
      </c>
      <c r="E85" t="s">
        <v>16</v>
      </c>
      <c r="F85">
        <v>2050</v>
      </c>
      <c r="G85" t="s">
        <v>18</v>
      </c>
      <c r="H85" t="s">
        <v>48</v>
      </c>
      <c r="I85">
        <v>4.6246929599690588E-2</v>
      </c>
      <c r="J85" t="s">
        <v>54</v>
      </c>
      <c r="K85">
        <v>1.2511673422041561E-2</v>
      </c>
      <c r="L85" t="s">
        <v>20</v>
      </c>
      <c r="M85">
        <v>0.44246220293878957</v>
      </c>
      <c r="N85">
        <v>0.27054062897454001</v>
      </c>
      <c r="O85">
        <v>9.5673854841543857</v>
      </c>
    </row>
    <row r="86" spans="1:15" x14ac:dyDescent="0.35">
      <c r="A86" s="1">
        <v>15</v>
      </c>
      <c r="B86" t="s">
        <v>12</v>
      </c>
      <c r="C86" t="s">
        <v>13</v>
      </c>
      <c r="D86" t="s">
        <v>15</v>
      </c>
      <c r="E86" t="s">
        <v>16</v>
      </c>
      <c r="F86">
        <v>2050</v>
      </c>
      <c r="G86" t="s">
        <v>18</v>
      </c>
      <c r="H86" t="s">
        <v>19</v>
      </c>
      <c r="I86">
        <v>3.1242684515255099E-2</v>
      </c>
      <c r="J86" t="s">
        <v>54</v>
      </c>
      <c r="K86">
        <v>8.8346137339288984E-4</v>
      </c>
      <c r="L86" t="s">
        <v>20</v>
      </c>
      <c r="M86">
        <v>3.1242684515255081E-2</v>
      </c>
      <c r="N86">
        <v>2.8277383557149691E-2</v>
      </c>
      <c r="O86">
        <v>0.99999999999999967</v>
      </c>
    </row>
    <row r="87" spans="1:15" x14ac:dyDescent="0.35">
      <c r="A87" s="1">
        <v>16</v>
      </c>
      <c r="B87" t="s">
        <v>12</v>
      </c>
      <c r="C87" t="s">
        <v>13</v>
      </c>
      <c r="D87" t="s">
        <v>15</v>
      </c>
      <c r="E87" t="s">
        <v>16</v>
      </c>
      <c r="F87">
        <v>2050</v>
      </c>
      <c r="G87" t="s">
        <v>18</v>
      </c>
      <c r="H87" t="s">
        <v>49</v>
      </c>
      <c r="I87">
        <v>5.6500000000000001E-9</v>
      </c>
      <c r="J87" t="s">
        <v>55</v>
      </c>
      <c r="K87">
        <v>7.5603687649375851E-4</v>
      </c>
      <c r="L87" t="s">
        <v>20</v>
      </c>
      <c r="M87">
        <v>2.6736450880109831E-2</v>
      </c>
      <c r="N87">
        <v>133811.83654756789</v>
      </c>
      <c r="O87">
        <v>4732115.2000194397</v>
      </c>
    </row>
    <row r="88" spans="1:15" x14ac:dyDescent="0.35">
      <c r="A88" s="1">
        <v>17</v>
      </c>
      <c r="B88" t="s">
        <v>12</v>
      </c>
      <c r="C88" t="s">
        <v>13</v>
      </c>
      <c r="D88" t="s">
        <v>15</v>
      </c>
      <c r="E88" t="s">
        <v>16</v>
      </c>
      <c r="F88">
        <v>2050</v>
      </c>
      <c r="G88" t="s">
        <v>18</v>
      </c>
      <c r="H88" t="s">
        <v>50</v>
      </c>
      <c r="I88">
        <v>3.8600000000000001E-10</v>
      </c>
      <c r="J88" t="s">
        <v>55</v>
      </c>
      <c r="K88">
        <v>6.7519492917697451E-5</v>
      </c>
      <c r="L88" t="s">
        <v>20</v>
      </c>
      <c r="M88">
        <v>2.3877560235103751E-3</v>
      </c>
      <c r="N88">
        <v>174920.9661080245</v>
      </c>
      <c r="O88">
        <v>6185896.4339647023</v>
      </c>
    </row>
    <row r="89" spans="1:15" x14ac:dyDescent="0.35">
      <c r="A89" s="1">
        <v>18</v>
      </c>
      <c r="B89" t="s">
        <v>12</v>
      </c>
      <c r="C89" t="s">
        <v>13</v>
      </c>
      <c r="D89" t="s">
        <v>15</v>
      </c>
      <c r="E89" t="s">
        <v>16</v>
      </c>
      <c r="F89">
        <v>2050</v>
      </c>
      <c r="G89" t="s">
        <v>18</v>
      </c>
      <c r="H89" t="s">
        <v>51</v>
      </c>
      <c r="I89">
        <v>3.47E-12</v>
      </c>
      <c r="J89" t="s">
        <v>55</v>
      </c>
      <c r="K89">
        <v>5.6936136760080115E-7</v>
      </c>
      <c r="L89" t="s">
        <v>20</v>
      </c>
      <c r="M89">
        <v>2.0134867373782991E-5</v>
      </c>
      <c r="N89">
        <v>164081.0857639196</v>
      </c>
      <c r="O89">
        <v>5802555.4391305437</v>
      </c>
    </row>
    <row r="90" spans="1:15" x14ac:dyDescent="0.35">
      <c r="A90" s="1">
        <v>19</v>
      </c>
      <c r="B90" t="s">
        <v>12</v>
      </c>
      <c r="C90" t="s">
        <v>13</v>
      </c>
      <c r="D90" t="s">
        <v>15</v>
      </c>
      <c r="E90" t="s">
        <v>16</v>
      </c>
      <c r="F90">
        <v>2050</v>
      </c>
      <c r="G90" t="s">
        <v>18</v>
      </c>
      <c r="H90" t="s">
        <v>52</v>
      </c>
      <c r="I90">
        <v>5.0000000000000004E-6</v>
      </c>
      <c r="J90" t="s">
        <v>56</v>
      </c>
    </row>
    <row r="91" spans="1:15" x14ac:dyDescent="0.35">
      <c r="A91" s="1">
        <v>20</v>
      </c>
      <c r="B91" t="s">
        <v>12</v>
      </c>
      <c r="C91" t="s">
        <v>13</v>
      </c>
      <c r="D91" t="s">
        <v>15</v>
      </c>
      <c r="E91" t="s">
        <v>16</v>
      </c>
      <c r="F91">
        <v>2050</v>
      </c>
      <c r="G91" t="s">
        <v>18</v>
      </c>
      <c r="H91" t="s">
        <v>53</v>
      </c>
      <c r="I91">
        <v>4.16E-6</v>
      </c>
      <c r="J9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Conclusion</vt:lpstr>
      <vt:lpstr>elec 1 kWh</vt:lpstr>
      <vt:lpstr>contrib an. aggreg</vt:lpstr>
      <vt:lpstr>contrib an. 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Joanna SCHLESINGER</cp:lastModifiedBy>
  <dcterms:created xsi:type="dcterms:W3CDTF">2025-05-22T13:20:59Z</dcterms:created>
  <dcterms:modified xsi:type="dcterms:W3CDTF">2025-06-06T17:49:21Z</dcterms:modified>
</cp:coreProperties>
</file>