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chlesinger\0.Joanna\RTE_scenarios\"/>
    </mc:Choice>
  </mc:AlternateContent>
  <xr:revisionPtr revIDLastSave="0" documentId="13_ncr:1_{F7ACF73A-18B6-42DC-895A-968A580AEFF8}" xr6:coauthVersionLast="47" xr6:coauthVersionMax="47" xr10:uidLastSave="{00000000-0000-0000-0000-000000000000}"/>
  <bookViews>
    <workbookView xWindow="4800" yWindow="2270" windowWidth="14400" windowHeight="8180" activeTab="5" xr2:uid="{00000000-000D-0000-FFFF-FFFF00000000}"/>
  </bookViews>
  <sheets>
    <sheet name="elec 1 kWh" sheetId="1" r:id="rId1"/>
    <sheet name="contrib an. detail" sheetId="2" r:id="rId2"/>
    <sheet name="contrib an. aggreg" sheetId="3" r:id="rId3"/>
    <sheet name="graph1" sheetId="7" r:id="rId4"/>
    <sheet name="graph2" sheetId="4" r:id="rId5"/>
    <sheet name="graph 3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8" l="1"/>
  <c r="AA4" i="8"/>
  <c r="AA5" i="8"/>
  <c r="AA6" i="8"/>
  <c r="AA7" i="8"/>
  <c r="AA8" i="8"/>
  <c r="AA2" i="8"/>
  <c r="Z3" i="8"/>
  <c r="Z4" i="8"/>
  <c r="Z5" i="8"/>
  <c r="Z6" i="8"/>
  <c r="Z7" i="8"/>
  <c r="Z8" i="8"/>
  <c r="Z9" i="8"/>
  <c r="Z2" i="8"/>
  <c r="R3" i="8"/>
  <c r="R4" i="8"/>
  <c r="R5" i="8"/>
  <c r="R6" i="8"/>
  <c r="R7" i="8"/>
  <c r="R8" i="8"/>
  <c r="R9" i="8"/>
  <c r="R10" i="8"/>
  <c r="R2" i="8"/>
  <c r="K10" i="7"/>
  <c r="K9" i="7"/>
  <c r="K8" i="7"/>
  <c r="K4" i="7"/>
  <c r="K3" i="7"/>
  <c r="K2" i="7"/>
  <c r="P9" i="4"/>
  <c r="P4" i="4"/>
  <c r="P5" i="4"/>
  <c r="P6" i="4"/>
  <c r="P7" i="4"/>
  <c r="P8" i="4"/>
  <c r="P3" i="4"/>
  <c r="N4" i="4"/>
  <c r="N5" i="4"/>
  <c r="N6" i="4"/>
  <c r="N7" i="4"/>
  <c r="N8" i="4"/>
  <c r="N9" i="4"/>
  <c r="N3" i="4"/>
  <c r="L4" i="4"/>
  <c r="L5" i="4"/>
  <c r="L6" i="4"/>
  <c r="L7" i="4"/>
  <c r="L8" i="4"/>
  <c r="L9" i="4"/>
  <c r="L3" i="4"/>
</calcChain>
</file>

<file path=xl/sharedStrings.xml><?xml version="1.0" encoding="utf-8"?>
<sst xmlns="http://schemas.openxmlformats.org/spreadsheetml/2006/main" count="2031" uniqueCount="86">
  <si>
    <t>db_name</t>
  </si>
  <si>
    <t>model</t>
  </si>
  <si>
    <t>IAM scenario</t>
  </si>
  <si>
    <t>FR scenario</t>
  </si>
  <si>
    <t>year</t>
  </si>
  <si>
    <t>warning</t>
  </si>
  <si>
    <t>act</t>
  </si>
  <si>
    <t>impact</t>
  </si>
  <si>
    <t>unit</t>
  </si>
  <si>
    <t>ei_cutoff_3.9_tiam-ucl_SSP2-RCP45_2020_Reference - N1 2025-05-15</t>
  </si>
  <si>
    <t>ei_cutoff_3.9_tiam-ucl_SSP2-RCP45_2050_Reference - N1 2025-05-15</t>
  </si>
  <si>
    <t>ei_cutoff_3.9_tiam-ucl_SSP2-RCP45_2020_Reference - N1 2025-05-16</t>
  </si>
  <si>
    <t>ei_cutoff_3.9_tiam-ucl_SSP2-RCP45_2050_Reference - N1 2025-05-16</t>
  </si>
  <si>
    <t>tiam-ucl</t>
  </si>
  <si>
    <t>RCP45</t>
  </si>
  <si>
    <t>N1</t>
  </si>
  <si>
    <t xml:space="preserve"> </t>
  </si>
  <si>
    <t>in 2019: 2050 ratios (except efficencies) with premise year 2019</t>
  </si>
  <si>
    <t>market for electricity, high voltage, FE2050</t>
  </si>
  <si>
    <t>kg CO2-Eq</t>
  </si>
  <si>
    <t>market for electricity, from direct French production, FE2050</t>
  </si>
  <si>
    <t>market for electricity, from storage, FE2050</t>
  </si>
  <si>
    <t>market for electricity, from import, FE2050</t>
  </si>
  <si>
    <t>market for electricity, from direct production and import, FE2050</t>
  </si>
  <si>
    <t>market for electricity production, direct production, high voltage, FE2050</t>
  </si>
  <si>
    <t>market for electricity production, storage production, FE2050</t>
  </si>
  <si>
    <t>market for electricity production, import, FE2050</t>
  </si>
  <si>
    <t>amount</t>
  </si>
  <si>
    <t>unit amount</t>
  </si>
  <si>
    <t>unit impact</t>
  </si>
  <si>
    <t>% impact</t>
  </si>
  <si>
    <t>absolute impact</t>
  </si>
  <si>
    <t>absolute impact/impact elec</t>
  </si>
  <si>
    <t>electricity production, nuclear, pressure water reactor</t>
  </si>
  <si>
    <t>electricity production, hydro, run-of-river</t>
  </si>
  <si>
    <t>electricity production, hydro, reservoir, alpine region</t>
  </si>
  <si>
    <t>electricity production, photovoltaic</t>
  </si>
  <si>
    <t>electricity production, wind, 1-3MW turbine, onshore</t>
  </si>
  <si>
    <t>electricity production, wind, 1-3MW turbine, offshore</t>
  </si>
  <si>
    <t>heat and power co-generation, wood chips, 6667 kW</t>
  </si>
  <si>
    <t>treatment of municipal solid waste, incineration</t>
  </si>
  <si>
    <t>electricity production, natural gas, combined cycle power plant</t>
  </si>
  <si>
    <t>electricity production, oil</t>
  </si>
  <si>
    <t>electricity production, hard coal</t>
  </si>
  <si>
    <t>electricity production, hydro, pumped storage, FE2050</t>
  </si>
  <si>
    <t>electricity supply, high voltage, from vanadium-redox flow battery system, FE2050</t>
  </si>
  <si>
    <t>market group for electricity, high voltage</t>
  </si>
  <si>
    <t>transmission network construction, electricity, high voltage direct current aerial line</t>
  </si>
  <si>
    <t>transmission network construction, electricity, high voltage direct current land cable</t>
  </si>
  <si>
    <t>transmission network construction, electricity, high voltage direct current subsea cable</t>
  </si>
  <si>
    <t>Dinitrogen monoxide('air',)</t>
  </si>
  <si>
    <t>Ozone('air',)</t>
  </si>
  <si>
    <t>kilowatt hour</t>
  </si>
  <si>
    <t>kilometer</t>
  </si>
  <si>
    <t>kilogram</t>
  </si>
  <si>
    <t>electricity production, Evolutionary Power Reactor (EPR)</t>
  </si>
  <si>
    <t>electricity production, from hydrogen, with gas turbine, for grid-balancing, FE2050</t>
  </si>
  <si>
    <t>electricity production, from vehicle-to-grid, FE2050</t>
  </si>
  <si>
    <t>direct electricity production in France</t>
  </si>
  <si>
    <t>electricity production from flexibilities</t>
  </si>
  <si>
    <t>imports</t>
  </si>
  <si>
    <t>losses</t>
  </si>
  <si>
    <t>network</t>
  </si>
  <si>
    <t>others : biosphere flows</t>
  </si>
  <si>
    <t>2020 (FR ratios+background)</t>
  </si>
  <si>
    <t>FR ratios 2050</t>
  </si>
  <si>
    <t>FR ratios 2050 + background 2050'</t>
  </si>
  <si>
    <t>gCO2eq/kWh</t>
  </si>
  <si>
    <t>FR ratios 2050 + background 2050</t>
  </si>
  <si>
    <t>2020 = on ne change ni les ratios ni le background</t>
  </si>
  <si>
    <t>si on change seulement les ratios et pas le background</t>
  </si>
  <si>
    <t>on change les ratio et le background</t>
  </si>
  <si>
    <t>consumption mix</t>
  </si>
  <si>
    <t>production mix</t>
  </si>
  <si>
    <t>Compare 2 and 1 : influence de l'évolution du background avec ratio FR 2050</t>
  </si>
  <si>
    <t>Compare 2 and 0 : influence du scenarios FR avec background 2020</t>
  </si>
  <si>
    <t>absolute impact 2050</t>
  </si>
  <si>
    <t>Hydro run of river</t>
  </si>
  <si>
    <t>PV</t>
  </si>
  <si>
    <t>CHP, wood chips</t>
  </si>
  <si>
    <t>year 2020</t>
  </si>
  <si>
    <t>Hydro reservoir</t>
  </si>
  <si>
    <t>Nuclear, PWR</t>
  </si>
  <si>
    <t>Onshore wind</t>
  </si>
  <si>
    <t>Offshore wind</t>
  </si>
  <si>
    <t>year 2050 - tiam RCP45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</si>
</sst>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5F0"/>
        <bgColor indexed="64"/>
      </patternFill>
    </fill>
    <fill>
      <patternFill patternType="solid">
        <fgColor rgb="FF67000D"/>
        <bgColor indexed="64"/>
      </patternFill>
    </fill>
    <fill>
      <patternFill patternType="solid">
        <fgColor rgb="FFFA6648"/>
        <bgColor indexed="64"/>
      </patternFill>
    </fill>
    <fill>
      <patternFill patternType="solid">
        <fgColor rgb="FFFDD5C4"/>
        <bgColor indexed="64"/>
      </patternFill>
    </fill>
    <fill>
      <patternFill patternType="solid">
        <fgColor rgb="FFFDD7C6"/>
        <bgColor indexed="64"/>
      </patternFill>
    </fill>
    <fill>
      <patternFill patternType="solid">
        <fgColor rgb="FFFCBCA2"/>
        <bgColor indexed="64"/>
      </patternFill>
    </fill>
    <fill>
      <patternFill patternType="solid">
        <fgColor rgb="FFFEDBCC"/>
        <bgColor indexed="64"/>
      </patternFill>
    </fill>
    <fill>
      <patternFill patternType="solid">
        <fgColor rgb="FFFCC1A8"/>
        <bgColor indexed="64"/>
      </patternFill>
    </fill>
    <fill>
      <patternFill patternType="solid">
        <fgColor rgb="FF7A0510"/>
        <bgColor indexed="64"/>
      </patternFill>
    </fill>
    <fill>
      <patternFill patternType="solid">
        <fgColor rgb="FFFFF3ED"/>
        <bgColor indexed="64"/>
      </patternFill>
    </fill>
    <fill>
      <patternFill patternType="solid">
        <fgColor rgb="FFFFF4EE"/>
        <bgColor indexed="64"/>
      </patternFill>
    </fill>
    <fill>
      <patternFill patternType="solid">
        <fgColor rgb="FFFEE7DC"/>
        <bgColor indexed="64"/>
      </patternFill>
    </fill>
    <fill>
      <patternFill patternType="solid">
        <fgColor rgb="FFFEE8DE"/>
        <bgColor indexed="64"/>
      </patternFill>
    </fill>
    <fill>
      <patternFill patternType="solid">
        <fgColor rgb="FFFFF4EF"/>
        <bgColor indexed="64"/>
      </patternFill>
    </fill>
    <fill>
      <patternFill patternType="solid">
        <fgColor rgb="FFFEE7DB"/>
        <bgColor indexed="64"/>
      </patternFill>
    </fill>
    <fill>
      <patternFill patternType="solid">
        <fgColor rgb="FFFFF0E8"/>
        <bgColor indexed="64"/>
      </patternFill>
    </fill>
    <fill>
      <patternFill patternType="solid">
        <fgColor rgb="FF6D010E"/>
        <bgColor indexed="64"/>
      </patternFill>
    </fill>
    <fill>
      <patternFill patternType="solid">
        <fgColor rgb="FFFEE8DD"/>
        <bgColor indexed="64"/>
      </patternFill>
    </fill>
    <fill>
      <patternFill patternType="solid">
        <fgColor rgb="FFFFF1EA"/>
        <bgColor indexed="64"/>
      </patternFill>
    </fill>
    <fill>
      <patternFill patternType="solid">
        <fgColor rgb="FF80061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3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3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3" fillId="21" borderId="0" xfId="0" applyFont="1" applyFill="1"/>
    <xf numFmtId="0" fontId="1" fillId="0" borderId="0" xfId="0" applyFont="1" applyAlignment="1">
      <alignment horizontal="center" vertical="top"/>
    </xf>
    <xf numFmtId="0" fontId="0" fillId="0" borderId="0" xfId="0" quotePrefix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3" fillId="3" borderId="0" xfId="0" applyNumberFormat="1" applyFont="1" applyFill="1"/>
    <xf numFmtId="164" fontId="3" fillId="4" borderId="0" xfId="0" applyNumberFormat="1" applyFont="1" applyFill="1"/>
    <xf numFmtId="164" fontId="2" fillId="2" borderId="0" xfId="0" applyNumberFormat="1" applyFont="1" applyFill="1"/>
    <xf numFmtId="164" fontId="1" fillId="0" borderId="1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4" fontId="2" fillId="6" borderId="0" xfId="0" applyNumberFormat="1" applyFont="1" applyFill="1"/>
    <xf numFmtId="164" fontId="2" fillId="17" borderId="0" xfId="0" applyNumberFormat="1" applyFont="1" applyFill="1"/>
    <xf numFmtId="164" fontId="2" fillId="12" borderId="0" xfId="0" applyNumberFormat="1" applyFont="1" applyFill="1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Climate change impact gCO2/kWh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graph1!$L$8</c:f>
              <c:strCache>
                <c:ptCount val="1"/>
                <c:pt idx="0">
                  <c:v>2020 (FR ratios+background)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graph1!$M$7:$N$7</c:f>
              <c:strCache>
                <c:ptCount val="2"/>
                <c:pt idx="0">
                  <c:v>consumption mix</c:v>
                </c:pt>
                <c:pt idx="1">
                  <c:v>production mix</c:v>
                </c:pt>
              </c:strCache>
            </c:strRef>
          </c:cat>
          <c:val>
            <c:numRef>
              <c:f>graph1!$M$8:$N$8</c:f>
              <c:numCache>
                <c:formatCode>General</c:formatCode>
                <c:ptCount val="2"/>
                <c:pt idx="0">
                  <c:v>54.183852017686895</c:v>
                </c:pt>
                <c:pt idx="1">
                  <c:v>52.884611218055561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6-48DB-937B-6124B4E8E15B}"/>
            </c:ext>
          </c:extLst>
        </c:ser>
        <c:ser>
          <c:idx val="1"/>
          <c:order val="1"/>
          <c:tx>
            <c:strRef>
              <c:f>graph1!$L$9</c:f>
              <c:strCache>
                <c:ptCount val="1"/>
                <c:pt idx="0">
                  <c:v>FR ratios 2050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graph1!$M$7:$N$7</c:f>
              <c:strCache>
                <c:ptCount val="2"/>
                <c:pt idx="0">
                  <c:v>consumption mix</c:v>
                </c:pt>
                <c:pt idx="1">
                  <c:v>production mix</c:v>
                </c:pt>
              </c:strCache>
            </c:strRef>
          </c:cat>
          <c:val>
            <c:numRef>
              <c:f>graph1!$M$9:$N$9</c:f>
              <c:numCache>
                <c:formatCode>General</c:formatCode>
                <c:ptCount val="2"/>
                <c:pt idx="0">
                  <c:v>33.998340609366856</c:v>
                </c:pt>
                <c:pt idx="1">
                  <c:v>19.168116777269162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6-48DB-937B-6124B4E8E15B}"/>
            </c:ext>
          </c:extLst>
        </c:ser>
        <c:ser>
          <c:idx val="2"/>
          <c:order val="2"/>
          <c:tx>
            <c:strRef>
              <c:f>graph1!$L$10</c:f>
              <c:strCache>
                <c:ptCount val="1"/>
                <c:pt idx="0">
                  <c:v>FR ratios 2050 + background 2050'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graph1!$M$7:$N$7</c:f>
              <c:strCache>
                <c:ptCount val="2"/>
                <c:pt idx="0">
                  <c:v>consumption mix</c:v>
                </c:pt>
                <c:pt idx="1">
                  <c:v>production mix</c:v>
                </c:pt>
              </c:strCache>
            </c:strRef>
          </c:cat>
          <c:val>
            <c:numRef>
              <c:f>graph1!$M$10:$N$10</c:f>
              <c:numCache>
                <c:formatCode>General</c:formatCode>
                <c:ptCount val="2"/>
                <c:pt idx="0">
                  <c:v>12.887550885641211</c:v>
                </c:pt>
                <c:pt idx="1">
                  <c:v>11.85710504380792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6-48DB-937B-6124B4E8E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457472"/>
        <c:axId val="801451712"/>
      </c:barChart>
      <c:catAx>
        <c:axId val="80145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451712"/>
        <c:crosses val="autoZero"/>
        <c:auto val="1"/>
        <c:lblAlgn val="ctr"/>
        <c:lblOffset val="100"/>
        <c:noMultiLvlLbl val="0"/>
      </c:catAx>
      <c:valAx>
        <c:axId val="8014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45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Climate change impact (gCO2eq/kWh)</a:t>
            </a:r>
            <a:r>
              <a:rPr lang="fr-FR" baseline="0"/>
              <a:t>          </a:t>
            </a:r>
          </a:p>
          <a:p>
            <a:pPr>
              <a:defRPr/>
            </a:pPr>
            <a:r>
              <a:rPr lang="fr-FR" baseline="0"/>
              <a:t>FRENCH consumption mix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graph2!$R$3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graph2!$S$3:$U$3</c:f>
              <c:numCache>
                <c:formatCode>General</c:formatCode>
                <c:ptCount val="3"/>
                <c:pt idx="0">
                  <c:v>48.099550375215017</c:v>
                </c:pt>
                <c:pt idx="1">
                  <c:v>14.721714203467942</c:v>
                </c:pt>
                <c:pt idx="2">
                  <c:v>8.6307771327269176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3-44DA-82A1-ADA5CCC11AF5}"/>
            </c:ext>
          </c:extLst>
        </c:ser>
        <c:ser>
          <c:idx val="1"/>
          <c:order val="1"/>
          <c:tx>
            <c:strRef>
              <c:f>graph2!$R$4</c:f>
              <c:strCache>
                <c:ptCount val="1"/>
                <c:pt idx="0">
                  <c:v>electricity production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graph2!$S$4:$U$4</c:f>
              <c:numCache>
                <c:formatCode>General</c:formatCode>
                <c:ptCount val="3"/>
                <c:pt idx="0">
                  <c:v>0.7997157418397316</c:v>
                </c:pt>
                <c:pt idx="1">
                  <c:v>3.2450178493264841</c:v>
                </c:pt>
                <c:pt idx="2">
                  <c:v>1.330033507145618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3-44DA-82A1-ADA5CCC11AF5}"/>
            </c:ext>
          </c:extLst>
        </c:ser>
        <c:ser>
          <c:idx val="2"/>
          <c:order val="2"/>
          <c:tx>
            <c:strRef>
              <c:f>graph2!$R$5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graph2!$S$5:$U$5</c:f>
              <c:numCache>
                <c:formatCode>General</c:formatCode>
                <c:ptCount val="3"/>
                <c:pt idx="0">
                  <c:v>1.2037764144165279</c:v>
                </c:pt>
                <c:pt idx="1">
                  <c:v>12.58181215336378</c:v>
                </c:pt>
                <c:pt idx="2">
                  <c:v>0.52412672643775271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B3-44DA-82A1-ADA5CCC11AF5}"/>
            </c:ext>
          </c:extLst>
        </c:ser>
        <c:ser>
          <c:idx val="3"/>
          <c:order val="3"/>
          <c:tx>
            <c:strRef>
              <c:f>graph2!$R$6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graph2!$S$6:$U$6</c:f>
              <c:numCache>
                <c:formatCode>General</c:formatCode>
                <c:ptCount val="3"/>
                <c:pt idx="0">
                  <c:v>1.6928489944098619</c:v>
                </c:pt>
                <c:pt idx="1">
                  <c:v>1.0621994297006361</c:v>
                </c:pt>
                <c:pt idx="2">
                  <c:v>0.40264168649438431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B3-44DA-82A1-ADA5CCC11AF5}"/>
            </c:ext>
          </c:extLst>
        </c:ser>
        <c:ser>
          <c:idx val="4"/>
          <c:order val="4"/>
          <c:tx>
            <c:strRef>
              <c:f>graph2!$R$7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graph2!$S$7:$U$7</c:f>
              <c:numCache>
                <c:formatCode>General</c:formatCode>
                <c:ptCount val="3"/>
                <c:pt idx="0">
                  <c:v>1.0229605186006561</c:v>
                </c:pt>
                <c:pt idx="1">
                  <c:v>1.022596735701109</c:v>
                </c:pt>
                <c:pt idx="2">
                  <c:v>0.63497186215321288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B3-44DA-82A1-ADA5CCC11AF5}"/>
            </c:ext>
          </c:extLst>
        </c:ser>
        <c:ser>
          <c:idx val="5"/>
          <c:order val="5"/>
          <c:tx>
            <c:strRef>
              <c:f>graph2!$R$8</c:f>
              <c:strCache>
                <c:ptCount val="1"/>
                <c:pt idx="0">
                  <c:v>others : biosphere flows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graph2!$S$8:$U$8</c:f>
              <c:numCache>
                <c:formatCode>General</c:formatCode>
                <c:ptCount val="3"/>
                <c:pt idx="0">
                  <c:v>1.364999973205133</c:v>
                </c:pt>
                <c:pt idx="1">
                  <c:v>1.3650002378069459</c:v>
                </c:pt>
                <c:pt idx="2">
                  <c:v>1.3649999706833069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B3-44DA-82A1-ADA5CCC1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8792784"/>
        <c:axId val="748788464"/>
      </c:barChart>
      <c:catAx>
        <c:axId val="7487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8788464"/>
        <c:crosses val="autoZero"/>
        <c:auto val="1"/>
        <c:lblAlgn val="ctr"/>
        <c:lblOffset val="100"/>
        <c:noMultiLvlLbl val="0"/>
      </c:catAx>
      <c:valAx>
        <c:axId val="7487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879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1178915135608"/>
          <c:y val="0.8099702595857039"/>
          <c:w val="0.83065310586176722"/>
          <c:h val="0.135564921197940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Climate change impact (gCO2eq/kWh)          </a:t>
            </a:r>
          </a:p>
          <a:p>
            <a:pPr>
              <a:defRPr/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FRENCH consumption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graph2!$R$3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graph2!$S$3:$U$3</c:f>
              <c:numCache>
                <c:formatCode>General</c:formatCode>
                <c:ptCount val="3"/>
                <c:pt idx="0">
                  <c:v>48.099550375215017</c:v>
                </c:pt>
                <c:pt idx="1">
                  <c:v>14.721714203467942</c:v>
                </c:pt>
                <c:pt idx="2">
                  <c:v>8.6307771327269176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D-49F9-8D7B-565B3CF184BA}"/>
            </c:ext>
          </c:extLst>
        </c:ser>
        <c:ser>
          <c:idx val="1"/>
          <c:order val="1"/>
          <c:tx>
            <c:strRef>
              <c:f>graph2!$R$4</c:f>
              <c:strCache>
                <c:ptCount val="1"/>
                <c:pt idx="0">
                  <c:v>electricity production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graph2!$S$4:$U$4</c:f>
              <c:numCache>
                <c:formatCode>General</c:formatCode>
                <c:ptCount val="3"/>
                <c:pt idx="0">
                  <c:v>0.7997157418397316</c:v>
                </c:pt>
                <c:pt idx="1">
                  <c:v>3.2450178493264841</c:v>
                </c:pt>
                <c:pt idx="2">
                  <c:v>1.330033507145618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D-49F9-8D7B-565B3CF184BA}"/>
            </c:ext>
          </c:extLst>
        </c:ser>
        <c:ser>
          <c:idx val="2"/>
          <c:order val="2"/>
          <c:tx>
            <c:strRef>
              <c:f>graph2!$R$5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graph2!$S$5:$U$5</c:f>
              <c:numCache>
                <c:formatCode>General</c:formatCode>
                <c:ptCount val="3"/>
                <c:pt idx="0">
                  <c:v>1.2037764144165279</c:v>
                </c:pt>
                <c:pt idx="1">
                  <c:v>12.58181215336378</c:v>
                </c:pt>
                <c:pt idx="2">
                  <c:v>0.52412672643775271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1D-49F9-8D7B-565B3CF184BA}"/>
            </c:ext>
          </c:extLst>
        </c:ser>
        <c:ser>
          <c:idx val="3"/>
          <c:order val="3"/>
          <c:tx>
            <c:strRef>
              <c:f>graph2!$R$6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graph2!$S$6:$U$6</c:f>
              <c:numCache>
                <c:formatCode>General</c:formatCode>
                <c:ptCount val="3"/>
                <c:pt idx="0">
                  <c:v>1.6928489944098619</c:v>
                </c:pt>
                <c:pt idx="1">
                  <c:v>1.0621994297006361</c:v>
                </c:pt>
                <c:pt idx="2">
                  <c:v>0.40264168649438431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D-49F9-8D7B-565B3CF184BA}"/>
            </c:ext>
          </c:extLst>
        </c:ser>
        <c:ser>
          <c:idx val="4"/>
          <c:order val="4"/>
          <c:tx>
            <c:strRef>
              <c:f>graph2!$R$7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graph2!$S$7:$U$7</c:f>
              <c:numCache>
                <c:formatCode>General</c:formatCode>
                <c:ptCount val="3"/>
                <c:pt idx="0">
                  <c:v>1.0229605186006561</c:v>
                </c:pt>
                <c:pt idx="1">
                  <c:v>1.022596735701109</c:v>
                </c:pt>
                <c:pt idx="2">
                  <c:v>0.63497186215321288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1D-49F9-8D7B-565B3CF184BA}"/>
            </c:ext>
          </c:extLst>
        </c:ser>
        <c:ser>
          <c:idx val="5"/>
          <c:order val="5"/>
          <c:tx>
            <c:strRef>
              <c:f>graph2!$R$8</c:f>
              <c:strCache>
                <c:ptCount val="1"/>
                <c:pt idx="0">
                  <c:v>others : biosphere flows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graph2!$S$2:$U$2</c:f>
              <c:strCache>
                <c:ptCount val="3"/>
                <c:pt idx="0">
                  <c:v>2020 (FR ratios+background)</c:v>
                </c:pt>
                <c:pt idx="1">
                  <c:v>FR ratios 2050</c:v>
                </c:pt>
                <c:pt idx="2">
                  <c:v>FR ratios 2050 + background 2050</c:v>
                </c:pt>
              </c:strCache>
            </c:strRef>
          </c:cat>
          <c:val>
            <c:numRef>
              <c:f>graph2!$S$8:$U$8</c:f>
              <c:numCache>
                <c:formatCode>General</c:formatCode>
                <c:ptCount val="3"/>
                <c:pt idx="0">
                  <c:v>1.364999973205133</c:v>
                </c:pt>
                <c:pt idx="1">
                  <c:v>1.3650002378069459</c:v>
                </c:pt>
                <c:pt idx="2">
                  <c:v>1.3649999706833069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1D-49F9-8D7B-565B3CF18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445184"/>
        <c:axId val="1175442304"/>
      </c:barChart>
      <c:catAx>
        <c:axId val="117544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5442304"/>
        <c:crosses val="autoZero"/>
        <c:auto val="1"/>
        <c:lblAlgn val="ctr"/>
        <c:lblOffset val="100"/>
        <c:noMultiLvlLbl val="0"/>
      </c:catAx>
      <c:valAx>
        <c:axId val="11754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544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Climate change impact (gCO2eq/kWh)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 3'!$R$1</c:f>
              <c:strCache>
                <c:ptCount val="1"/>
                <c:pt idx="0">
                  <c:v>year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 3'!$Q$2:$Q$8</c:f>
              <c:strCache>
                <c:ptCount val="7"/>
                <c:pt idx="0">
                  <c:v>Nuclear, PWR</c:v>
                </c:pt>
                <c:pt idx="1">
                  <c:v>Hydro run of river</c:v>
                </c:pt>
                <c:pt idx="2">
                  <c:v>Hydro reservoir</c:v>
                </c:pt>
                <c:pt idx="3">
                  <c:v>PV</c:v>
                </c:pt>
                <c:pt idx="4">
                  <c:v>Onshore wind</c:v>
                </c:pt>
                <c:pt idx="5">
                  <c:v>Offshore wind</c:v>
                </c:pt>
                <c:pt idx="6">
                  <c:v>CHP, wood chips</c:v>
                </c:pt>
              </c:strCache>
            </c:strRef>
          </c:cat>
          <c:val>
            <c:numRef>
              <c:f>'graph 3'!$R$2:$R$8</c:f>
              <c:numCache>
                <c:formatCode>General</c:formatCode>
                <c:ptCount val="7"/>
                <c:pt idx="0">
                  <c:v>6.3796523963563772</c:v>
                </c:pt>
                <c:pt idx="1">
                  <c:v>3.9942422147153058</c:v>
                </c:pt>
                <c:pt idx="2">
                  <c:v>6.0095761416893509</c:v>
                </c:pt>
                <c:pt idx="3">
                  <c:v>35.607706492958947</c:v>
                </c:pt>
                <c:pt idx="4">
                  <c:v>14.316270040028581</c:v>
                </c:pt>
                <c:pt idx="5">
                  <c:v>14.78651256674701</c:v>
                </c:pt>
                <c:pt idx="6">
                  <c:v>50.303201232381625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E-4616-93E9-53F304BE7FBC}"/>
            </c:ext>
          </c:extLst>
        </c:ser>
        <c:ser>
          <c:idx val="1"/>
          <c:order val="1"/>
          <c:tx>
            <c:strRef>
              <c:f>'graph 3'!$Z$1</c:f>
              <c:strCache>
                <c:ptCount val="1"/>
                <c:pt idx="0">
                  <c:v>year 2050 - tiam RCP45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 3'!$Q$2:$Q$8</c:f>
              <c:strCache>
                <c:ptCount val="7"/>
                <c:pt idx="0">
                  <c:v>Nuclear, PWR</c:v>
                </c:pt>
                <c:pt idx="1">
                  <c:v>Hydro run of river</c:v>
                </c:pt>
                <c:pt idx="2">
                  <c:v>Hydro reservoir</c:v>
                </c:pt>
                <c:pt idx="3">
                  <c:v>PV</c:v>
                </c:pt>
                <c:pt idx="4">
                  <c:v>Onshore wind</c:v>
                </c:pt>
                <c:pt idx="5">
                  <c:v>Offshore wind</c:v>
                </c:pt>
                <c:pt idx="6">
                  <c:v>CHP, wood chips</c:v>
                </c:pt>
              </c:strCache>
            </c:strRef>
          </c:cat>
          <c:val>
            <c:numRef>
              <c:f>'graph 3'!$Z$2:$Z$8</c:f>
              <c:numCache>
                <c:formatCode>General</c:formatCode>
                <c:ptCount val="7"/>
                <c:pt idx="0">
                  <c:v>4.2912939789107218</c:v>
                </c:pt>
                <c:pt idx="1">
                  <c:v>2.0836576958553077</c:v>
                </c:pt>
                <c:pt idx="2">
                  <c:v>2.7533059042701322</c:v>
                </c:pt>
                <c:pt idx="3">
                  <c:v>14.97382550732903</c:v>
                </c:pt>
                <c:pt idx="4">
                  <c:v>10.55525435010205</c:v>
                </c:pt>
                <c:pt idx="5">
                  <c:v>11.2182325225374</c:v>
                </c:pt>
                <c:pt idx="6">
                  <c:v>40.984695259433657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E-4616-93E9-53F304BE7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496240"/>
        <c:axId val="1405493840"/>
      </c:barChart>
      <c:catAx>
        <c:axId val="140549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5493840"/>
        <c:crosses val="autoZero"/>
        <c:auto val="1"/>
        <c:lblAlgn val="ctr"/>
        <c:lblOffset val="100"/>
        <c:noMultiLvlLbl val="0"/>
      </c:catAx>
      <c:valAx>
        <c:axId val="14054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549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1</xdr:row>
      <xdr:rowOff>15875</xdr:rowOff>
    </xdr:from>
    <xdr:to>
      <xdr:col>20</xdr:col>
      <xdr:colOff>257175</xdr:colOff>
      <xdr:row>17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BA21D3B-3238-4AE7-8CBF-3CB076BD5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142875</xdr:colOff>
      <xdr:row>9</xdr:row>
      <xdr:rowOff>125410</xdr:rowOff>
    </xdr:from>
    <xdr:to>
      <xdr:col>22</xdr:col>
      <xdr:colOff>142875</xdr:colOff>
      <xdr:row>35</xdr:row>
      <xdr:rowOff>19049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AFA836F-8C54-4A1B-F09D-877836AFF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704850</xdr:colOff>
      <xdr:row>9</xdr:row>
      <xdr:rowOff>144461</xdr:rowOff>
    </xdr:from>
    <xdr:to>
      <xdr:col>15</xdr:col>
      <xdr:colOff>749300</xdr:colOff>
      <xdr:row>35</xdr:row>
      <xdr:rowOff>66674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3E873D6-B171-DC0C-FE86-E720CD4AE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844550</xdr:colOff>
      <xdr:row>5</xdr:row>
      <xdr:rowOff>25401</xdr:rowOff>
    </xdr:from>
    <xdr:to>
      <xdr:col>18</xdr:col>
      <xdr:colOff>638175</xdr:colOff>
      <xdr:row>26</xdr:row>
      <xdr:rowOff>14288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81DE62D-046E-4CDD-F004-2B2CEF6CB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opLeftCell="A7" workbookViewId="0">
      <selection activeCell="O30" sqref="O30"/>
    </sheetView>
  </sheetViews>
  <sheetFormatPr baseColWidth="10" defaultColWidth="8.7265625" defaultRowHeight="14.5" x14ac:dyDescent="0.35"/>
  <cols>
    <col min="8" max="8" width="57.1796875" customWidth="1"/>
  </cols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>
        <v>0</v>
      </c>
      <c r="B2" t="s">
        <v>9</v>
      </c>
      <c r="C2" t="s">
        <v>13</v>
      </c>
      <c r="D2" t="s">
        <v>14</v>
      </c>
      <c r="E2" t="s">
        <v>15</v>
      </c>
      <c r="F2" s="2">
        <v>2020</v>
      </c>
      <c r="G2" t="s">
        <v>16</v>
      </c>
      <c r="H2" t="s">
        <v>18</v>
      </c>
      <c r="I2" s="3">
        <v>5.4183852017686898E-2</v>
      </c>
      <c r="J2" t="s">
        <v>19</v>
      </c>
    </row>
    <row r="3" spans="1:10" x14ac:dyDescent="0.35">
      <c r="A3" s="1">
        <v>1</v>
      </c>
      <c r="B3" t="s">
        <v>10</v>
      </c>
      <c r="C3" t="s">
        <v>13</v>
      </c>
      <c r="D3" t="s">
        <v>14</v>
      </c>
      <c r="E3" t="s">
        <v>15</v>
      </c>
      <c r="F3" s="3">
        <v>2050</v>
      </c>
      <c r="G3" t="s">
        <v>16</v>
      </c>
      <c r="H3" t="s">
        <v>18</v>
      </c>
      <c r="I3" s="2">
        <v>1.2887550885641211E-2</v>
      </c>
      <c r="J3" t="s">
        <v>19</v>
      </c>
    </row>
    <row r="4" spans="1:10" x14ac:dyDescent="0.35">
      <c r="A4" s="1">
        <v>2</v>
      </c>
      <c r="B4" t="s">
        <v>11</v>
      </c>
      <c r="C4" t="s">
        <v>13</v>
      </c>
      <c r="D4" t="s">
        <v>14</v>
      </c>
      <c r="E4" t="s">
        <v>15</v>
      </c>
      <c r="F4" s="2">
        <v>2020</v>
      </c>
      <c r="G4" t="s">
        <v>17</v>
      </c>
      <c r="H4" t="s">
        <v>18</v>
      </c>
      <c r="I4" s="4">
        <v>3.3998340609366857E-2</v>
      </c>
      <c r="J4" t="s">
        <v>19</v>
      </c>
    </row>
    <row r="5" spans="1:10" x14ac:dyDescent="0.35">
      <c r="A5" s="1">
        <v>3</v>
      </c>
      <c r="B5" t="s">
        <v>12</v>
      </c>
      <c r="C5" t="s">
        <v>13</v>
      </c>
      <c r="D5" t="s">
        <v>14</v>
      </c>
      <c r="E5" t="s">
        <v>15</v>
      </c>
      <c r="F5" s="3">
        <v>2050</v>
      </c>
      <c r="G5" t="s">
        <v>17</v>
      </c>
      <c r="H5" t="s">
        <v>18</v>
      </c>
      <c r="I5" s="2">
        <v>1.2887550885641211E-2</v>
      </c>
      <c r="J5" t="s">
        <v>19</v>
      </c>
    </row>
    <row r="7" spans="1:10" x14ac:dyDescent="0.35">
      <c r="B7" s="1" t="s">
        <v>0</v>
      </c>
      <c r="C7" s="1" t="s">
        <v>1</v>
      </c>
      <c r="D7" s="1" t="s">
        <v>2</v>
      </c>
      <c r="E7" s="1" t="s">
        <v>3</v>
      </c>
      <c r="F7" s="1" t="s">
        <v>5</v>
      </c>
      <c r="G7" s="1" t="s">
        <v>4</v>
      </c>
      <c r="H7" s="1" t="s">
        <v>6</v>
      </c>
      <c r="I7" s="1" t="s">
        <v>7</v>
      </c>
      <c r="J7" s="1" t="s">
        <v>8</v>
      </c>
    </row>
    <row r="8" spans="1:10" x14ac:dyDescent="0.35">
      <c r="A8" s="1">
        <v>0</v>
      </c>
      <c r="B8" t="s">
        <v>9</v>
      </c>
      <c r="C8" t="s">
        <v>13</v>
      </c>
      <c r="D8" t="s">
        <v>14</v>
      </c>
      <c r="E8" t="s">
        <v>15</v>
      </c>
      <c r="F8" s="2">
        <v>2020</v>
      </c>
      <c r="G8" t="s">
        <v>16</v>
      </c>
      <c r="H8" t="s">
        <v>18</v>
      </c>
      <c r="I8" s="5">
        <v>5.4183852017686898E-2</v>
      </c>
      <c r="J8" t="s">
        <v>19</v>
      </c>
    </row>
    <row r="9" spans="1:10" x14ac:dyDescent="0.35">
      <c r="A9" s="1">
        <v>1</v>
      </c>
      <c r="B9" t="s">
        <v>9</v>
      </c>
      <c r="C9" t="s">
        <v>13</v>
      </c>
      <c r="D9" t="s">
        <v>14</v>
      </c>
      <c r="E9" t="s">
        <v>15</v>
      </c>
      <c r="F9" s="2">
        <v>2020</v>
      </c>
      <c r="G9" t="s">
        <v>16</v>
      </c>
      <c r="H9" t="s">
        <v>20</v>
      </c>
      <c r="I9" s="6">
        <v>5.2884611218055558E-2</v>
      </c>
      <c r="J9" t="s">
        <v>19</v>
      </c>
    </row>
    <row r="10" spans="1:10" x14ac:dyDescent="0.35">
      <c r="A10" s="1">
        <v>2</v>
      </c>
      <c r="B10" t="s">
        <v>9</v>
      </c>
      <c r="C10" t="s">
        <v>13</v>
      </c>
      <c r="D10" t="s">
        <v>14</v>
      </c>
      <c r="E10" t="s">
        <v>15</v>
      </c>
      <c r="F10" s="2">
        <v>2020</v>
      </c>
      <c r="G10" t="s">
        <v>16</v>
      </c>
      <c r="H10" t="s">
        <v>21</v>
      </c>
      <c r="I10" s="7">
        <v>7.8310546317653634E-2</v>
      </c>
      <c r="J10" t="s">
        <v>19</v>
      </c>
    </row>
    <row r="11" spans="1:10" x14ac:dyDescent="0.35">
      <c r="A11" s="1">
        <v>3</v>
      </c>
      <c r="B11" t="s">
        <v>9</v>
      </c>
      <c r="C11" t="s">
        <v>13</v>
      </c>
      <c r="D11" t="s">
        <v>14</v>
      </c>
      <c r="E11" t="s">
        <v>15</v>
      </c>
      <c r="F11" s="2">
        <v>2020</v>
      </c>
      <c r="G11" t="s">
        <v>16</v>
      </c>
      <c r="H11" t="s">
        <v>22</v>
      </c>
      <c r="I11" s="3">
        <v>0.28712109973103639</v>
      </c>
      <c r="J11" t="s">
        <v>19</v>
      </c>
    </row>
    <row r="12" spans="1:10" x14ac:dyDescent="0.35">
      <c r="A12" s="1">
        <v>4</v>
      </c>
      <c r="B12" t="s">
        <v>9</v>
      </c>
      <c r="C12" t="s">
        <v>13</v>
      </c>
      <c r="D12" t="s">
        <v>14</v>
      </c>
      <c r="E12" t="s">
        <v>15</v>
      </c>
      <c r="F12" s="2">
        <v>2020</v>
      </c>
      <c r="G12" t="s">
        <v>16</v>
      </c>
      <c r="H12" t="s">
        <v>23</v>
      </c>
      <c r="I12" s="6">
        <v>5.3918366552835433E-2</v>
      </c>
      <c r="J12" t="s">
        <v>19</v>
      </c>
    </row>
    <row r="13" spans="1:10" x14ac:dyDescent="0.35">
      <c r="A13" s="1">
        <v>5</v>
      </c>
      <c r="B13" t="s">
        <v>9</v>
      </c>
      <c r="C13" t="s">
        <v>13</v>
      </c>
      <c r="D13" t="s">
        <v>14</v>
      </c>
      <c r="E13" t="s">
        <v>15</v>
      </c>
      <c r="F13" s="2">
        <v>2020</v>
      </c>
      <c r="G13" t="s">
        <v>16</v>
      </c>
      <c r="H13" t="s">
        <v>24</v>
      </c>
      <c r="I13" s="8">
        <v>4.8844393457694382E-2</v>
      </c>
      <c r="J13" t="s">
        <v>19</v>
      </c>
    </row>
    <row r="14" spans="1:10" x14ac:dyDescent="0.35">
      <c r="A14" s="1">
        <v>6</v>
      </c>
      <c r="B14" t="s">
        <v>9</v>
      </c>
      <c r="C14" t="s">
        <v>13</v>
      </c>
      <c r="D14" t="s">
        <v>14</v>
      </c>
      <c r="E14" t="s">
        <v>15</v>
      </c>
      <c r="F14" s="2">
        <v>2020</v>
      </c>
      <c r="G14" t="s">
        <v>16</v>
      </c>
      <c r="H14" t="s">
        <v>25</v>
      </c>
      <c r="I14" s="9">
        <v>7.3475954066165791E-2</v>
      </c>
      <c r="J14" t="s">
        <v>19</v>
      </c>
    </row>
    <row r="15" spans="1:10" x14ac:dyDescent="0.35">
      <c r="A15" s="1">
        <v>7</v>
      </c>
      <c r="B15" t="s">
        <v>9</v>
      </c>
      <c r="C15" t="s">
        <v>13</v>
      </c>
      <c r="D15" t="s">
        <v>14</v>
      </c>
      <c r="E15" t="s">
        <v>15</v>
      </c>
      <c r="F15" s="2">
        <v>2020</v>
      </c>
      <c r="G15" t="s">
        <v>16</v>
      </c>
      <c r="H15" t="s">
        <v>26</v>
      </c>
      <c r="I15" s="10">
        <v>0.2757627050526204</v>
      </c>
      <c r="J15" t="s">
        <v>19</v>
      </c>
    </row>
    <row r="16" spans="1:10" x14ac:dyDescent="0.35">
      <c r="A16" s="1">
        <v>8</v>
      </c>
      <c r="B16" t="s">
        <v>10</v>
      </c>
      <c r="C16" t="s">
        <v>13</v>
      </c>
      <c r="D16" t="s">
        <v>14</v>
      </c>
      <c r="E16" t="s">
        <v>15</v>
      </c>
      <c r="F16" s="3">
        <v>2050</v>
      </c>
      <c r="G16" t="s">
        <v>16</v>
      </c>
      <c r="H16" t="s">
        <v>18</v>
      </c>
      <c r="I16" s="11">
        <v>1.2887550885641211E-2</v>
      </c>
      <c r="J16" t="s">
        <v>19</v>
      </c>
    </row>
    <row r="17" spans="1:10" x14ac:dyDescent="0.35">
      <c r="A17" s="1">
        <v>9</v>
      </c>
      <c r="B17" t="s">
        <v>10</v>
      </c>
      <c r="C17" t="s">
        <v>13</v>
      </c>
      <c r="D17" t="s">
        <v>14</v>
      </c>
      <c r="E17" t="s">
        <v>15</v>
      </c>
      <c r="F17" s="3">
        <v>2050</v>
      </c>
      <c r="G17" t="s">
        <v>16</v>
      </c>
      <c r="H17" t="s">
        <v>20</v>
      </c>
      <c r="I17" s="12">
        <v>1.1857105043807921E-2</v>
      </c>
      <c r="J17" t="s">
        <v>19</v>
      </c>
    </row>
    <row r="18" spans="1:10" x14ac:dyDescent="0.35">
      <c r="A18" s="1">
        <v>10</v>
      </c>
      <c r="B18" t="s">
        <v>10</v>
      </c>
      <c r="C18" t="s">
        <v>13</v>
      </c>
      <c r="D18" t="s">
        <v>14</v>
      </c>
      <c r="E18" t="s">
        <v>15</v>
      </c>
      <c r="F18" s="3">
        <v>2050</v>
      </c>
      <c r="G18" t="s">
        <v>16</v>
      </c>
      <c r="H18" t="s">
        <v>21</v>
      </c>
      <c r="I18" s="13">
        <v>3.3285021977008319E-2</v>
      </c>
      <c r="J18" t="s">
        <v>19</v>
      </c>
    </row>
    <row r="19" spans="1:10" x14ac:dyDescent="0.35">
      <c r="A19" s="1">
        <v>11</v>
      </c>
      <c r="B19" t="s">
        <v>10</v>
      </c>
      <c r="C19" t="s">
        <v>13</v>
      </c>
      <c r="D19" t="s">
        <v>14</v>
      </c>
      <c r="E19" t="s">
        <v>15</v>
      </c>
      <c r="F19" s="3">
        <v>2050</v>
      </c>
      <c r="G19" t="s">
        <v>16</v>
      </c>
      <c r="H19" t="s">
        <v>22</v>
      </c>
      <c r="I19" s="11">
        <v>1.376319308274159E-2</v>
      </c>
      <c r="J19" t="s">
        <v>19</v>
      </c>
    </row>
    <row r="20" spans="1:10" x14ac:dyDescent="0.35">
      <c r="A20" s="1">
        <v>12</v>
      </c>
      <c r="B20" t="s">
        <v>10</v>
      </c>
      <c r="C20" t="s">
        <v>13</v>
      </c>
      <c r="D20" t="s">
        <v>14</v>
      </c>
      <c r="E20" t="s">
        <v>15</v>
      </c>
      <c r="F20" s="3">
        <v>2050</v>
      </c>
      <c r="G20" t="s">
        <v>16</v>
      </c>
      <c r="H20" t="s">
        <v>23</v>
      </c>
      <c r="I20" s="12">
        <v>1.1949310435979139E-2</v>
      </c>
      <c r="J20" t="s">
        <v>19</v>
      </c>
    </row>
    <row r="21" spans="1:10" x14ac:dyDescent="0.35">
      <c r="A21" s="1">
        <v>13</v>
      </c>
      <c r="B21" t="s">
        <v>10</v>
      </c>
      <c r="C21" t="s">
        <v>13</v>
      </c>
      <c r="D21" t="s">
        <v>14</v>
      </c>
      <c r="E21" t="s">
        <v>15</v>
      </c>
      <c r="F21" s="3">
        <v>2050</v>
      </c>
      <c r="G21" t="s">
        <v>16</v>
      </c>
      <c r="H21" t="s">
        <v>24</v>
      </c>
      <c r="I21" s="2">
        <v>9.4866854098137349E-3</v>
      </c>
      <c r="J21" t="s">
        <v>19</v>
      </c>
    </row>
    <row r="22" spans="1:10" x14ac:dyDescent="0.35">
      <c r="A22" s="1">
        <v>14</v>
      </c>
      <c r="B22" t="s">
        <v>10</v>
      </c>
      <c r="C22" t="s">
        <v>13</v>
      </c>
      <c r="D22" t="s">
        <v>14</v>
      </c>
      <c r="E22" t="s">
        <v>15</v>
      </c>
      <c r="F22" s="3">
        <v>2050</v>
      </c>
      <c r="G22" t="s">
        <v>16</v>
      </c>
      <c r="H22" t="s">
        <v>25</v>
      </c>
      <c r="I22" s="14">
        <v>3.0245136675653539E-2</v>
      </c>
      <c r="J22" t="s">
        <v>19</v>
      </c>
    </row>
    <row r="23" spans="1:10" x14ac:dyDescent="0.35">
      <c r="A23" s="1">
        <v>15</v>
      </c>
      <c r="B23" t="s">
        <v>10</v>
      </c>
      <c r="C23" t="s">
        <v>13</v>
      </c>
      <c r="D23" t="s">
        <v>14</v>
      </c>
      <c r="E23" t="s">
        <v>15</v>
      </c>
      <c r="F23" s="3">
        <v>2050</v>
      </c>
      <c r="G23" t="s">
        <v>16</v>
      </c>
      <c r="H23" t="s">
        <v>26</v>
      </c>
      <c r="I23" s="15">
        <v>1.133322213981657E-2</v>
      </c>
      <c r="J23" t="s">
        <v>19</v>
      </c>
    </row>
    <row r="24" spans="1:10" x14ac:dyDescent="0.35">
      <c r="A24" s="1">
        <v>16</v>
      </c>
      <c r="B24" t="s">
        <v>11</v>
      </c>
      <c r="C24" t="s">
        <v>13</v>
      </c>
      <c r="D24" t="s">
        <v>14</v>
      </c>
      <c r="E24" t="s">
        <v>15</v>
      </c>
      <c r="F24" s="2">
        <v>2020</v>
      </c>
      <c r="G24" t="s">
        <v>17</v>
      </c>
      <c r="H24" t="s">
        <v>18</v>
      </c>
      <c r="I24" s="16">
        <v>3.3998340609366857E-2</v>
      </c>
      <c r="J24" t="s">
        <v>19</v>
      </c>
    </row>
    <row r="25" spans="1:10" x14ac:dyDescent="0.35">
      <c r="A25" s="1">
        <v>17</v>
      </c>
      <c r="B25" t="s">
        <v>11</v>
      </c>
      <c r="C25" t="s">
        <v>13</v>
      </c>
      <c r="D25" t="s">
        <v>14</v>
      </c>
      <c r="E25" t="s">
        <v>15</v>
      </c>
      <c r="F25" s="2">
        <v>2020</v>
      </c>
      <c r="G25" t="s">
        <v>17</v>
      </c>
      <c r="H25" t="s">
        <v>20</v>
      </c>
      <c r="I25" s="17">
        <v>1.9168116777269161E-2</v>
      </c>
      <c r="J25" t="s">
        <v>19</v>
      </c>
    </row>
    <row r="26" spans="1:10" x14ac:dyDescent="0.35">
      <c r="A26" s="1">
        <v>18</v>
      </c>
      <c r="B26" t="s">
        <v>11</v>
      </c>
      <c r="C26" t="s">
        <v>13</v>
      </c>
      <c r="D26" t="s">
        <v>14</v>
      </c>
      <c r="E26" t="s">
        <v>15</v>
      </c>
      <c r="F26" s="2">
        <v>2020</v>
      </c>
      <c r="G26" t="s">
        <v>17</v>
      </c>
      <c r="H26" t="s">
        <v>21</v>
      </c>
      <c r="I26" s="7">
        <v>7.8636546073672264E-2</v>
      </c>
      <c r="J26" t="s">
        <v>19</v>
      </c>
    </row>
    <row r="27" spans="1:10" x14ac:dyDescent="0.35">
      <c r="A27" s="1">
        <v>19</v>
      </c>
      <c r="B27" t="s">
        <v>11</v>
      </c>
      <c r="C27" t="s">
        <v>13</v>
      </c>
      <c r="D27" t="s">
        <v>14</v>
      </c>
      <c r="E27" t="s">
        <v>15</v>
      </c>
      <c r="F27" s="2">
        <v>2020</v>
      </c>
      <c r="G27" t="s">
        <v>17</v>
      </c>
      <c r="H27" t="s">
        <v>22</v>
      </c>
      <c r="I27" s="18">
        <v>0.28329575977030158</v>
      </c>
      <c r="J27" t="s">
        <v>19</v>
      </c>
    </row>
    <row r="28" spans="1:10" x14ac:dyDescent="0.35">
      <c r="A28" s="1">
        <v>20</v>
      </c>
      <c r="B28" t="s">
        <v>11</v>
      </c>
      <c r="C28" t="s">
        <v>13</v>
      </c>
      <c r="D28" t="s">
        <v>14</v>
      </c>
      <c r="E28" t="s">
        <v>15</v>
      </c>
      <c r="F28" s="2">
        <v>2020</v>
      </c>
      <c r="G28" t="s">
        <v>17</v>
      </c>
      <c r="H28" t="s">
        <v>23</v>
      </c>
      <c r="I28" s="19">
        <v>3.194507769041869E-2</v>
      </c>
      <c r="J28" t="s">
        <v>19</v>
      </c>
    </row>
    <row r="29" spans="1:10" x14ac:dyDescent="0.35">
      <c r="A29" s="1">
        <v>21</v>
      </c>
      <c r="B29" t="s">
        <v>11</v>
      </c>
      <c r="C29" t="s">
        <v>13</v>
      </c>
      <c r="D29" t="s">
        <v>14</v>
      </c>
      <c r="E29" t="s">
        <v>15</v>
      </c>
      <c r="F29" s="2">
        <v>2020</v>
      </c>
      <c r="G29" t="s">
        <v>17</v>
      </c>
      <c r="H29" t="s">
        <v>24</v>
      </c>
      <c r="I29" s="20">
        <v>1.618165662816164E-2</v>
      </c>
      <c r="J29" t="s">
        <v>19</v>
      </c>
    </row>
    <row r="30" spans="1:10" x14ac:dyDescent="0.35">
      <c r="A30" s="1">
        <v>22</v>
      </c>
      <c r="B30" t="s">
        <v>11</v>
      </c>
      <c r="C30" t="s">
        <v>13</v>
      </c>
      <c r="D30" t="s">
        <v>14</v>
      </c>
      <c r="E30" t="s">
        <v>15</v>
      </c>
      <c r="F30" s="2">
        <v>2020</v>
      </c>
      <c r="G30" t="s">
        <v>17</v>
      </c>
      <c r="H30" t="s">
        <v>25</v>
      </c>
      <c r="I30" s="9">
        <v>7.3792132497271054E-2</v>
      </c>
      <c r="J30" t="s">
        <v>19</v>
      </c>
    </row>
    <row r="31" spans="1:10" x14ac:dyDescent="0.35">
      <c r="A31" s="1">
        <v>23</v>
      </c>
      <c r="B31" t="s">
        <v>11</v>
      </c>
      <c r="C31" t="s">
        <v>13</v>
      </c>
      <c r="D31" t="s">
        <v>14</v>
      </c>
      <c r="E31" t="s">
        <v>15</v>
      </c>
      <c r="F31" s="2">
        <v>2020</v>
      </c>
      <c r="G31" t="s">
        <v>17</v>
      </c>
      <c r="H31" t="s">
        <v>26</v>
      </c>
      <c r="I31" s="21">
        <v>0.27205724276770071</v>
      </c>
      <c r="J31" t="s">
        <v>19</v>
      </c>
    </row>
    <row r="32" spans="1:10" x14ac:dyDescent="0.35">
      <c r="A32" s="1">
        <v>24</v>
      </c>
      <c r="B32" t="s">
        <v>12</v>
      </c>
      <c r="C32" t="s">
        <v>13</v>
      </c>
      <c r="D32" t="s">
        <v>14</v>
      </c>
      <c r="E32" t="s">
        <v>15</v>
      </c>
      <c r="F32" s="3">
        <v>2050</v>
      </c>
      <c r="G32" t="s">
        <v>17</v>
      </c>
      <c r="H32" t="s">
        <v>18</v>
      </c>
      <c r="I32" s="11">
        <v>1.2887550885641211E-2</v>
      </c>
      <c r="J32" t="s">
        <v>19</v>
      </c>
    </row>
    <row r="33" spans="1:10" x14ac:dyDescent="0.35">
      <c r="A33" s="1">
        <v>25</v>
      </c>
      <c r="B33" t="s">
        <v>12</v>
      </c>
      <c r="C33" t="s">
        <v>13</v>
      </c>
      <c r="D33" t="s">
        <v>14</v>
      </c>
      <c r="E33" t="s">
        <v>15</v>
      </c>
      <c r="F33" s="3">
        <v>2050</v>
      </c>
      <c r="G33" t="s">
        <v>17</v>
      </c>
      <c r="H33" t="s">
        <v>20</v>
      </c>
      <c r="I33" s="12">
        <v>1.1857105043807921E-2</v>
      </c>
      <c r="J33" t="s">
        <v>19</v>
      </c>
    </row>
    <row r="34" spans="1:10" x14ac:dyDescent="0.35">
      <c r="A34" s="1">
        <v>26</v>
      </c>
      <c r="B34" t="s">
        <v>12</v>
      </c>
      <c r="C34" t="s">
        <v>13</v>
      </c>
      <c r="D34" t="s">
        <v>14</v>
      </c>
      <c r="E34" t="s">
        <v>15</v>
      </c>
      <c r="F34" s="3">
        <v>2050</v>
      </c>
      <c r="G34" t="s">
        <v>17</v>
      </c>
      <c r="H34" t="s">
        <v>21</v>
      </c>
      <c r="I34" s="13">
        <v>3.3285021977008319E-2</v>
      </c>
      <c r="J34" t="s">
        <v>19</v>
      </c>
    </row>
    <row r="35" spans="1:10" x14ac:dyDescent="0.35">
      <c r="A35" s="1">
        <v>27</v>
      </c>
      <c r="B35" t="s">
        <v>12</v>
      </c>
      <c r="C35" t="s">
        <v>13</v>
      </c>
      <c r="D35" t="s">
        <v>14</v>
      </c>
      <c r="E35" t="s">
        <v>15</v>
      </c>
      <c r="F35" s="3">
        <v>2050</v>
      </c>
      <c r="G35" t="s">
        <v>17</v>
      </c>
      <c r="H35" t="s">
        <v>22</v>
      </c>
      <c r="I35" s="11">
        <v>1.376319308274159E-2</v>
      </c>
      <c r="J35" t="s">
        <v>19</v>
      </c>
    </row>
    <row r="36" spans="1:10" x14ac:dyDescent="0.35">
      <c r="A36" s="1">
        <v>28</v>
      </c>
      <c r="B36" t="s">
        <v>12</v>
      </c>
      <c r="C36" t="s">
        <v>13</v>
      </c>
      <c r="D36" t="s">
        <v>14</v>
      </c>
      <c r="E36" t="s">
        <v>15</v>
      </c>
      <c r="F36" s="3">
        <v>2050</v>
      </c>
      <c r="G36" t="s">
        <v>17</v>
      </c>
      <c r="H36" t="s">
        <v>23</v>
      </c>
      <c r="I36" s="12">
        <v>1.1949310435979139E-2</v>
      </c>
      <c r="J36" t="s">
        <v>19</v>
      </c>
    </row>
    <row r="37" spans="1:10" x14ac:dyDescent="0.35">
      <c r="A37" s="1">
        <v>29</v>
      </c>
      <c r="B37" t="s">
        <v>12</v>
      </c>
      <c r="C37" t="s">
        <v>13</v>
      </c>
      <c r="D37" t="s">
        <v>14</v>
      </c>
      <c r="E37" t="s">
        <v>15</v>
      </c>
      <c r="F37" s="3">
        <v>2050</v>
      </c>
      <c r="G37" t="s">
        <v>17</v>
      </c>
      <c r="H37" t="s">
        <v>24</v>
      </c>
      <c r="I37" s="2">
        <v>9.4866854098137349E-3</v>
      </c>
      <c r="J37" t="s">
        <v>19</v>
      </c>
    </row>
    <row r="38" spans="1:10" x14ac:dyDescent="0.35">
      <c r="A38" s="1">
        <v>30</v>
      </c>
      <c r="B38" t="s">
        <v>12</v>
      </c>
      <c r="C38" t="s">
        <v>13</v>
      </c>
      <c r="D38" t="s">
        <v>14</v>
      </c>
      <c r="E38" t="s">
        <v>15</v>
      </c>
      <c r="F38" s="3">
        <v>2050</v>
      </c>
      <c r="G38" t="s">
        <v>17</v>
      </c>
      <c r="H38" t="s">
        <v>25</v>
      </c>
      <c r="I38" s="14">
        <v>3.0245136675653539E-2</v>
      </c>
      <c r="J38" t="s">
        <v>19</v>
      </c>
    </row>
    <row r="39" spans="1:10" x14ac:dyDescent="0.35">
      <c r="A39" s="1">
        <v>31</v>
      </c>
      <c r="B39" t="s">
        <v>12</v>
      </c>
      <c r="C39" t="s">
        <v>13</v>
      </c>
      <c r="D39" t="s">
        <v>14</v>
      </c>
      <c r="E39" t="s">
        <v>15</v>
      </c>
      <c r="F39" s="3">
        <v>2050</v>
      </c>
      <c r="G39" t="s">
        <v>17</v>
      </c>
      <c r="H39" t="s">
        <v>26</v>
      </c>
      <c r="I39" s="15">
        <v>1.133322213981657E-2</v>
      </c>
      <c r="J3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0"/>
  <sheetViews>
    <sheetView topLeftCell="H64" workbookViewId="0">
      <selection activeCell="A69" sqref="A69:O90"/>
    </sheetView>
  </sheetViews>
  <sheetFormatPr baseColWidth="10" defaultColWidth="8.7265625" defaultRowHeight="14.5" x14ac:dyDescent="0.35"/>
  <cols>
    <col min="8" max="8" width="37.08984375" customWidth="1"/>
  </cols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</v>
      </c>
      <c r="J1" s="1" t="s">
        <v>28</v>
      </c>
      <c r="K1" s="1" t="s">
        <v>7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 x14ac:dyDescent="0.35">
      <c r="A2" s="1">
        <v>0</v>
      </c>
      <c r="B2" t="s">
        <v>9</v>
      </c>
      <c r="C2" t="s">
        <v>13</v>
      </c>
      <c r="D2" t="s">
        <v>14</v>
      </c>
      <c r="E2" t="s">
        <v>15</v>
      </c>
      <c r="F2">
        <v>2020</v>
      </c>
      <c r="G2" t="s">
        <v>16</v>
      </c>
      <c r="H2" t="s">
        <v>33</v>
      </c>
      <c r="I2">
        <v>0.6901754327089229</v>
      </c>
      <c r="J2" t="s">
        <v>52</v>
      </c>
      <c r="K2">
        <v>4.4030793531877792E-3</v>
      </c>
      <c r="L2" t="s">
        <v>19</v>
      </c>
      <c r="M2">
        <v>8.1261837046035582E-2</v>
      </c>
      <c r="N2">
        <v>6.379652396356377E-3</v>
      </c>
      <c r="O2">
        <v>0.11774084268268541</v>
      </c>
    </row>
    <row r="3" spans="1:15" x14ac:dyDescent="0.35">
      <c r="A3" s="1">
        <v>1</v>
      </c>
      <c r="B3" t="s">
        <v>9</v>
      </c>
      <c r="C3" t="s">
        <v>13</v>
      </c>
      <c r="D3" t="s">
        <v>14</v>
      </c>
      <c r="E3" t="s">
        <v>15</v>
      </c>
      <c r="F3">
        <v>2020</v>
      </c>
      <c r="G3" t="s">
        <v>16</v>
      </c>
      <c r="H3" t="s">
        <v>34</v>
      </c>
      <c r="I3">
        <v>8.4311417026214946E-2</v>
      </c>
      <c r="J3" t="s">
        <v>52</v>
      </c>
      <c r="K3">
        <v>3.3676022106857449E-4</v>
      </c>
      <c r="L3" t="s">
        <v>19</v>
      </c>
      <c r="M3">
        <v>6.215139908448148E-3</v>
      </c>
      <c r="N3">
        <v>3.9942422147153057E-3</v>
      </c>
      <c r="O3">
        <v>7.3716468393784373E-2</v>
      </c>
    </row>
    <row r="4" spans="1:15" x14ac:dyDescent="0.35">
      <c r="A4" s="1">
        <v>2</v>
      </c>
      <c r="B4" t="s">
        <v>9</v>
      </c>
      <c r="C4" t="s">
        <v>13</v>
      </c>
      <c r="D4" t="s">
        <v>14</v>
      </c>
      <c r="E4" t="s">
        <v>15</v>
      </c>
      <c r="F4">
        <v>2020</v>
      </c>
      <c r="G4" t="s">
        <v>16</v>
      </c>
      <c r="H4" t="s">
        <v>35</v>
      </c>
      <c r="I4">
        <v>1.6059317526220342E-2</v>
      </c>
      <c r="J4" t="s">
        <v>52</v>
      </c>
      <c r="K4">
        <v>9.6509691457387421E-5</v>
      </c>
      <c r="L4" t="s">
        <v>19</v>
      </c>
      <c r="M4">
        <v>1.7811522780972521E-3</v>
      </c>
      <c r="N4">
        <v>6.0095761416893512E-3</v>
      </c>
      <c r="O4">
        <v>0.1109108326172101</v>
      </c>
    </row>
    <row r="5" spans="1:15" x14ac:dyDescent="0.35">
      <c r="A5" s="1">
        <v>3</v>
      </c>
      <c r="B5" t="s">
        <v>9</v>
      </c>
      <c r="C5" t="s">
        <v>13</v>
      </c>
      <c r="D5" t="s">
        <v>14</v>
      </c>
      <c r="E5" t="s">
        <v>15</v>
      </c>
      <c r="F5">
        <v>2020</v>
      </c>
      <c r="G5" t="s">
        <v>16</v>
      </c>
      <c r="H5" t="s">
        <v>36</v>
      </c>
      <c r="I5">
        <v>2.6242913441980969E-2</v>
      </c>
      <c r="J5" t="s">
        <v>52</v>
      </c>
      <c r="K5">
        <v>9.3444995936218546E-4</v>
      </c>
      <c r="L5" t="s">
        <v>19</v>
      </c>
      <c r="M5">
        <v>1.724591228872319E-2</v>
      </c>
      <c r="N5">
        <v>3.5607706492958947E-2</v>
      </c>
      <c r="O5">
        <v>0.65716454565348625</v>
      </c>
    </row>
    <row r="6" spans="1:15" x14ac:dyDescent="0.35">
      <c r="A6" s="1">
        <v>4</v>
      </c>
      <c r="B6" t="s">
        <v>9</v>
      </c>
      <c r="C6" t="s">
        <v>13</v>
      </c>
      <c r="D6" t="s">
        <v>14</v>
      </c>
      <c r="E6" t="s">
        <v>15</v>
      </c>
      <c r="F6">
        <v>2020</v>
      </c>
      <c r="G6" t="s">
        <v>16</v>
      </c>
      <c r="H6" t="s">
        <v>37</v>
      </c>
      <c r="I6">
        <v>6.7703022865264903E-2</v>
      </c>
      <c r="J6" t="s">
        <v>52</v>
      </c>
      <c r="K6">
        <v>9.6925475786536195E-4</v>
      </c>
      <c r="L6" t="s">
        <v>19</v>
      </c>
      <c r="M6">
        <v>1.788825861898807E-2</v>
      </c>
      <c r="N6">
        <v>1.431627004002858E-2</v>
      </c>
      <c r="O6">
        <v>0.26421654251077259</v>
      </c>
    </row>
    <row r="7" spans="1:15" x14ac:dyDescent="0.35">
      <c r="A7" s="1">
        <v>5</v>
      </c>
      <c r="B7" t="s">
        <v>9</v>
      </c>
      <c r="C7" t="s">
        <v>13</v>
      </c>
      <c r="D7" t="s">
        <v>14</v>
      </c>
      <c r="E7" t="s">
        <v>15</v>
      </c>
      <c r="F7">
        <v>2020</v>
      </c>
      <c r="G7" t="s">
        <v>16</v>
      </c>
      <c r="H7" t="s">
        <v>38</v>
      </c>
      <c r="I7">
        <v>2.9901455401623949E-3</v>
      </c>
      <c r="J7" t="s">
        <v>52</v>
      </c>
      <c r="K7">
        <v>4.4213824606013787E-5</v>
      </c>
      <c r="L7" t="s">
        <v>19</v>
      </c>
      <c r="M7">
        <v>8.1599633395538845E-4</v>
      </c>
      <c r="N7">
        <v>1.478651256674701E-2</v>
      </c>
      <c r="O7">
        <v>0.27289518954688458</v>
      </c>
    </row>
    <row r="8" spans="1:15" x14ac:dyDescent="0.35">
      <c r="A8" s="1">
        <v>6</v>
      </c>
      <c r="B8" t="s">
        <v>9</v>
      </c>
      <c r="C8" t="s">
        <v>13</v>
      </c>
      <c r="D8" t="s">
        <v>14</v>
      </c>
      <c r="E8" t="s">
        <v>15</v>
      </c>
      <c r="F8">
        <v>2020</v>
      </c>
      <c r="G8" t="s">
        <v>16</v>
      </c>
      <c r="H8" t="s">
        <v>39</v>
      </c>
      <c r="I8">
        <v>1.775642420797759E-2</v>
      </c>
      <c r="J8" t="s">
        <v>52</v>
      </c>
      <c r="K8">
        <v>8.9320498010142936E-4</v>
      </c>
      <c r="L8" t="s">
        <v>19</v>
      </c>
      <c r="M8">
        <v>1.6484708023524541E-2</v>
      </c>
      <c r="N8">
        <v>5.0303201232381627E-2</v>
      </c>
      <c r="O8">
        <v>0.92837993902614147</v>
      </c>
    </row>
    <row r="9" spans="1:15" x14ac:dyDescent="0.35">
      <c r="A9" s="1">
        <v>7</v>
      </c>
      <c r="B9" t="s">
        <v>9</v>
      </c>
      <c r="C9" t="s">
        <v>13</v>
      </c>
      <c r="D9" t="s">
        <v>14</v>
      </c>
      <c r="E9" t="s">
        <v>15</v>
      </c>
      <c r="F9">
        <v>2020</v>
      </c>
      <c r="G9" t="s">
        <v>16</v>
      </c>
      <c r="H9" t="s">
        <v>40</v>
      </c>
      <c r="I9">
        <v>4.0309159790225674E-3</v>
      </c>
      <c r="J9" t="s">
        <v>52</v>
      </c>
      <c r="K9">
        <v>0</v>
      </c>
      <c r="L9" t="s">
        <v>19</v>
      </c>
      <c r="M9">
        <v>0</v>
      </c>
      <c r="N9">
        <v>0</v>
      </c>
      <c r="O9">
        <v>0</v>
      </c>
    </row>
    <row r="10" spans="1:15" x14ac:dyDescent="0.35">
      <c r="A10" s="1">
        <v>8</v>
      </c>
      <c r="B10" t="s">
        <v>9</v>
      </c>
      <c r="C10" t="s">
        <v>13</v>
      </c>
      <c r="D10" t="s">
        <v>14</v>
      </c>
      <c r="E10" t="s">
        <v>15</v>
      </c>
      <c r="F10">
        <v>2020</v>
      </c>
      <c r="G10" t="s">
        <v>16</v>
      </c>
      <c r="H10" t="s">
        <v>41</v>
      </c>
      <c r="I10">
        <v>6.8969167654914634E-2</v>
      </c>
      <c r="J10" t="s">
        <v>52</v>
      </c>
      <c r="K10">
        <v>3.3557241475145633E-2</v>
      </c>
      <c r="L10" t="s">
        <v>19</v>
      </c>
      <c r="M10">
        <v>0.61932181315185475</v>
      </c>
      <c r="N10">
        <v>0.4865542475885512</v>
      </c>
      <c r="O10">
        <v>8.9796909867118408</v>
      </c>
    </row>
    <row r="11" spans="1:15" x14ac:dyDescent="0.35">
      <c r="A11" s="1">
        <v>9</v>
      </c>
      <c r="B11" t="s">
        <v>9</v>
      </c>
      <c r="C11" t="s">
        <v>13</v>
      </c>
      <c r="D11" t="s">
        <v>14</v>
      </c>
      <c r="E11" t="s">
        <v>15</v>
      </c>
      <c r="F11">
        <v>2020</v>
      </c>
      <c r="G11" t="s">
        <v>16</v>
      </c>
      <c r="H11" t="s">
        <v>42</v>
      </c>
      <c r="I11">
        <v>3.8403712395952078E-3</v>
      </c>
      <c r="J11" t="s">
        <v>52</v>
      </c>
      <c r="K11">
        <v>3.8635014365845958E-3</v>
      </c>
      <c r="L11" t="s">
        <v>19</v>
      </c>
      <c r="M11">
        <v>7.1303558029123831E-2</v>
      </c>
      <c r="N11">
        <v>1.0060229065229189</v>
      </c>
      <c r="O11">
        <v>18.566839917444941</v>
      </c>
    </row>
    <row r="12" spans="1:15" x14ac:dyDescent="0.35">
      <c r="A12" s="1">
        <v>10</v>
      </c>
      <c r="B12" t="s">
        <v>9</v>
      </c>
      <c r="C12" t="s">
        <v>13</v>
      </c>
      <c r="D12" t="s">
        <v>14</v>
      </c>
      <c r="E12" t="s">
        <v>15</v>
      </c>
      <c r="F12">
        <v>2020</v>
      </c>
      <c r="G12" t="s">
        <v>16</v>
      </c>
      <c r="H12" t="s">
        <v>43</v>
      </c>
      <c r="I12">
        <v>2.6715626018654851E-3</v>
      </c>
      <c r="J12" t="s">
        <v>52</v>
      </c>
      <c r="K12">
        <v>3.0013346758360668E-3</v>
      </c>
      <c r="L12" t="s">
        <v>19</v>
      </c>
      <c r="M12">
        <v>5.5391681544832948E-2</v>
      </c>
      <c r="N12">
        <v>1.1234378987564471</v>
      </c>
      <c r="O12">
        <v>20.733813801014559</v>
      </c>
    </row>
    <row r="13" spans="1:15" x14ac:dyDescent="0.35">
      <c r="A13" s="1">
        <v>11</v>
      </c>
      <c r="B13" t="s">
        <v>9</v>
      </c>
      <c r="C13" t="s">
        <v>13</v>
      </c>
      <c r="D13" t="s">
        <v>14</v>
      </c>
      <c r="E13" t="s">
        <v>15</v>
      </c>
      <c r="F13">
        <v>2020</v>
      </c>
      <c r="G13" t="s">
        <v>16</v>
      </c>
      <c r="H13" t="s">
        <v>44</v>
      </c>
      <c r="I13">
        <v>1.084651616586327E-2</v>
      </c>
      <c r="J13" t="s">
        <v>52</v>
      </c>
      <c r="K13">
        <v>7.9580582337321652E-4</v>
      </c>
      <c r="L13" t="s">
        <v>19</v>
      </c>
      <c r="M13">
        <v>1.4687140056292909E-2</v>
      </c>
      <c r="N13">
        <v>7.3369717170368359E-2</v>
      </c>
      <c r="O13">
        <v>1.3540882465576409</v>
      </c>
    </row>
    <row r="14" spans="1:15" x14ac:dyDescent="0.35">
      <c r="A14" s="1">
        <v>12</v>
      </c>
      <c r="B14" t="s">
        <v>9</v>
      </c>
      <c r="C14" t="s">
        <v>13</v>
      </c>
      <c r="D14" t="s">
        <v>14</v>
      </c>
      <c r="E14" t="s">
        <v>15</v>
      </c>
      <c r="F14">
        <v>2020</v>
      </c>
      <c r="G14" t="s">
        <v>16</v>
      </c>
      <c r="H14" t="s">
        <v>45</v>
      </c>
      <c r="I14">
        <v>3.7531197805755272E-5</v>
      </c>
      <c r="J14" t="s">
        <v>52</v>
      </c>
      <c r="K14">
        <v>3.9099184665150633E-6</v>
      </c>
      <c r="L14" t="s">
        <v>19</v>
      </c>
      <c r="M14">
        <v>7.2160216022271225E-5</v>
      </c>
      <c r="N14">
        <v>0.1041778225877857</v>
      </c>
      <c r="O14">
        <v>1.9226728759295211</v>
      </c>
    </row>
    <row r="15" spans="1:15" x14ac:dyDescent="0.35">
      <c r="A15" s="1">
        <v>13</v>
      </c>
      <c r="B15" t="s">
        <v>9</v>
      </c>
      <c r="C15" t="s">
        <v>13</v>
      </c>
      <c r="D15" t="s">
        <v>14</v>
      </c>
      <c r="E15" t="s">
        <v>15</v>
      </c>
      <c r="F15">
        <v>2020</v>
      </c>
      <c r="G15" t="s">
        <v>16</v>
      </c>
      <c r="H15" t="s">
        <v>46</v>
      </c>
      <c r="I15">
        <v>4.3652618441889224E-3</v>
      </c>
      <c r="J15" t="s">
        <v>52</v>
      </c>
      <c r="K15">
        <v>1.2037764144165279E-3</v>
      </c>
      <c r="L15" t="s">
        <v>19</v>
      </c>
      <c r="M15">
        <v>2.221651598383198E-2</v>
      </c>
      <c r="N15">
        <v>0.2757627050526204</v>
      </c>
      <c r="O15">
        <v>5.0893890851946981</v>
      </c>
    </row>
    <row r="16" spans="1:15" x14ac:dyDescent="0.35">
      <c r="A16" s="1">
        <v>14</v>
      </c>
      <c r="B16" t="s">
        <v>9</v>
      </c>
      <c r="C16" t="s">
        <v>13</v>
      </c>
      <c r="D16" t="s">
        <v>14</v>
      </c>
      <c r="E16" t="s">
        <v>15</v>
      </c>
      <c r="F16">
        <v>2020</v>
      </c>
      <c r="G16" t="s">
        <v>16</v>
      </c>
      <c r="H16" t="s">
        <v>18</v>
      </c>
      <c r="I16">
        <v>3.1242684515255099E-2</v>
      </c>
      <c r="J16" t="s">
        <v>52</v>
      </c>
      <c r="K16">
        <v>1.692848994409862E-3</v>
      </c>
      <c r="L16" t="s">
        <v>19</v>
      </c>
      <c r="M16">
        <v>3.124268451525512E-2</v>
      </c>
      <c r="N16">
        <v>5.418385201768694E-2</v>
      </c>
      <c r="O16">
        <v>1.0000000000000011</v>
      </c>
    </row>
    <row r="17" spans="1:15" x14ac:dyDescent="0.35">
      <c r="A17" s="1">
        <v>15</v>
      </c>
      <c r="B17" t="s">
        <v>9</v>
      </c>
      <c r="C17" t="s">
        <v>13</v>
      </c>
      <c r="D17" t="s">
        <v>14</v>
      </c>
      <c r="E17" t="s">
        <v>15</v>
      </c>
      <c r="F17">
        <v>2020</v>
      </c>
      <c r="G17" t="s">
        <v>16</v>
      </c>
      <c r="H17" t="s">
        <v>47</v>
      </c>
      <c r="I17">
        <v>5.6500000000000001E-9</v>
      </c>
      <c r="J17" t="s">
        <v>53</v>
      </c>
      <c r="K17">
        <v>9.4433752134588786E-4</v>
      </c>
      <c r="L17" t="s">
        <v>19</v>
      </c>
      <c r="M17">
        <v>1.742839399896548E-2</v>
      </c>
      <c r="N17">
        <v>167139.38430900671</v>
      </c>
      <c r="O17">
        <v>3084671.5042416779</v>
      </c>
    </row>
    <row r="18" spans="1:15" x14ac:dyDescent="0.35">
      <c r="A18" s="1">
        <v>16</v>
      </c>
      <c r="B18" t="s">
        <v>9</v>
      </c>
      <c r="C18" t="s">
        <v>13</v>
      </c>
      <c r="D18" t="s">
        <v>14</v>
      </c>
      <c r="E18" t="s">
        <v>15</v>
      </c>
      <c r="F18">
        <v>2020</v>
      </c>
      <c r="G18" t="s">
        <v>16</v>
      </c>
      <c r="H18" t="s">
        <v>48</v>
      </c>
      <c r="I18">
        <v>3.8600000000000001E-10</v>
      </c>
      <c r="J18" t="s">
        <v>53</v>
      </c>
      <c r="K18">
        <v>7.7906700259422967E-5</v>
      </c>
      <c r="L18" t="s">
        <v>19</v>
      </c>
      <c r="M18">
        <v>1.437821368513858E-3</v>
      </c>
      <c r="N18">
        <v>201830.8296876243</v>
      </c>
      <c r="O18">
        <v>3724925.8251654371</v>
      </c>
    </row>
    <row r="19" spans="1:15" x14ac:dyDescent="0.35">
      <c r="A19" s="1">
        <v>17</v>
      </c>
      <c r="B19" t="s">
        <v>9</v>
      </c>
      <c r="C19" t="s">
        <v>13</v>
      </c>
      <c r="D19" t="s">
        <v>14</v>
      </c>
      <c r="E19" t="s">
        <v>15</v>
      </c>
      <c r="F19">
        <v>2020</v>
      </c>
      <c r="G19" t="s">
        <v>16</v>
      </c>
      <c r="H19" t="s">
        <v>49</v>
      </c>
      <c r="I19">
        <v>3.47E-12</v>
      </c>
      <c r="J19" t="s">
        <v>53</v>
      </c>
      <c r="K19">
        <v>7.1629699534564834E-7</v>
      </c>
      <c r="L19" t="s">
        <v>19</v>
      </c>
      <c r="M19">
        <v>1.3219750325462871E-5</v>
      </c>
      <c r="N19">
        <v>206425.6470736739</v>
      </c>
      <c r="O19">
        <v>3809726.318577196</v>
      </c>
    </row>
    <row r="20" spans="1:15" x14ac:dyDescent="0.35">
      <c r="A20" s="1">
        <v>18</v>
      </c>
      <c r="B20" t="s">
        <v>9</v>
      </c>
      <c r="C20" t="s">
        <v>13</v>
      </c>
      <c r="D20" t="s">
        <v>14</v>
      </c>
      <c r="E20" t="s">
        <v>15</v>
      </c>
      <c r="F20">
        <v>2020</v>
      </c>
      <c r="G20" t="s">
        <v>16</v>
      </c>
      <c r="H20" t="s">
        <v>50</v>
      </c>
      <c r="I20">
        <v>5.0000000000000004E-6</v>
      </c>
      <c r="J20" t="s">
        <v>54</v>
      </c>
    </row>
    <row r="21" spans="1:15" x14ac:dyDescent="0.35">
      <c r="A21" s="1">
        <v>19</v>
      </c>
      <c r="B21" t="s">
        <v>9</v>
      </c>
      <c r="C21" t="s">
        <v>13</v>
      </c>
      <c r="D21" t="s">
        <v>14</v>
      </c>
      <c r="E21" t="s">
        <v>15</v>
      </c>
      <c r="F21">
        <v>2020</v>
      </c>
      <c r="G21" t="s">
        <v>16</v>
      </c>
      <c r="H21" t="s">
        <v>51</v>
      </c>
      <c r="I21">
        <v>4.16E-6</v>
      </c>
      <c r="J21" t="s">
        <v>54</v>
      </c>
    </row>
    <row r="23" spans="1:15" x14ac:dyDescent="0.35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27</v>
      </c>
      <c r="J23" s="1" t="s">
        <v>28</v>
      </c>
      <c r="K23" s="1" t="s">
        <v>7</v>
      </c>
      <c r="L23" s="1" t="s">
        <v>29</v>
      </c>
      <c r="M23" s="1" t="s">
        <v>30</v>
      </c>
      <c r="N23" s="1" t="s">
        <v>31</v>
      </c>
      <c r="O23" s="1" t="s">
        <v>32</v>
      </c>
    </row>
    <row r="24" spans="1:15" x14ac:dyDescent="0.35">
      <c r="A24" s="1">
        <v>0</v>
      </c>
      <c r="B24" t="s">
        <v>10</v>
      </c>
      <c r="C24" t="s">
        <v>13</v>
      </c>
      <c r="D24" t="s">
        <v>14</v>
      </c>
      <c r="E24" t="s">
        <v>15</v>
      </c>
      <c r="F24">
        <v>2050</v>
      </c>
      <c r="G24" t="s">
        <v>16</v>
      </c>
      <c r="H24" t="s">
        <v>33</v>
      </c>
      <c r="I24">
        <v>0.1238413121453323</v>
      </c>
      <c r="J24" t="s">
        <v>52</v>
      </c>
      <c r="K24">
        <v>5.3143947714966763E-4</v>
      </c>
      <c r="L24" t="s">
        <v>19</v>
      </c>
      <c r="M24">
        <v>4.1236654028794263E-2</v>
      </c>
      <c r="N24">
        <v>4.2912939789107214E-3</v>
      </c>
      <c r="O24">
        <v>0.33297978933234768</v>
      </c>
    </row>
    <row r="25" spans="1:15" x14ac:dyDescent="0.35">
      <c r="A25" s="1">
        <v>1</v>
      </c>
      <c r="B25" t="s">
        <v>10</v>
      </c>
      <c r="C25" t="s">
        <v>13</v>
      </c>
      <c r="D25" t="s">
        <v>14</v>
      </c>
      <c r="E25" t="s">
        <v>15</v>
      </c>
      <c r="F25">
        <v>2050</v>
      </c>
      <c r="G25" t="s">
        <v>16</v>
      </c>
      <c r="H25" t="s">
        <v>55</v>
      </c>
      <c r="I25">
        <v>0.1200885451119403</v>
      </c>
      <c r="J25" t="s">
        <v>52</v>
      </c>
      <c r="K25">
        <v>3.8453227004382149E-4</v>
      </c>
      <c r="L25" t="s">
        <v>19</v>
      </c>
      <c r="M25">
        <v>2.9837497710465059E-2</v>
      </c>
      <c r="N25">
        <v>3.2020728512064198E-3</v>
      </c>
      <c r="O25">
        <v>0.24846247976984059</v>
      </c>
    </row>
    <row r="26" spans="1:15" x14ac:dyDescent="0.35">
      <c r="A26" s="1">
        <v>2</v>
      </c>
      <c r="B26" t="s">
        <v>10</v>
      </c>
      <c r="C26" t="s">
        <v>13</v>
      </c>
      <c r="D26" t="s">
        <v>14</v>
      </c>
      <c r="E26" t="s">
        <v>15</v>
      </c>
      <c r="F26">
        <v>2050</v>
      </c>
      <c r="G26" t="s">
        <v>16</v>
      </c>
      <c r="H26" t="s">
        <v>34</v>
      </c>
      <c r="I26">
        <v>7.0702130932249987E-2</v>
      </c>
      <c r="J26" t="s">
        <v>52</v>
      </c>
      <c r="K26">
        <v>1.473190392303524E-4</v>
      </c>
      <c r="L26" t="s">
        <v>19</v>
      </c>
      <c r="M26">
        <v>1.1431112128099479E-2</v>
      </c>
      <c r="N26">
        <v>2.0836576958553092E-3</v>
      </c>
      <c r="O26">
        <v>0.1616798811771783</v>
      </c>
    </row>
    <row r="27" spans="1:15" x14ac:dyDescent="0.35">
      <c r="A27" s="1">
        <v>3</v>
      </c>
      <c r="B27" t="s">
        <v>10</v>
      </c>
      <c r="C27" t="s">
        <v>13</v>
      </c>
      <c r="D27" t="s">
        <v>14</v>
      </c>
      <c r="E27" t="s">
        <v>15</v>
      </c>
      <c r="F27">
        <v>2050</v>
      </c>
      <c r="G27" t="s">
        <v>16</v>
      </c>
      <c r="H27" t="s">
        <v>35</v>
      </c>
      <c r="I27">
        <v>1.346707255845492E-2</v>
      </c>
      <c r="J27" t="s">
        <v>52</v>
      </c>
      <c r="K27">
        <v>3.7078970388428201E-5</v>
      </c>
      <c r="L27" t="s">
        <v>19</v>
      </c>
      <c r="M27">
        <v>2.8771153431285459E-3</v>
      </c>
      <c r="N27">
        <v>2.753305904270132E-3</v>
      </c>
      <c r="O27">
        <v>0.21364073971089059</v>
      </c>
    </row>
    <row r="28" spans="1:15" x14ac:dyDescent="0.35">
      <c r="A28" s="1">
        <v>4</v>
      </c>
      <c r="B28" t="s">
        <v>10</v>
      </c>
      <c r="C28" t="s">
        <v>13</v>
      </c>
      <c r="D28" t="s">
        <v>14</v>
      </c>
      <c r="E28" t="s">
        <v>15</v>
      </c>
      <c r="F28">
        <v>2050</v>
      </c>
      <c r="G28" t="s">
        <v>16</v>
      </c>
      <c r="H28" t="s">
        <v>36</v>
      </c>
      <c r="I28">
        <v>0.19353555708011469</v>
      </c>
      <c r="J28" t="s">
        <v>52</v>
      </c>
      <c r="K28">
        <v>2.8979676611813549E-3</v>
      </c>
      <c r="L28" t="s">
        <v>19</v>
      </c>
      <c r="M28">
        <v>0.22486566197850311</v>
      </c>
      <c r="N28">
        <v>1.4973825507329031E-2</v>
      </c>
      <c r="O28">
        <v>1.161882939605869</v>
      </c>
    </row>
    <row r="29" spans="1:15" x14ac:dyDescent="0.35">
      <c r="A29" s="1">
        <v>5</v>
      </c>
      <c r="B29" t="s">
        <v>10</v>
      </c>
      <c r="C29" t="s">
        <v>13</v>
      </c>
      <c r="D29" t="s">
        <v>14</v>
      </c>
      <c r="E29" t="s">
        <v>15</v>
      </c>
      <c r="F29">
        <v>2050</v>
      </c>
      <c r="G29" t="s">
        <v>16</v>
      </c>
      <c r="H29" t="s">
        <v>37</v>
      </c>
      <c r="I29">
        <v>0.1572141332383965</v>
      </c>
      <c r="J29" t="s">
        <v>52</v>
      </c>
      <c r="K29">
        <v>1.6594351637621071E-3</v>
      </c>
      <c r="L29" t="s">
        <v>19</v>
      </c>
      <c r="M29">
        <v>0.12876264687427799</v>
      </c>
      <c r="N29">
        <v>1.055525435010205E-2</v>
      </c>
      <c r="O29">
        <v>0.81902717155222149</v>
      </c>
    </row>
    <row r="30" spans="1:15" x14ac:dyDescent="0.35">
      <c r="A30" s="1">
        <v>6</v>
      </c>
      <c r="B30" t="s">
        <v>10</v>
      </c>
      <c r="C30" t="s">
        <v>13</v>
      </c>
      <c r="D30" t="s">
        <v>14</v>
      </c>
      <c r="E30" t="s">
        <v>15</v>
      </c>
      <c r="F30">
        <v>2050</v>
      </c>
      <c r="G30" t="s">
        <v>16</v>
      </c>
      <c r="H30" t="s">
        <v>38</v>
      </c>
      <c r="I30">
        <v>0.21471188530380569</v>
      </c>
      <c r="J30" t="s">
        <v>52</v>
      </c>
      <c r="K30">
        <v>2.408687854690473E-3</v>
      </c>
      <c r="L30" t="s">
        <v>19</v>
      </c>
      <c r="M30">
        <v>0.18690035648077519</v>
      </c>
      <c r="N30">
        <v>1.12182325225374E-2</v>
      </c>
      <c r="O30">
        <v>0.87047047356657192</v>
      </c>
    </row>
    <row r="31" spans="1:15" x14ac:dyDescent="0.35">
      <c r="A31" s="1">
        <v>7</v>
      </c>
      <c r="B31" t="s">
        <v>10</v>
      </c>
      <c r="C31" t="s">
        <v>13</v>
      </c>
      <c r="D31" t="s">
        <v>14</v>
      </c>
      <c r="E31" t="s">
        <v>15</v>
      </c>
      <c r="F31">
        <v>2050</v>
      </c>
      <c r="G31" t="s">
        <v>16</v>
      </c>
      <c r="H31" t="s">
        <v>39</v>
      </c>
      <c r="I31">
        <v>1.313468462121163E-2</v>
      </c>
      <c r="J31" t="s">
        <v>52</v>
      </c>
      <c r="K31">
        <v>5.3832104652912845E-4</v>
      </c>
      <c r="L31" t="s">
        <v>19</v>
      </c>
      <c r="M31">
        <v>4.1770624326217337E-2</v>
      </c>
      <c r="N31">
        <v>4.098469525943365E-2</v>
      </c>
      <c r="O31">
        <v>3.1801771820817519</v>
      </c>
    </row>
    <row r="32" spans="1:15" x14ac:dyDescent="0.35">
      <c r="A32" s="1">
        <v>8</v>
      </c>
      <c r="B32" t="s">
        <v>10</v>
      </c>
      <c r="C32" t="s">
        <v>13</v>
      </c>
      <c r="D32" t="s">
        <v>14</v>
      </c>
      <c r="E32" t="s">
        <v>15</v>
      </c>
      <c r="F32">
        <v>2050</v>
      </c>
      <c r="G32" t="s">
        <v>16</v>
      </c>
      <c r="H32" t="s">
        <v>40</v>
      </c>
      <c r="I32">
        <v>2.412493094341404E-3</v>
      </c>
      <c r="J32" t="s">
        <v>52</v>
      </c>
      <c r="K32">
        <v>0</v>
      </c>
      <c r="L32" t="s">
        <v>19</v>
      </c>
      <c r="M32">
        <v>0</v>
      </c>
      <c r="N32">
        <v>0</v>
      </c>
      <c r="O32">
        <v>0</v>
      </c>
    </row>
    <row r="33" spans="1:15" x14ac:dyDescent="0.35">
      <c r="A33" s="1">
        <v>9</v>
      </c>
      <c r="B33" t="s">
        <v>10</v>
      </c>
      <c r="C33" t="s">
        <v>13</v>
      </c>
      <c r="D33" t="s">
        <v>14</v>
      </c>
      <c r="E33" t="s">
        <v>15</v>
      </c>
      <c r="F33">
        <v>2050</v>
      </c>
      <c r="G33" t="s">
        <v>16</v>
      </c>
      <c r="H33" t="s">
        <v>41</v>
      </c>
      <c r="I33">
        <v>6.7013697097184535E-4</v>
      </c>
      <c r="J33" t="s">
        <v>52</v>
      </c>
      <c r="K33">
        <v>2.5995649751585341E-5</v>
      </c>
      <c r="L33" t="s">
        <v>19</v>
      </c>
      <c r="M33">
        <v>2.0171132577679008E-3</v>
      </c>
      <c r="N33">
        <v>3.8791546918961889E-2</v>
      </c>
      <c r="O33">
        <v>3.0100014551393062</v>
      </c>
    </row>
    <row r="34" spans="1:15" x14ac:dyDescent="0.35">
      <c r="A34" s="1">
        <v>10</v>
      </c>
      <c r="B34" t="s">
        <v>10</v>
      </c>
      <c r="C34" t="s">
        <v>13</v>
      </c>
      <c r="D34" t="s">
        <v>14</v>
      </c>
      <c r="E34" t="s">
        <v>15</v>
      </c>
      <c r="F34">
        <v>2050</v>
      </c>
      <c r="G34" t="s">
        <v>16</v>
      </c>
      <c r="H34" t="s">
        <v>44</v>
      </c>
      <c r="I34">
        <v>2.1842904673904678E-2</v>
      </c>
      <c r="J34" t="s">
        <v>52</v>
      </c>
      <c r="K34">
        <v>3.6834040474158339E-4</v>
      </c>
      <c r="L34" t="s">
        <v>19</v>
      </c>
      <c r="M34">
        <v>2.8581101871882689E-2</v>
      </c>
      <c r="N34">
        <v>1.6863160382768739E-2</v>
      </c>
      <c r="O34">
        <v>1.308484484942519</v>
      </c>
    </row>
    <row r="35" spans="1:15" x14ac:dyDescent="0.35">
      <c r="A35" s="1">
        <v>11</v>
      </c>
      <c r="B35" t="s">
        <v>10</v>
      </c>
      <c r="C35" t="s">
        <v>13</v>
      </c>
      <c r="D35" t="s">
        <v>14</v>
      </c>
      <c r="E35" t="s">
        <v>15</v>
      </c>
      <c r="F35">
        <v>2050</v>
      </c>
      <c r="G35" t="s">
        <v>16</v>
      </c>
      <c r="H35" t="s">
        <v>56</v>
      </c>
      <c r="I35">
        <v>8.2453348769044171E-3</v>
      </c>
      <c r="J35" t="s">
        <v>52</v>
      </c>
      <c r="K35">
        <v>4.664128154509144E-4</v>
      </c>
      <c r="L35" t="s">
        <v>19</v>
      </c>
      <c r="M35">
        <v>3.6190958203747833E-2</v>
      </c>
      <c r="N35">
        <v>5.6566873561116282E-2</v>
      </c>
      <c r="O35">
        <v>4.3892648078030723</v>
      </c>
    </row>
    <row r="36" spans="1:15" x14ac:dyDescent="0.35">
      <c r="A36" s="1">
        <v>12</v>
      </c>
      <c r="B36" t="s">
        <v>10</v>
      </c>
      <c r="C36" t="s">
        <v>13</v>
      </c>
      <c r="D36" t="s">
        <v>14</v>
      </c>
      <c r="E36" t="s">
        <v>15</v>
      </c>
      <c r="F36">
        <v>2050</v>
      </c>
      <c r="G36" t="s">
        <v>16</v>
      </c>
      <c r="H36" t="s">
        <v>57</v>
      </c>
      <c r="I36">
        <v>2.748444958968138E-3</v>
      </c>
      <c r="J36" t="s">
        <v>52</v>
      </c>
      <c r="K36">
        <v>5.9707758276490009E-5</v>
      </c>
      <c r="L36" t="s">
        <v>19</v>
      </c>
      <c r="M36">
        <v>4.6329794393296236E-3</v>
      </c>
      <c r="N36">
        <v>2.1724196470322029E-2</v>
      </c>
      <c r="O36">
        <v>1.685672992727133</v>
      </c>
    </row>
    <row r="37" spans="1:15" x14ac:dyDescent="0.35">
      <c r="A37" s="1">
        <v>13</v>
      </c>
      <c r="B37" t="s">
        <v>10</v>
      </c>
      <c r="C37" t="s">
        <v>13</v>
      </c>
      <c r="D37" t="s">
        <v>14</v>
      </c>
      <c r="E37" t="s">
        <v>15</v>
      </c>
      <c r="F37">
        <v>2050</v>
      </c>
      <c r="G37" t="s">
        <v>16</v>
      </c>
      <c r="H37" t="s">
        <v>45</v>
      </c>
      <c r="I37">
        <v>1.113843483371298E-2</v>
      </c>
      <c r="J37" t="s">
        <v>52</v>
      </c>
      <c r="K37">
        <v>4.3557252867663021E-4</v>
      </c>
      <c r="L37" t="s">
        <v>19</v>
      </c>
      <c r="M37">
        <v>3.3797928911530252E-2</v>
      </c>
      <c r="N37">
        <v>3.910536221465083E-2</v>
      </c>
      <c r="O37">
        <v>3.0343517214136049</v>
      </c>
    </row>
    <row r="38" spans="1:15" x14ac:dyDescent="0.35">
      <c r="A38" s="1">
        <v>14</v>
      </c>
      <c r="B38" t="s">
        <v>10</v>
      </c>
      <c r="C38" t="s">
        <v>13</v>
      </c>
      <c r="D38" t="s">
        <v>14</v>
      </c>
      <c r="E38" t="s">
        <v>15</v>
      </c>
      <c r="F38">
        <v>2050</v>
      </c>
      <c r="G38" t="s">
        <v>16</v>
      </c>
      <c r="H38" t="s">
        <v>46</v>
      </c>
      <c r="I38">
        <v>4.6246929599690588E-2</v>
      </c>
      <c r="J38" t="s">
        <v>52</v>
      </c>
      <c r="K38">
        <v>5.241267264377527E-4</v>
      </c>
      <c r="L38" t="s">
        <v>19</v>
      </c>
      <c r="M38">
        <v>4.0669226534089858E-2</v>
      </c>
      <c r="N38">
        <v>1.1333222139816589E-2</v>
      </c>
      <c r="O38">
        <v>0.87939300805738141</v>
      </c>
    </row>
    <row r="39" spans="1:15" x14ac:dyDescent="0.35">
      <c r="A39" s="1">
        <v>15</v>
      </c>
      <c r="B39" t="s">
        <v>10</v>
      </c>
      <c r="C39" t="s">
        <v>13</v>
      </c>
      <c r="D39" t="s">
        <v>14</v>
      </c>
      <c r="E39" t="s">
        <v>15</v>
      </c>
      <c r="F39">
        <v>2050</v>
      </c>
      <c r="G39" t="s">
        <v>16</v>
      </c>
      <c r="H39" t="s">
        <v>18</v>
      </c>
      <c r="I39">
        <v>3.1242684515255099E-2</v>
      </c>
      <c r="J39" t="s">
        <v>52</v>
      </c>
      <c r="K39">
        <v>4.0264168649438431E-4</v>
      </c>
      <c r="L39" t="s">
        <v>19</v>
      </c>
      <c r="M39">
        <v>3.1242684515255061E-2</v>
      </c>
      <c r="N39">
        <v>1.288755088564119E-2</v>
      </c>
      <c r="O39">
        <v>0.99999999999999878</v>
      </c>
    </row>
    <row r="40" spans="1:15" x14ac:dyDescent="0.35">
      <c r="A40" s="1">
        <v>16</v>
      </c>
      <c r="B40" t="s">
        <v>10</v>
      </c>
      <c r="C40" t="s">
        <v>13</v>
      </c>
      <c r="D40" t="s">
        <v>14</v>
      </c>
      <c r="E40" t="s">
        <v>15</v>
      </c>
      <c r="F40">
        <v>2050</v>
      </c>
      <c r="G40" t="s">
        <v>16</v>
      </c>
      <c r="H40" t="s">
        <v>47</v>
      </c>
      <c r="I40">
        <v>5.6500000000000001E-9</v>
      </c>
      <c r="J40" t="s">
        <v>53</v>
      </c>
      <c r="K40">
        <v>5.7973313801164901E-4</v>
      </c>
      <c r="L40" t="s">
        <v>19</v>
      </c>
      <c r="M40">
        <v>4.4983965002812473E-2</v>
      </c>
      <c r="N40">
        <v>102607.6350463096</v>
      </c>
      <c r="O40">
        <v>7961763.717311942</v>
      </c>
    </row>
    <row r="41" spans="1:15" x14ac:dyDescent="0.35">
      <c r="A41" s="1">
        <v>17</v>
      </c>
      <c r="B41" t="s">
        <v>10</v>
      </c>
      <c r="C41" t="s">
        <v>13</v>
      </c>
      <c r="D41" t="s">
        <v>14</v>
      </c>
      <c r="E41" t="s">
        <v>15</v>
      </c>
      <c r="F41">
        <v>2050</v>
      </c>
      <c r="G41" t="s">
        <v>16</v>
      </c>
      <c r="H41" t="s">
        <v>48</v>
      </c>
      <c r="I41">
        <v>3.8600000000000001E-10</v>
      </c>
      <c r="J41" t="s">
        <v>53</v>
      </c>
      <c r="K41">
        <v>5.489593141257487E-5</v>
      </c>
      <c r="L41" t="s">
        <v>19</v>
      </c>
      <c r="M41">
        <v>4.2596092849369631E-3</v>
      </c>
      <c r="N41">
        <v>142217.43889268101</v>
      </c>
      <c r="O41">
        <v>11035257.2148626</v>
      </c>
    </row>
    <row r="42" spans="1:15" x14ac:dyDescent="0.35">
      <c r="A42" s="1">
        <v>18</v>
      </c>
      <c r="B42" t="s">
        <v>10</v>
      </c>
      <c r="C42" t="s">
        <v>13</v>
      </c>
      <c r="D42" t="s">
        <v>14</v>
      </c>
      <c r="E42" t="s">
        <v>15</v>
      </c>
      <c r="F42">
        <v>2050</v>
      </c>
      <c r="G42" t="s">
        <v>16</v>
      </c>
      <c r="H42" t="s">
        <v>49</v>
      </c>
      <c r="I42">
        <v>3.47E-12</v>
      </c>
      <c r="J42" t="s">
        <v>53</v>
      </c>
      <c r="K42">
        <v>3.427927289889403E-7</v>
      </c>
      <c r="L42" t="s">
        <v>19</v>
      </c>
      <c r="M42">
        <v>2.6598748825959331E-5</v>
      </c>
      <c r="N42">
        <v>98787.529967994327</v>
      </c>
      <c r="O42">
        <v>7665345.4829853997</v>
      </c>
    </row>
    <row r="43" spans="1:15" x14ac:dyDescent="0.35">
      <c r="A43" s="1">
        <v>19</v>
      </c>
      <c r="B43" t="s">
        <v>10</v>
      </c>
      <c r="C43" t="s">
        <v>13</v>
      </c>
      <c r="D43" t="s">
        <v>14</v>
      </c>
      <c r="E43" t="s">
        <v>15</v>
      </c>
      <c r="F43">
        <v>2050</v>
      </c>
      <c r="G43" t="s">
        <v>16</v>
      </c>
      <c r="H43" t="s">
        <v>50</v>
      </c>
      <c r="I43">
        <v>5.0000000000000004E-6</v>
      </c>
      <c r="J43" t="s">
        <v>54</v>
      </c>
    </row>
    <row r="44" spans="1:15" x14ac:dyDescent="0.35">
      <c r="A44" s="1">
        <v>20</v>
      </c>
      <c r="B44" t="s">
        <v>10</v>
      </c>
      <c r="C44" t="s">
        <v>13</v>
      </c>
      <c r="D44" t="s">
        <v>14</v>
      </c>
      <c r="E44" t="s">
        <v>15</v>
      </c>
      <c r="F44">
        <v>2050</v>
      </c>
      <c r="G44" t="s">
        <v>16</v>
      </c>
      <c r="H44" t="s">
        <v>51</v>
      </c>
      <c r="I44">
        <v>4.16E-6</v>
      </c>
      <c r="J44" t="s">
        <v>54</v>
      </c>
    </row>
    <row r="46" spans="1:15" x14ac:dyDescent="0.35">
      <c r="B46" s="1" t="s">
        <v>0</v>
      </c>
      <c r="C46" s="1" t="s">
        <v>1</v>
      </c>
      <c r="D46" s="1" t="s">
        <v>2</v>
      </c>
      <c r="E46" s="1" t="s">
        <v>3</v>
      </c>
      <c r="F46" s="1" t="s">
        <v>4</v>
      </c>
      <c r="G46" s="1" t="s">
        <v>5</v>
      </c>
      <c r="H46" s="1" t="s">
        <v>6</v>
      </c>
      <c r="I46" s="1" t="s">
        <v>27</v>
      </c>
      <c r="J46" s="1" t="s">
        <v>28</v>
      </c>
      <c r="K46" s="1" t="s">
        <v>7</v>
      </c>
      <c r="L46" s="1" t="s">
        <v>29</v>
      </c>
      <c r="M46" s="1" t="s">
        <v>30</v>
      </c>
      <c r="N46" s="1" t="s">
        <v>31</v>
      </c>
      <c r="O46" s="1" t="s">
        <v>32</v>
      </c>
    </row>
    <row r="47" spans="1:15" x14ac:dyDescent="0.35">
      <c r="A47" s="1">
        <v>0</v>
      </c>
      <c r="B47" t="s">
        <v>11</v>
      </c>
      <c r="C47" t="s">
        <v>13</v>
      </c>
      <c r="D47" t="s">
        <v>14</v>
      </c>
      <c r="E47" t="s">
        <v>15</v>
      </c>
      <c r="F47">
        <v>2020</v>
      </c>
      <c r="G47" t="s">
        <v>17</v>
      </c>
      <c r="H47" t="s">
        <v>33</v>
      </c>
      <c r="I47">
        <v>0.1238413121453323</v>
      </c>
      <c r="J47" t="s">
        <v>52</v>
      </c>
      <c r="K47">
        <v>7.880809454380199E-4</v>
      </c>
      <c r="L47" t="s">
        <v>19</v>
      </c>
      <c r="M47">
        <v>2.3179982649532489E-2</v>
      </c>
      <c r="N47">
        <v>6.36363529896371E-3</v>
      </c>
      <c r="O47">
        <v>0.18717487927073909</v>
      </c>
    </row>
    <row r="48" spans="1:15" x14ac:dyDescent="0.35">
      <c r="A48" s="1">
        <v>1</v>
      </c>
      <c r="B48" t="s">
        <v>11</v>
      </c>
      <c r="C48" t="s">
        <v>13</v>
      </c>
      <c r="D48" t="s">
        <v>14</v>
      </c>
      <c r="E48" t="s">
        <v>15</v>
      </c>
      <c r="F48">
        <v>2020</v>
      </c>
      <c r="G48" t="s">
        <v>17</v>
      </c>
      <c r="H48" t="s">
        <v>55</v>
      </c>
      <c r="I48">
        <v>0.1200885451119403</v>
      </c>
      <c r="J48" t="s">
        <v>52</v>
      </c>
      <c r="K48">
        <v>5.6717675235766669E-4</v>
      </c>
      <c r="L48" t="s">
        <v>19</v>
      </c>
      <c r="M48">
        <v>1.6682483385715721E-2</v>
      </c>
      <c r="N48">
        <v>4.7229879571692203E-3</v>
      </c>
      <c r="O48">
        <v>0.13891819049156751</v>
      </c>
    </row>
    <row r="49" spans="1:15" x14ac:dyDescent="0.35">
      <c r="A49" s="1">
        <v>2</v>
      </c>
      <c r="B49" t="s">
        <v>11</v>
      </c>
      <c r="C49" t="s">
        <v>13</v>
      </c>
      <c r="D49" t="s">
        <v>14</v>
      </c>
      <c r="E49" t="s">
        <v>15</v>
      </c>
      <c r="F49">
        <v>2020</v>
      </c>
      <c r="G49" t="s">
        <v>17</v>
      </c>
      <c r="H49" t="s">
        <v>34</v>
      </c>
      <c r="I49">
        <v>7.0702130932249974E-2</v>
      </c>
      <c r="J49" t="s">
        <v>52</v>
      </c>
      <c r="K49">
        <v>2.8215169850723861E-4</v>
      </c>
      <c r="L49" t="s">
        <v>19</v>
      </c>
      <c r="M49">
        <v>8.2989844048301335E-3</v>
      </c>
      <c r="N49">
        <v>3.9907099656955082E-3</v>
      </c>
      <c r="O49">
        <v>0.1173795513006899</v>
      </c>
    </row>
    <row r="50" spans="1:15" x14ac:dyDescent="0.35">
      <c r="A50" s="1">
        <v>3</v>
      </c>
      <c r="B50" t="s">
        <v>11</v>
      </c>
      <c r="C50" t="s">
        <v>13</v>
      </c>
      <c r="D50" t="s">
        <v>14</v>
      </c>
      <c r="E50" t="s">
        <v>15</v>
      </c>
      <c r="F50">
        <v>2020</v>
      </c>
      <c r="G50" t="s">
        <v>17</v>
      </c>
      <c r="H50" t="s">
        <v>35</v>
      </c>
      <c r="I50">
        <v>1.346707255845492E-2</v>
      </c>
      <c r="J50" t="s">
        <v>52</v>
      </c>
      <c r="K50">
        <v>8.0834216461609968E-5</v>
      </c>
      <c r="L50" t="s">
        <v>19</v>
      </c>
      <c r="M50">
        <v>2.3775929946221958E-3</v>
      </c>
      <c r="N50">
        <v>6.0023599123523322E-3</v>
      </c>
      <c r="O50">
        <v>0.17654861398437269</v>
      </c>
    </row>
    <row r="51" spans="1:15" x14ac:dyDescent="0.35">
      <c r="A51" s="1">
        <v>4</v>
      </c>
      <c r="B51" t="s">
        <v>11</v>
      </c>
      <c r="C51" t="s">
        <v>13</v>
      </c>
      <c r="D51" t="s">
        <v>14</v>
      </c>
      <c r="E51" t="s">
        <v>15</v>
      </c>
      <c r="F51">
        <v>2020</v>
      </c>
      <c r="G51" t="s">
        <v>17</v>
      </c>
      <c r="H51" t="s">
        <v>36</v>
      </c>
      <c r="I51">
        <v>0.19353555708011461</v>
      </c>
      <c r="J51" t="s">
        <v>52</v>
      </c>
      <c r="K51">
        <v>6.885219406477512E-3</v>
      </c>
      <c r="L51" t="s">
        <v>19</v>
      </c>
      <c r="M51">
        <v>0.2025163370644204</v>
      </c>
      <c r="N51">
        <v>3.5575991876404159E-2</v>
      </c>
      <c r="O51">
        <v>1.0464037726183211</v>
      </c>
    </row>
    <row r="52" spans="1:15" x14ac:dyDescent="0.35">
      <c r="A52" s="1">
        <v>5</v>
      </c>
      <c r="B52" t="s">
        <v>11</v>
      </c>
      <c r="C52" t="s">
        <v>13</v>
      </c>
      <c r="D52" t="s">
        <v>14</v>
      </c>
      <c r="E52" t="s">
        <v>15</v>
      </c>
      <c r="F52">
        <v>2020</v>
      </c>
      <c r="G52" t="s">
        <v>17</v>
      </c>
      <c r="H52" t="s">
        <v>37</v>
      </c>
      <c r="I52">
        <v>0.1572141332383965</v>
      </c>
      <c r="J52" t="s">
        <v>52</v>
      </c>
      <c r="K52">
        <v>2.2499876579618432E-3</v>
      </c>
      <c r="L52" t="s">
        <v>19</v>
      </c>
      <c r="M52">
        <v>6.6179337509841576E-2</v>
      </c>
      <c r="N52">
        <v>1.431161188638177E-2</v>
      </c>
      <c r="O52">
        <v>0.42095030609931561</v>
      </c>
    </row>
    <row r="53" spans="1:15" x14ac:dyDescent="0.35">
      <c r="A53" s="1">
        <v>6</v>
      </c>
      <c r="B53" t="s">
        <v>11</v>
      </c>
      <c r="C53" t="s">
        <v>13</v>
      </c>
      <c r="D53" t="s">
        <v>14</v>
      </c>
      <c r="E53" t="s">
        <v>15</v>
      </c>
      <c r="F53">
        <v>2020</v>
      </c>
      <c r="G53" t="s">
        <v>17</v>
      </c>
      <c r="H53" t="s">
        <v>38</v>
      </c>
      <c r="I53">
        <v>0.21471188530380569</v>
      </c>
      <c r="J53" t="s">
        <v>52</v>
      </c>
      <c r="K53">
        <v>3.1736716893372451E-3</v>
      </c>
      <c r="L53" t="s">
        <v>19</v>
      </c>
      <c r="M53">
        <v>9.3347840878530056E-2</v>
      </c>
      <c r="N53">
        <v>1.478107131725228E-2</v>
      </c>
      <c r="O53">
        <v>0.43475861034170471</v>
      </c>
    </row>
    <row r="54" spans="1:15" x14ac:dyDescent="0.35">
      <c r="A54" s="1">
        <v>7</v>
      </c>
      <c r="B54" t="s">
        <v>11</v>
      </c>
      <c r="C54" t="s">
        <v>13</v>
      </c>
      <c r="D54" t="s">
        <v>14</v>
      </c>
      <c r="E54" t="s">
        <v>15</v>
      </c>
      <c r="F54">
        <v>2020</v>
      </c>
      <c r="G54" t="s">
        <v>17</v>
      </c>
      <c r="H54" t="s">
        <v>39</v>
      </c>
      <c r="I54">
        <v>1.313468462121163E-2</v>
      </c>
      <c r="J54" t="s">
        <v>52</v>
      </c>
      <c r="K54">
        <v>6.6062339466271304E-4</v>
      </c>
      <c r="L54" t="s">
        <v>19</v>
      </c>
      <c r="M54">
        <v>1.9431048187119611E-2</v>
      </c>
      <c r="N54">
        <v>5.0296098742702272E-2</v>
      </c>
      <c r="O54">
        <v>1.479369223356896</v>
      </c>
    </row>
    <row r="55" spans="1:15" x14ac:dyDescent="0.35">
      <c r="A55" s="1">
        <v>8</v>
      </c>
      <c r="B55" t="s">
        <v>11</v>
      </c>
      <c r="C55" t="s">
        <v>13</v>
      </c>
      <c r="D55" t="s">
        <v>14</v>
      </c>
      <c r="E55" t="s">
        <v>15</v>
      </c>
      <c r="F55">
        <v>2020</v>
      </c>
      <c r="G55" t="s">
        <v>17</v>
      </c>
      <c r="H55" t="s">
        <v>40</v>
      </c>
      <c r="I55">
        <v>2.412493094341404E-3</v>
      </c>
      <c r="J55" t="s">
        <v>52</v>
      </c>
      <c r="K55">
        <v>0</v>
      </c>
      <c r="L55" t="s">
        <v>19</v>
      </c>
      <c r="M55">
        <v>0</v>
      </c>
      <c r="N55">
        <v>0</v>
      </c>
      <c r="O55">
        <v>0</v>
      </c>
    </row>
    <row r="56" spans="1:15" x14ac:dyDescent="0.35">
      <c r="A56" s="1">
        <v>9</v>
      </c>
      <c r="B56" t="s">
        <v>11</v>
      </c>
      <c r="C56" t="s">
        <v>13</v>
      </c>
      <c r="D56" t="s">
        <v>14</v>
      </c>
      <c r="E56" t="s">
        <v>15</v>
      </c>
      <c r="F56">
        <v>2020</v>
      </c>
      <c r="G56" t="s">
        <v>17</v>
      </c>
      <c r="H56" t="s">
        <v>41</v>
      </c>
      <c r="I56">
        <v>6.7013697097184535E-4</v>
      </c>
      <c r="J56" t="s">
        <v>52</v>
      </c>
      <c r="K56">
        <v>3.3968442264098252E-5</v>
      </c>
      <c r="L56" t="s">
        <v>19</v>
      </c>
      <c r="M56">
        <v>9.9912059398392004E-4</v>
      </c>
      <c r="N56">
        <v>5.0688805028674323E-2</v>
      </c>
      <c r="O56">
        <v>1.490919971979723</v>
      </c>
    </row>
    <row r="57" spans="1:15" x14ac:dyDescent="0.35">
      <c r="A57" s="1">
        <v>10</v>
      </c>
      <c r="B57" t="s">
        <v>11</v>
      </c>
      <c r="C57" t="s">
        <v>13</v>
      </c>
      <c r="D57" t="s">
        <v>14</v>
      </c>
      <c r="E57" t="s">
        <v>15</v>
      </c>
      <c r="F57">
        <v>2020</v>
      </c>
      <c r="G57" t="s">
        <v>17</v>
      </c>
      <c r="H57" t="s">
        <v>44</v>
      </c>
      <c r="I57">
        <v>2.1842904673904671E-2</v>
      </c>
      <c r="J57" t="s">
        <v>52</v>
      </c>
      <c r="K57">
        <v>1.056052993848579E-3</v>
      </c>
      <c r="L57" t="s">
        <v>19</v>
      </c>
      <c r="M57">
        <v>3.1061898166807201E-2</v>
      </c>
      <c r="N57">
        <v>4.8347644675216982E-2</v>
      </c>
      <c r="O57">
        <v>1.42205895372131</v>
      </c>
    </row>
    <row r="58" spans="1:15" x14ac:dyDescent="0.35">
      <c r="A58" s="1">
        <v>11</v>
      </c>
      <c r="B58" t="s">
        <v>11</v>
      </c>
      <c r="C58" t="s">
        <v>13</v>
      </c>
      <c r="D58" t="s">
        <v>14</v>
      </c>
      <c r="E58" t="s">
        <v>15</v>
      </c>
      <c r="F58">
        <v>2020</v>
      </c>
      <c r="G58" t="s">
        <v>17</v>
      </c>
      <c r="H58" t="s">
        <v>56</v>
      </c>
      <c r="I58">
        <v>8.2453348769044137E-3</v>
      </c>
      <c r="J58" t="s">
        <v>52</v>
      </c>
      <c r="K58">
        <v>1.1765732350002649E-3</v>
      </c>
      <c r="L58" t="s">
        <v>19</v>
      </c>
      <c r="M58">
        <v>3.4606784152168543E-2</v>
      </c>
      <c r="N58">
        <v>0.14269562759614579</v>
      </c>
      <c r="O58">
        <v>4.1971350671400662</v>
      </c>
    </row>
    <row r="59" spans="1:15" x14ac:dyDescent="0.35">
      <c r="A59" s="1">
        <v>12</v>
      </c>
      <c r="B59" t="s">
        <v>11</v>
      </c>
      <c r="C59" t="s">
        <v>13</v>
      </c>
      <c r="D59" t="s">
        <v>14</v>
      </c>
      <c r="E59" t="s">
        <v>15</v>
      </c>
      <c r="F59">
        <v>2020</v>
      </c>
      <c r="G59" t="s">
        <v>17</v>
      </c>
      <c r="H59" t="s">
        <v>57</v>
      </c>
      <c r="I59">
        <v>2.748444958968138E-3</v>
      </c>
      <c r="J59" t="s">
        <v>52</v>
      </c>
      <c r="K59">
        <v>1.4791876243646599E-4</v>
      </c>
      <c r="L59" t="s">
        <v>19</v>
      </c>
      <c r="M59">
        <v>4.350764178052649E-3</v>
      </c>
      <c r="N59">
        <v>5.3819073928989977E-2</v>
      </c>
      <c r="O59">
        <v>1.582991197934005</v>
      </c>
    </row>
    <row r="60" spans="1:15" x14ac:dyDescent="0.35">
      <c r="A60" s="1">
        <v>13</v>
      </c>
      <c r="B60" t="s">
        <v>11</v>
      </c>
      <c r="C60" t="s">
        <v>13</v>
      </c>
      <c r="D60" t="s">
        <v>14</v>
      </c>
      <c r="E60" t="s">
        <v>15</v>
      </c>
      <c r="F60">
        <v>2020</v>
      </c>
      <c r="G60" t="s">
        <v>17</v>
      </c>
      <c r="H60" t="s">
        <v>45</v>
      </c>
      <c r="I60">
        <v>1.113843483371298E-2</v>
      </c>
      <c r="J60" t="s">
        <v>52</v>
      </c>
      <c r="K60">
        <v>8.6447285804117373E-4</v>
      </c>
      <c r="L60" t="s">
        <v>19</v>
      </c>
      <c r="M60">
        <v>2.5426913271261339E-2</v>
      </c>
      <c r="N60">
        <v>7.7611699574221329E-2</v>
      </c>
      <c r="O60">
        <v>2.2828084601528631</v>
      </c>
    </row>
    <row r="61" spans="1:15" x14ac:dyDescent="0.35">
      <c r="A61" s="1">
        <v>14</v>
      </c>
      <c r="B61" t="s">
        <v>11</v>
      </c>
      <c r="C61" t="s">
        <v>13</v>
      </c>
      <c r="D61" t="s">
        <v>14</v>
      </c>
      <c r="E61" t="s">
        <v>15</v>
      </c>
      <c r="F61">
        <v>2020</v>
      </c>
      <c r="G61" t="s">
        <v>17</v>
      </c>
      <c r="H61" t="s">
        <v>46</v>
      </c>
      <c r="I61">
        <v>4.6246929599690581E-2</v>
      </c>
      <c r="J61" t="s">
        <v>52</v>
      </c>
      <c r="K61">
        <v>1.258181215336378E-2</v>
      </c>
      <c r="L61" t="s">
        <v>19</v>
      </c>
      <c r="M61">
        <v>0.37007136018566072</v>
      </c>
      <c r="N61">
        <v>0.2720572427677006</v>
      </c>
      <c r="O61">
        <v>8.0020741569000648</v>
      </c>
    </row>
    <row r="62" spans="1:15" x14ac:dyDescent="0.35">
      <c r="A62" s="1">
        <v>15</v>
      </c>
      <c r="B62" t="s">
        <v>11</v>
      </c>
      <c r="C62" t="s">
        <v>13</v>
      </c>
      <c r="D62" t="s">
        <v>14</v>
      </c>
      <c r="E62" t="s">
        <v>15</v>
      </c>
      <c r="F62">
        <v>2020</v>
      </c>
      <c r="G62" t="s">
        <v>17</v>
      </c>
      <c r="H62" t="s">
        <v>18</v>
      </c>
      <c r="I62">
        <v>3.1242684515255099E-2</v>
      </c>
      <c r="J62" t="s">
        <v>52</v>
      </c>
      <c r="K62">
        <v>1.062199429700636E-3</v>
      </c>
      <c r="L62" t="s">
        <v>19</v>
      </c>
      <c r="M62">
        <v>3.124268451525513E-2</v>
      </c>
      <c r="N62">
        <v>3.3998340609366899E-2</v>
      </c>
      <c r="O62">
        <v>1.0000000000000011</v>
      </c>
    </row>
    <row r="63" spans="1:15" x14ac:dyDescent="0.35">
      <c r="A63" s="1">
        <v>16</v>
      </c>
      <c r="B63" t="s">
        <v>11</v>
      </c>
      <c r="C63" t="s">
        <v>13</v>
      </c>
      <c r="D63" t="s">
        <v>14</v>
      </c>
      <c r="E63" t="s">
        <v>15</v>
      </c>
      <c r="F63">
        <v>2020</v>
      </c>
      <c r="G63" t="s">
        <v>17</v>
      </c>
      <c r="H63" t="s">
        <v>47</v>
      </c>
      <c r="I63">
        <v>5.6500000000000001E-9</v>
      </c>
      <c r="J63" t="s">
        <v>53</v>
      </c>
      <c r="K63">
        <v>9.4402718350918404E-4</v>
      </c>
      <c r="L63" t="s">
        <v>19</v>
      </c>
      <c r="M63">
        <v>2.7766860575809859E-2</v>
      </c>
      <c r="N63">
        <v>167084.4572582627</v>
      </c>
      <c r="O63">
        <v>4914488.5974884704</v>
      </c>
    </row>
    <row r="64" spans="1:15" x14ac:dyDescent="0.35">
      <c r="A64" s="1">
        <v>17</v>
      </c>
      <c r="B64" t="s">
        <v>11</v>
      </c>
      <c r="C64" t="s">
        <v>13</v>
      </c>
      <c r="D64" t="s">
        <v>14</v>
      </c>
      <c r="E64" t="s">
        <v>15</v>
      </c>
      <c r="F64">
        <v>2020</v>
      </c>
      <c r="G64" t="s">
        <v>17</v>
      </c>
      <c r="H64" t="s">
        <v>48</v>
      </c>
      <c r="I64">
        <v>3.8600000000000001E-10</v>
      </c>
      <c r="J64" t="s">
        <v>53</v>
      </c>
      <c r="K64">
        <v>7.7855016235204864E-5</v>
      </c>
      <c r="L64" t="s">
        <v>19</v>
      </c>
      <c r="M64">
        <v>2.2899651818228759E-3</v>
      </c>
      <c r="N64">
        <v>201696.93325182609</v>
      </c>
      <c r="O64">
        <v>5932552.2845152225</v>
      </c>
    </row>
    <row r="65" spans="1:15" x14ac:dyDescent="0.35">
      <c r="A65" s="1">
        <v>18</v>
      </c>
      <c r="B65" t="s">
        <v>11</v>
      </c>
      <c r="C65" t="s">
        <v>13</v>
      </c>
      <c r="D65" t="s">
        <v>14</v>
      </c>
      <c r="E65" t="s">
        <v>15</v>
      </c>
      <c r="F65">
        <v>2020</v>
      </c>
      <c r="G65" t="s">
        <v>17</v>
      </c>
      <c r="H65" t="s">
        <v>49</v>
      </c>
      <c r="I65">
        <v>3.47E-12</v>
      </c>
      <c r="J65" t="s">
        <v>53</v>
      </c>
      <c r="K65">
        <v>7.1453595671984818E-7</v>
      </c>
      <c r="L65" t="s">
        <v>19</v>
      </c>
      <c r="M65">
        <v>2.1016789170086338E-5</v>
      </c>
      <c r="N65">
        <v>205918.14314693029</v>
      </c>
      <c r="O65">
        <v>6056711.5763937589</v>
      </c>
    </row>
    <row r="66" spans="1:15" x14ac:dyDescent="0.35">
      <c r="A66" s="1">
        <v>19</v>
      </c>
      <c r="B66" t="s">
        <v>11</v>
      </c>
      <c r="C66" t="s">
        <v>13</v>
      </c>
      <c r="D66" t="s">
        <v>14</v>
      </c>
      <c r="E66" t="s">
        <v>15</v>
      </c>
      <c r="F66">
        <v>2020</v>
      </c>
      <c r="G66" t="s">
        <v>17</v>
      </c>
      <c r="H66" t="s">
        <v>50</v>
      </c>
      <c r="I66">
        <v>5.0000000000000004E-6</v>
      </c>
      <c r="J66" t="s">
        <v>54</v>
      </c>
    </row>
    <row r="67" spans="1:15" x14ac:dyDescent="0.35">
      <c r="A67" s="1">
        <v>20</v>
      </c>
      <c r="B67" t="s">
        <v>11</v>
      </c>
      <c r="C67" t="s">
        <v>13</v>
      </c>
      <c r="D67" t="s">
        <v>14</v>
      </c>
      <c r="E67" t="s">
        <v>15</v>
      </c>
      <c r="F67">
        <v>2020</v>
      </c>
      <c r="G67" t="s">
        <v>17</v>
      </c>
      <c r="H67" t="s">
        <v>51</v>
      </c>
      <c r="I67">
        <v>4.16E-6</v>
      </c>
      <c r="J67" t="s">
        <v>54</v>
      </c>
    </row>
    <row r="69" spans="1:15" x14ac:dyDescent="0.35">
      <c r="B69" s="1" t="s">
        <v>0</v>
      </c>
      <c r="C69" s="1" t="s">
        <v>1</v>
      </c>
      <c r="D69" s="1" t="s">
        <v>2</v>
      </c>
      <c r="E69" s="1" t="s">
        <v>3</v>
      </c>
      <c r="F69" s="1" t="s">
        <v>4</v>
      </c>
      <c r="G69" s="1" t="s">
        <v>5</v>
      </c>
      <c r="H69" s="1" t="s">
        <v>6</v>
      </c>
      <c r="I69" s="1" t="s">
        <v>27</v>
      </c>
      <c r="J69" s="1" t="s">
        <v>28</v>
      </c>
      <c r="K69" s="1" t="s">
        <v>7</v>
      </c>
      <c r="L69" s="1" t="s">
        <v>29</v>
      </c>
      <c r="M69" s="1" t="s">
        <v>30</v>
      </c>
      <c r="N69" s="1" t="s">
        <v>31</v>
      </c>
      <c r="O69" s="1" t="s">
        <v>32</v>
      </c>
    </row>
    <row r="70" spans="1:15" x14ac:dyDescent="0.35">
      <c r="A70" s="1">
        <v>0</v>
      </c>
      <c r="B70" t="s">
        <v>12</v>
      </c>
      <c r="C70" t="s">
        <v>13</v>
      </c>
      <c r="D70" t="s">
        <v>14</v>
      </c>
      <c r="E70" t="s">
        <v>15</v>
      </c>
      <c r="F70">
        <v>2050</v>
      </c>
      <c r="G70" t="s">
        <v>17</v>
      </c>
      <c r="H70" t="s">
        <v>33</v>
      </c>
      <c r="I70">
        <v>0.1238413121453323</v>
      </c>
      <c r="J70" t="s">
        <v>52</v>
      </c>
      <c r="K70">
        <v>5.3143947714966763E-4</v>
      </c>
      <c r="L70" t="s">
        <v>19</v>
      </c>
      <c r="M70">
        <v>4.1236654028794263E-2</v>
      </c>
      <c r="N70">
        <v>4.2912939789107214E-3</v>
      </c>
      <c r="O70">
        <v>0.33297978933234768</v>
      </c>
    </row>
    <row r="71" spans="1:15" x14ac:dyDescent="0.35">
      <c r="A71" s="1">
        <v>1</v>
      </c>
      <c r="B71" t="s">
        <v>12</v>
      </c>
      <c r="C71" t="s">
        <v>13</v>
      </c>
      <c r="D71" t="s">
        <v>14</v>
      </c>
      <c r="E71" t="s">
        <v>15</v>
      </c>
      <c r="F71">
        <v>2050</v>
      </c>
      <c r="G71" t="s">
        <v>17</v>
      </c>
      <c r="H71" t="s">
        <v>55</v>
      </c>
      <c r="I71">
        <v>0.1200885451119403</v>
      </c>
      <c r="J71" t="s">
        <v>52</v>
      </c>
      <c r="K71">
        <v>3.8453227004382138E-4</v>
      </c>
      <c r="L71" t="s">
        <v>19</v>
      </c>
      <c r="M71">
        <v>2.9837497710465049E-2</v>
      </c>
      <c r="N71">
        <v>3.202072851206419E-3</v>
      </c>
      <c r="O71">
        <v>0.24846247976984051</v>
      </c>
    </row>
    <row r="72" spans="1:15" x14ac:dyDescent="0.35">
      <c r="A72" s="1">
        <v>2</v>
      </c>
      <c r="B72" t="s">
        <v>12</v>
      </c>
      <c r="C72" t="s">
        <v>13</v>
      </c>
      <c r="D72" t="s">
        <v>14</v>
      </c>
      <c r="E72" t="s">
        <v>15</v>
      </c>
      <c r="F72">
        <v>2050</v>
      </c>
      <c r="G72" t="s">
        <v>17</v>
      </c>
      <c r="H72" t="s">
        <v>34</v>
      </c>
      <c r="I72">
        <v>7.0702130932249974E-2</v>
      </c>
      <c r="J72" t="s">
        <v>52</v>
      </c>
      <c r="K72">
        <v>1.4731903923035229E-4</v>
      </c>
      <c r="L72" t="s">
        <v>19</v>
      </c>
      <c r="M72">
        <v>1.143111212809947E-2</v>
      </c>
      <c r="N72">
        <v>2.0836576958553079E-3</v>
      </c>
      <c r="O72">
        <v>0.16167988117717819</v>
      </c>
    </row>
    <row r="73" spans="1:15" x14ac:dyDescent="0.35">
      <c r="A73" s="1">
        <v>3</v>
      </c>
      <c r="B73" t="s">
        <v>12</v>
      </c>
      <c r="C73" t="s">
        <v>13</v>
      </c>
      <c r="D73" t="s">
        <v>14</v>
      </c>
      <c r="E73" t="s">
        <v>15</v>
      </c>
      <c r="F73">
        <v>2050</v>
      </c>
      <c r="G73" t="s">
        <v>17</v>
      </c>
      <c r="H73" t="s">
        <v>35</v>
      </c>
      <c r="I73">
        <v>1.346707255845492E-2</v>
      </c>
      <c r="J73" t="s">
        <v>52</v>
      </c>
      <c r="K73">
        <v>3.7078970388428201E-5</v>
      </c>
      <c r="L73" t="s">
        <v>19</v>
      </c>
      <c r="M73">
        <v>2.8771153431285459E-3</v>
      </c>
      <c r="N73">
        <v>2.753305904270132E-3</v>
      </c>
      <c r="O73">
        <v>0.2136407397108907</v>
      </c>
    </row>
    <row r="74" spans="1:15" x14ac:dyDescent="0.35">
      <c r="A74" s="1">
        <v>4</v>
      </c>
      <c r="B74" t="s">
        <v>12</v>
      </c>
      <c r="C74" t="s">
        <v>13</v>
      </c>
      <c r="D74" t="s">
        <v>14</v>
      </c>
      <c r="E74" t="s">
        <v>15</v>
      </c>
      <c r="F74">
        <v>2050</v>
      </c>
      <c r="G74" t="s">
        <v>17</v>
      </c>
      <c r="H74" t="s">
        <v>36</v>
      </c>
      <c r="I74">
        <v>0.19353555708011461</v>
      </c>
      <c r="J74" t="s">
        <v>52</v>
      </c>
      <c r="K74">
        <v>2.897967661181354E-3</v>
      </c>
      <c r="L74" t="s">
        <v>19</v>
      </c>
      <c r="M74">
        <v>0.22486566197850311</v>
      </c>
      <c r="N74">
        <v>1.4973825507329031E-2</v>
      </c>
      <c r="O74">
        <v>1.161882939605869</v>
      </c>
    </row>
    <row r="75" spans="1:15" x14ac:dyDescent="0.35">
      <c r="A75" s="1">
        <v>5</v>
      </c>
      <c r="B75" t="s">
        <v>12</v>
      </c>
      <c r="C75" t="s">
        <v>13</v>
      </c>
      <c r="D75" t="s">
        <v>14</v>
      </c>
      <c r="E75" t="s">
        <v>15</v>
      </c>
      <c r="F75">
        <v>2050</v>
      </c>
      <c r="G75" t="s">
        <v>17</v>
      </c>
      <c r="H75" t="s">
        <v>37</v>
      </c>
      <c r="I75">
        <v>0.1572141332383965</v>
      </c>
      <c r="J75" t="s">
        <v>52</v>
      </c>
      <c r="K75">
        <v>1.6594351637621071E-3</v>
      </c>
      <c r="L75" t="s">
        <v>19</v>
      </c>
      <c r="M75">
        <v>0.12876264687427799</v>
      </c>
      <c r="N75">
        <v>1.055525435010205E-2</v>
      </c>
      <c r="O75">
        <v>0.81902717155222149</v>
      </c>
    </row>
    <row r="76" spans="1:15" x14ac:dyDescent="0.35">
      <c r="A76" s="1">
        <v>6</v>
      </c>
      <c r="B76" t="s">
        <v>12</v>
      </c>
      <c r="C76" t="s">
        <v>13</v>
      </c>
      <c r="D76" t="s">
        <v>14</v>
      </c>
      <c r="E76" t="s">
        <v>15</v>
      </c>
      <c r="F76">
        <v>2050</v>
      </c>
      <c r="G76" t="s">
        <v>17</v>
      </c>
      <c r="H76" t="s">
        <v>38</v>
      </c>
      <c r="I76">
        <v>0.21471188530380569</v>
      </c>
      <c r="J76" t="s">
        <v>52</v>
      </c>
      <c r="K76">
        <v>2.408687854690473E-3</v>
      </c>
      <c r="L76" t="s">
        <v>19</v>
      </c>
      <c r="M76">
        <v>0.18690035648077519</v>
      </c>
      <c r="N76">
        <v>1.12182325225374E-2</v>
      </c>
      <c r="O76">
        <v>0.87047047356657192</v>
      </c>
    </row>
    <row r="77" spans="1:15" x14ac:dyDescent="0.35">
      <c r="A77" s="1">
        <v>7</v>
      </c>
      <c r="B77" t="s">
        <v>12</v>
      </c>
      <c r="C77" t="s">
        <v>13</v>
      </c>
      <c r="D77" t="s">
        <v>14</v>
      </c>
      <c r="E77" t="s">
        <v>15</v>
      </c>
      <c r="F77">
        <v>2050</v>
      </c>
      <c r="G77" t="s">
        <v>17</v>
      </c>
      <c r="H77" t="s">
        <v>39</v>
      </c>
      <c r="I77">
        <v>1.313468462121163E-2</v>
      </c>
      <c r="J77" t="s">
        <v>52</v>
      </c>
      <c r="K77">
        <v>5.3832104652912845E-4</v>
      </c>
      <c r="L77" t="s">
        <v>19</v>
      </c>
      <c r="M77">
        <v>4.1770624326217337E-2</v>
      </c>
      <c r="N77">
        <v>4.0984695259433657E-2</v>
      </c>
      <c r="O77">
        <v>3.1801771820817528</v>
      </c>
    </row>
    <row r="78" spans="1:15" x14ac:dyDescent="0.35">
      <c r="A78" s="1">
        <v>8</v>
      </c>
      <c r="B78" t="s">
        <v>12</v>
      </c>
      <c r="C78" t="s">
        <v>13</v>
      </c>
      <c r="D78" t="s">
        <v>14</v>
      </c>
      <c r="E78" t="s">
        <v>15</v>
      </c>
      <c r="F78">
        <v>2050</v>
      </c>
      <c r="G78" t="s">
        <v>17</v>
      </c>
      <c r="H78" t="s">
        <v>40</v>
      </c>
      <c r="I78">
        <v>2.412493094341404E-3</v>
      </c>
      <c r="J78" t="s">
        <v>52</v>
      </c>
      <c r="K78">
        <v>0</v>
      </c>
      <c r="L78" t="s">
        <v>19</v>
      </c>
      <c r="M78">
        <v>0</v>
      </c>
      <c r="N78">
        <v>0</v>
      </c>
      <c r="O78">
        <v>0</v>
      </c>
    </row>
    <row r="79" spans="1:15" x14ac:dyDescent="0.35">
      <c r="A79" s="1">
        <v>9</v>
      </c>
      <c r="B79" t="s">
        <v>12</v>
      </c>
      <c r="C79" t="s">
        <v>13</v>
      </c>
      <c r="D79" t="s">
        <v>14</v>
      </c>
      <c r="E79" t="s">
        <v>15</v>
      </c>
      <c r="F79">
        <v>2050</v>
      </c>
      <c r="G79" t="s">
        <v>17</v>
      </c>
      <c r="H79" t="s">
        <v>41</v>
      </c>
      <c r="I79">
        <v>6.7013697097184535E-4</v>
      </c>
      <c r="J79" t="s">
        <v>52</v>
      </c>
      <c r="K79">
        <v>2.5995649751585341E-5</v>
      </c>
      <c r="L79" t="s">
        <v>19</v>
      </c>
      <c r="M79">
        <v>2.0171132577679008E-3</v>
      </c>
      <c r="N79">
        <v>3.8791546918961889E-2</v>
      </c>
      <c r="O79">
        <v>3.0100014551393062</v>
      </c>
    </row>
    <row r="80" spans="1:15" x14ac:dyDescent="0.35">
      <c r="A80" s="1">
        <v>10</v>
      </c>
      <c r="B80" t="s">
        <v>12</v>
      </c>
      <c r="C80" t="s">
        <v>13</v>
      </c>
      <c r="D80" t="s">
        <v>14</v>
      </c>
      <c r="E80" t="s">
        <v>15</v>
      </c>
      <c r="F80">
        <v>2050</v>
      </c>
      <c r="G80" t="s">
        <v>17</v>
      </c>
      <c r="H80" t="s">
        <v>44</v>
      </c>
      <c r="I80">
        <v>2.1842904673904671E-2</v>
      </c>
      <c r="J80" t="s">
        <v>52</v>
      </c>
      <c r="K80">
        <v>3.6834040474158339E-4</v>
      </c>
      <c r="L80" t="s">
        <v>19</v>
      </c>
      <c r="M80">
        <v>2.8581101871882689E-2</v>
      </c>
      <c r="N80">
        <v>1.6863160382768739E-2</v>
      </c>
      <c r="O80">
        <v>1.308484484942519</v>
      </c>
    </row>
    <row r="81" spans="1:15" x14ac:dyDescent="0.35">
      <c r="A81" s="1">
        <v>11</v>
      </c>
      <c r="B81" t="s">
        <v>12</v>
      </c>
      <c r="C81" t="s">
        <v>13</v>
      </c>
      <c r="D81" t="s">
        <v>14</v>
      </c>
      <c r="E81" t="s">
        <v>15</v>
      </c>
      <c r="F81">
        <v>2050</v>
      </c>
      <c r="G81" t="s">
        <v>17</v>
      </c>
      <c r="H81" t="s">
        <v>56</v>
      </c>
      <c r="I81">
        <v>8.2453348769044137E-3</v>
      </c>
      <c r="J81" t="s">
        <v>52</v>
      </c>
      <c r="K81">
        <v>4.6641281545091418E-4</v>
      </c>
      <c r="L81" t="s">
        <v>19</v>
      </c>
      <c r="M81">
        <v>3.6190958203747833E-2</v>
      </c>
      <c r="N81">
        <v>5.6566873561116282E-2</v>
      </c>
      <c r="O81">
        <v>4.3892648078030732</v>
      </c>
    </row>
    <row r="82" spans="1:15" x14ac:dyDescent="0.35">
      <c r="A82" s="1">
        <v>12</v>
      </c>
      <c r="B82" t="s">
        <v>12</v>
      </c>
      <c r="C82" t="s">
        <v>13</v>
      </c>
      <c r="D82" t="s">
        <v>14</v>
      </c>
      <c r="E82" t="s">
        <v>15</v>
      </c>
      <c r="F82">
        <v>2050</v>
      </c>
      <c r="G82" t="s">
        <v>17</v>
      </c>
      <c r="H82" t="s">
        <v>57</v>
      </c>
      <c r="I82">
        <v>2.748444958968138E-3</v>
      </c>
      <c r="J82" t="s">
        <v>52</v>
      </c>
      <c r="K82">
        <v>5.9707758276490009E-5</v>
      </c>
      <c r="L82" t="s">
        <v>19</v>
      </c>
      <c r="M82">
        <v>4.6329794393296236E-3</v>
      </c>
      <c r="N82">
        <v>2.1724196470322039E-2</v>
      </c>
      <c r="O82">
        <v>1.685672992727133</v>
      </c>
    </row>
    <row r="83" spans="1:15" x14ac:dyDescent="0.35">
      <c r="A83" s="1">
        <v>13</v>
      </c>
      <c r="B83" t="s">
        <v>12</v>
      </c>
      <c r="C83" t="s">
        <v>13</v>
      </c>
      <c r="D83" t="s">
        <v>14</v>
      </c>
      <c r="E83" t="s">
        <v>15</v>
      </c>
      <c r="F83">
        <v>2050</v>
      </c>
      <c r="G83" t="s">
        <v>17</v>
      </c>
      <c r="H83" t="s">
        <v>45</v>
      </c>
      <c r="I83">
        <v>1.113843483371298E-2</v>
      </c>
      <c r="J83" t="s">
        <v>52</v>
      </c>
      <c r="K83">
        <v>4.3557252867663021E-4</v>
      </c>
      <c r="L83" t="s">
        <v>19</v>
      </c>
      <c r="M83">
        <v>3.3797928911530252E-2</v>
      </c>
      <c r="N83">
        <v>3.9105362214650843E-2</v>
      </c>
      <c r="O83">
        <v>3.0343517214136049</v>
      </c>
    </row>
    <row r="84" spans="1:15" x14ac:dyDescent="0.35">
      <c r="A84" s="1">
        <v>14</v>
      </c>
      <c r="B84" t="s">
        <v>12</v>
      </c>
      <c r="C84" t="s">
        <v>13</v>
      </c>
      <c r="D84" t="s">
        <v>14</v>
      </c>
      <c r="E84" t="s">
        <v>15</v>
      </c>
      <c r="F84">
        <v>2050</v>
      </c>
      <c r="G84" t="s">
        <v>17</v>
      </c>
      <c r="H84" t="s">
        <v>46</v>
      </c>
      <c r="I84">
        <v>4.6246929599690581E-2</v>
      </c>
      <c r="J84" t="s">
        <v>52</v>
      </c>
      <c r="K84">
        <v>5.241267264377527E-4</v>
      </c>
      <c r="L84" t="s">
        <v>19</v>
      </c>
      <c r="M84">
        <v>4.0669226534089858E-2</v>
      </c>
      <c r="N84">
        <v>1.1333222139816589E-2</v>
      </c>
      <c r="O84">
        <v>0.87939300805738152</v>
      </c>
    </row>
    <row r="85" spans="1:15" x14ac:dyDescent="0.35">
      <c r="A85" s="1">
        <v>15</v>
      </c>
      <c r="B85" t="s">
        <v>12</v>
      </c>
      <c r="C85" t="s">
        <v>13</v>
      </c>
      <c r="D85" t="s">
        <v>14</v>
      </c>
      <c r="E85" t="s">
        <v>15</v>
      </c>
      <c r="F85">
        <v>2050</v>
      </c>
      <c r="G85" t="s">
        <v>17</v>
      </c>
      <c r="H85" t="s">
        <v>18</v>
      </c>
      <c r="I85">
        <v>3.1242684515255099E-2</v>
      </c>
      <c r="J85" t="s">
        <v>52</v>
      </c>
      <c r="K85">
        <v>4.0264168649438431E-4</v>
      </c>
      <c r="L85" t="s">
        <v>19</v>
      </c>
      <c r="M85">
        <v>3.1242684515255061E-2</v>
      </c>
      <c r="N85">
        <v>1.288755088564119E-2</v>
      </c>
      <c r="O85">
        <v>0.99999999999999878</v>
      </c>
    </row>
    <row r="86" spans="1:15" x14ac:dyDescent="0.35">
      <c r="A86" s="1">
        <v>16</v>
      </c>
      <c r="B86" t="s">
        <v>12</v>
      </c>
      <c r="C86" t="s">
        <v>13</v>
      </c>
      <c r="D86" t="s">
        <v>14</v>
      </c>
      <c r="E86" t="s">
        <v>15</v>
      </c>
      <c r="F86">
        <v>2050</v>
      </c>
      <c r="G86" t="s">
        <v>17</v>
      </c>
      <c r="H86" t="s">
        <v>47</v>
      </c>
      <c r="I86">
        <v>5.6500000000000001E-9</v>
      </c>
      <c r="J86" t="s">
        <v>53</v>
      </c>
      <c r="K86">
        <v>5.7973313801164901E-4</v>
      </c>
      <c r="L86" t="s">
        <v>19</v>
      </c>
      <c r="M86">
        <v>4.4983965002812473E-2</v>
      </c>
      <c r="N86">
        <v>102607.6350463096</v>
      </c>
      <c r="O86">
        <v>7961763.717311942</v>
      </c>
    </row>
    <row r="87" spans="1:15" x14ac:dyDescent="0.35">
      <c r="A87" s="1">
        <v>17</v>
      </c>
      <c r="B87" t="s">
        <v>12</v>
      </c>
      <c r="C87" t="s">
        <v>13</v>
      </c>
      <c r="D87" t="s">
        <v>14</v>
      </c>
      <c r="E87" t="s">
        <v>15</v>
      </c>
      <c r="F87">
        <v>2050</v>
      </c>
      <c r="G87" t="s">
        <v>17</v>
      </c>
      <c r="H87" t="s">
        <v>48</v>
      </c>
      <c r="I87">
        <v>3.8600000000000001E-10</v>
      </c>
      <c r="J87" t="s">
        <v>53</v>
      </c>
      <c r="K87">
        <v>5.489593141257487E-5</v>
      </c>
      <c r="L87" t="s">
        <v>19</v>
      </c>
      <c r="M87">
        <v>4.2596092849369631E-3</v>
      </c>
      <c r="N87">
        <v>142217.43889268101</v>
      </c>
      <c r="O87">
        <v>11035257.2148626</v>
      </c>
    </row>
    <row r="88" spans="1:15" x14ac:dyDescent="0.35">
      <c r="A88" s="1">
        <v>18</v>
      </c>
      <c r="B88" t="s">
        <v>12</v>
      </c>
      <c r="C88" t="s">
        <v>13</v>
      </c>
      <c r="D88" t="s">
        <v>14</v>
      </c>
      <c r="E88" t="s">
        <v>15</v>
      </c>
      <c r="F88">
        <v>2050</v>
      </c>
      <c r="G88" t="s">
        <v>17</v>
      </c>
      <c r="H88" t="s">
        <v>49</v>
      </c>
      <c r="I88">
        <v>3.47E-12</v>
      </c>
      <c r="J88" t="s">
        <v>53</v>
      </c>
      <c r="K88">
        <v>3.427927289889403E-7</v>
      </c>
      <c r="L88" t="s">
        <v>19</v>
      </c>
      <c r="M88">
        <v>2.6598748825959331E-5</v>
      </c>
      <c r="N88">
        <v>98787.529967994327</v>
      </c>
      <c r="O88">
        <v>7665345.4829853997</v>
      </c>
    </row>
    <row r="89" spans="1:15" x14ac:dyDescent="0.35">
      <c r="A89" s="1">
        <v>19</v>
      </c>
      <c r="B89" t="s">
        <v>12</v>
      </c>
      <c r="C89" t="s">
        <v>13</v>
      </c>
      <c r="D89" t="s">
        <v>14</v>
      </c>
      <c r="E89" t="s">
        <v>15</v>
      </c>
      <c r="F89">
        <v>2050</v>
      </c>
      <c r="G89" t="s">
        <v>17</v>
      </c>
      <c r="H89" t="s">
        <v>50</v>
      </c>
      <c r="I89">
        <v>5.0000000000000004E-6</v>
      </c>
      <c r="J89" t="s">
        <v>54</v>
      </c>
    </row>
    <row r="90" spans="1:15" x14ac:dyDescent="0.35">
      <c r="A90" s="1">
        <v>20</v>
      </c>
      <c r="B90" t="s">
        <v>12</v>
      </c>
      <c r="C90" t="s">
        <v>13</v>
      </c>
      <c r="D90" t="s">
        <v>14</v>
      </c>
      <c r="E90" t="s">
        <v>15</v>
      </c>
      <c r="F90">
        <v>2050</v>
      </c>
      <c r="G90" t="s">
        <v>17</v>
      </c>
      <c r="H90" t="s">
        <v>51</v>
      </c>
      <c r="I90">
        <v>4.16E-6</v>
      </c>
      <c r="J90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topLeftCell="A3" workbookViewId="0">
      <selection sqref="A1:XFD26"/>
    </sheetView>
  </sheetViews>
  <sheetFormatPr baseColWidth="10" defaultColWidth="8.7265625" defaultRowHeight="14.5" x14ac:dyDescent="0.35"/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</v>
      </c>
      <c r="J1" s="1" t="s">
        <v>28</v>
      </c>
      <c r="K1" s="1" t="s">
        <v>7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 x14ac:dyDescent="0.35">
      <c r="A2" s="1">
        <v>0</v>
      </c>
      <c r="B2" t="s">
        <v>9</v>
      </c>
      <c r="C2" t="s">
        <v>13</v>
      </c>
      <c r="D2" t="s">
        <v>14</v>
      </c>
      <c r="E2" t="s">
        <v>15</v>
      </c>
      <c r="F2">
        <v>2020</v>
      </c>
      <c r="G2" t="s">
        <v>16</v>
      </c>
      <c r="H2" t="s">
        <v>58</v>
      </c>
      <c r="I2">
        <v>0.98475069079214195</v>
      </c>
      <c r="J2" t="s">
        <v>52</v>
      </c>
      <c r="K2">
        <v>4.8099550375215017E-2</v>
      </c>
      <c r="L2" t="s">
        <v>19</v>
      </c>
      <c r="M2">
        <v>0.88771005722358376</v>
      </c>
      <c r="N2">
        <v>4.8844393636853743E-2</v>
      </c>
      <c r="O2">
        <v>0.90145664839239803</v>
      </c>
    </row>
    <row r="3" spans="1:15" x14ac:dyDescent="0.35">
      <c r="A3" s="1">
        <v>1</v>
      </c>
      <c r="B3" t="s">
        <v>9</v>
      </c>
      <c r="C3" t="s">
        <v>13</v>
      </c>
      <c r="D3" t="s">
        <v>14</v>
      </c>
      <c r="E3" t="s">
        <v>15</v>
      </c>
      <c r="F3">
        <v>2020</v>
      </c>
      <c r="G3" t="s">
        <v>16</v>
      </c>
      <c r="H3" t="s">
        <v>59</v>
      </c>
      <c r="I3">
        <v>1.088404736366903E-2</v>
      </c>
      <c r="J3" t="s">
        <v>52</v>
      </c>
      <c r="K3">
        <v>7.9971574183973157E-4</v>
      </c>
      <c r="L3" t="s">
        <v>19</v>
      </c>
      <c r="M3">
        <v>1.475930027231518E-2</v>
      </c>
      <c r="N3">
        <v>7.3475952016635315E-2</v>
      </c>
      <c r="O3">
        <v>1.356048883210647</v>
      </c>
    </row>
    <row r="4" spans="1:15" x14ac:dyDescent="0.35">
      <c r="A4" s="1">
        <v>2</v>
      </c>
      <c r="B4" t="s">
        <v>9</v>
      </c>
      <c r="C4" t="s">
        <v>13</v>
      </c>
      <c r="D4" t="s">
        <v>14</v>
      </c>
      <c r="E4" t="s">
        <v>15</v>
      </c>
      <c r="F4">
        <v>2020</v>
      </c>
      <c r="G4" t="s">
        <v>16</v>
      </c>
      <c r="H4" t="s">
        <v>60</v>
      </c>
      <c r="I4">
        <v>4.3652618441889224E-3</v>
      </c>
      <c r="J4" t="s">
        <v>52</v>
      </c>
      <c r="K4">
        <v>1.2037764144165279E-3</v>
      </c>
      <c r="L4" t="s">
        <v>19</v>
      </c>
      <c r="M4">
        <v>2.221651598383198E-2</v>
      </c>
      <c r="N4">
        <v>0.2757627050526204</v>
      </c>
      <c r="O4">
        <v>5.0893890851946937</v>
      </c>
    </row>
    <row r="5" spans="1:15" x14ac:dyDescent="0.35">
      <c r="A5" s="1">
        <v>3</v>
      </c>
      <c r="B5" t="s">
        <v>9</v>
      </c>
      <c r="C5" t="s">
        <v>13</v>
      </c>
      <c r="D5" t="s">
        <v>14</v>
      </c>
      <c r="E5" t="s">
        <v>15</v>
      </c>
      <c r="F5">
        <v>2020</v>
      </c>
      <c r="G5" t="s">
        <v>16</v>
      </c>
      <c r="H5" t="s">
        <v>61</v>
      </c>
      <c r="I5">
        <v>3.1242684515255099E-2</v>
      </c>
      <c r="J5" t="s">
        <v>52</v>
      </c>
      <c r="K5">
        <v>1.692848994409862E-3</v>
      </c>
      <c r="L5" t="s">
        <v>19</v>
      </c>
      <c r="M5">
        <v>3.124268451525512E-2</v>
      </c>
      <c r="N5">
        <v>5.418385201768694E-2</v>
      </c>
      <c r="O5">
        <v>1</v>
      </c>
    </row>
    <row r="6" spans="1:15" x14ac:dyDescent="0.35">
      <c r="A6" s="1">
        <v>4</v>
      </c>
      <c r="B6" t="s">
        <v>9</v>
      </c>
      <c r="C6" t="s">
        <v>13</v>
      </c>
      <c r="D6" t="s">
        <v>14</v>
      </c>
      <c r="E6" t="s">
        <v>15</v>
      </c>
      <c r="F6">
        <v>2020</v>
      </c>
      <c r="G6" t="s">
        <v>16</v>
      </c>
      <c r="H6" t="s">
        <v>62</v>
      </c>
      <c r="I6">
        <v>6.0394699999999996E-9</v>
      </c>
      <c r="J6" t="s">
        <v>53</v>
      </c>
      <c r="K6">
        <v>1.022960518600656E-3</v>
      </c>
      <c r="L6" t="s">
        <v>19</v>
      </c>
      <c r="M6">
        <v>1.8879435117804801E-2</v>
      </c>
      <c r="N6">
        <v>169379.1870148633</v>
      </c>
      <c r="O6">
        <v>3126008.5931058158</v>
      </c>
    </row>
    <row r="7" spans="1:15" x14ac:dyDescent="0.35">
      <c r="A7" s="1">
        <v>5</v>
      </c>
      <c r="B7" t="s">
        <v>9</v>
      </c>
      <c r="C7" t="s">
        <v>13</v>
      </c>
      <c r="D7" t="s">
        <v>14</v>
      </c>
      <c r="E7" t="s">
        <v>15</v>
      </c>
      <c r="F7">
        <v>2020</v>
      </c>
      <c r="G7" t="s">
        <v>16</v>
      </c>
      <c r="H7" t="s">
        <v>63</v>
      </c>
      <c r="K7">
        <v>1.364999973205133E-3</v>
      </c>
      <c r="L7" t="s">
        <v>19</v>
      </c>
      <c r="M7">
        <v>2.5192006887209129E-2</v>
      </c>
    </row>
    <row r="8" spans="1:15" x14ac:dyDescent="0.35">
      <c r="A8" s="1">
        <v>6</v>
      </c>
      <c r="B8" t="s">
        <v>9</v>
      </c>
      <c r="C8" t="s">
        <v>13</v>
      </c>
      <c r="D8" t="s">
        <v>14</v>
      </c>
      <c r="E8" t="s">
        <v>15</v>
      </c>
      <c r="F8">
        <v>2020</v>
      </c>
      <c r="G8" t="s">
        <v>16</v>
      </c>
      <c r="H8" t="s">
        <v>18</v>
      </c>
      <c r="I8">
        <v>1</v>
      </c>
      <c r="J8" t="s">
        <v>52</v>
      </c>
      <c r="K8">
        <v>5.418385201768694E-2</v>
      </c>
      <c r="L8" t="s">
        <v>19</v>
      </c>
      <c r="M8">
        <v>1</v>
      </c>
      <c r="N8">
        <v>5.418385201768694E-2</v>
      </c>
      <c r="O8">
        <v>1</v>
      </c>
    </row>
    <row r="10" spans="1:15" x14ac:dyDescent="0.3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27</v>
      </c>
      <c r="J10" s="1" t="s">
        <v>28</v>
      </c>
      <c r="K10" s="1" t="s">
        <v>7</v>
      </c>
      <c r="L10" s="1" t="s">
        <v>29</v>
      </c>
      <c r="M10" s="1" t="s">
        <v>30</v>
      </c>
      <c r="N10" s="1" t="s">
        <v>31</v>
      </c>
      <c r="O10" s="1" t="s">
        <v>32</v>
      </c>
    </row>
    <row r="11" spans="1:15" x14ac:dyDescent="0.35">
      <c r="A11" s="1">
        <v>0</v>
      </c>
      <c r="B11" t="s">
        <v>10</v>
      </c>
      <c r="C11" t="s">
        <v>13</v>
      </c>
      <c r="D11" t="s">
        <v>14</v>
      </c>
      <c r="E11" t="s">
        <v>15</v>
      </c>
      <c r="F11">
        <v>2050</v>
      </c>
      <c r="G11" t="s">
        <v>16</v>
      </c>
      <c r="H11" t="s">
        <v>58</v>
      </c>
      <c r="I11">
        <v>0.90977795105681936</v>
      </c>
      <c r="J11" t="s">
        <v>52</v>
      </c>
      <c r="K11">
        <v>8.6307771327269172E-3</v>
      </c>
      <c r="L11" t="s">
        <v>19</v>
      </c>
      <c r="M11">
        <v>0.6696987821280288</v>
      </c>
      <c r="N11">
        <v>9.4866853199741807E-3</v>
      </c>
      <c r="O11">
        <v>0.73611234625997679</v>
      </c>
    </row>
    <row r="12" spans="1:15" x14ac:dyDescent="0.35">
      <c r="A12" s="1">
        <v>1</v>
      </c>
      <c r="B12" t="s">
        <v>10</v>
      </c>
      <c r="C12" t="s">
        <v>13</v>
      </c>
      <c r="D12" t="s">
        <v>14</v>
      </c>
      <c r="E12" t="s">
        <v>15</v>
      </c>
      <c r="F12">
        <v>2050</v>
      </c>
      <c r="G12" t="s">
        <v>16</v>
      </c>
      <c r="H12" t="s">
        <v>59</v>
      </c>
      <c r="I12">
        <v>4.3975119343490222E-2</v>
      </c>
      <c r="J12" t="s">
        <v>52</v>
      </c>
      <c r="K12">
        <v>1.330033507145618E-3</v>
      </c>
      <c r="L12" t="s">
        <v>19</v>
      </c>
      <c r="M12">
        <v>0.1032029684264904</v>
      </c>
      <c r="N12">
        <v>3.024513695475638E-2</v>
      </c>
      <c r="O12">
        <v>2.346849081189998</v>
      </c>
    </row>
    <row r="13" spans="1:15" x14ac:dyDescent="0.35">
      <c r="A13" s="1">
        <v>2</v>
      </c>
      <c r="B13" t="s">
        <v>10</v>
      </c>
      <c r="C13" t="s">
        <v>13</v>
      </c>
      <c r="D13" t="s">
        <v>14</v>
      </c>
      <c r="E13" t="s">
        <v>15</v>
      </c>
      <c r="F13">
        <v>2050</v>
      </c>
      <c r="G13" t="s">
        <v>16</v>
      </c>
      <c r="H13" t="s">
        <v>60</v>
      </c>
      <c r="I13">
        <v>4.6246929599690588E-2</v>
      </c>
      <c r="J13" t="s">
        <v>52</v>
      </c>
      <c r="K13">
        <v>5.241267264377527E-4</v>
      </c>
      <c r="L13" t="s">
        <v>19</v>
      </c>
      <c r="M13">
        <v>4.0669226534089858E-2</v>
      </c>
      <c r="N13">
        <v>1.1333222139816589E-2</v>
      </c>
      <c r="O13">
        <v>0.87939300805738252</v>
      </c>
    </row>
    <row r="14" spans="1:15" x14ac:dyDescent="0.35">
      <c r="A14" s="1">
        <v>3</v>
      </c>
      <c r="B14" t="s">
        <v>10</v>
      </c>
      <c r="C14" t="s">
        <v>13</v>
      </c>
      <c r="D14" t="s">
        <v>14</v>
      </c>
      <c r="E14" t="s">
        <v>15</v>
      </c>
      <c r="F14">
        <v>2050</v>
      </c>
      <c r="G14" t="s">
        <v>16</v>
      </c>
      <c r="H14" t="s">
        <v>61</v>
      </c>
      <c r="I14">
        <v>3.1242684515255099E-2</v>
      </c>
      <c r="J14" t="s">
        <v>52</v>
      </c>
      <c r="K14">
        <v>4.0264168649438431E-4</v>
      </c>
      <c r="L14" t="s">
        <v>19</v>
      </c>
      <c r="M14">
        <v>3.1242684515255061E-2</v>
      </c>
      <c r="N14">
        <v>1.288755088564119E-2</v>
      </c>
      <c r="O14">
        <v>1</v>
      </c>
    </row>
    <row r="15" spans="1:15" x14ac:dyDescent="0.35">
      <c r="A15" s="1">
        <v>4</v>
      </c>
      <c r="B15" t="s">
        <v>10</v>
      </c>
      <c r="C15" t="s">
        <v>13</v>
      </c>
      <c r="D15" t="s">
        <v>14</v>
      </c>
      <c r="E15" t="s">
        <v>15</v>
      </c>
      <c r="F15">
        <v>2050</v>
      </c>
      <c r="G15" t="s">
        <v>16</v>
      </c>
      <c r="H15" t="s">
        <v>62</v>
      </c>
      <c r="I15">
        <v>6.0394699999999996E-9</v>
      </c>
      <c r="J15" t="s">
        <v>53</v>
      </c>
      <c r="K15">
        <v>6.3497186215321288E-4</v>
      </c>
      <c r="L15" t="s">
        <v>19</v>
      </c>
      <c r="M15">
        <v>4.9270173036575403E-2</v>
      </c>
      <c r="N15">
        <v>105137.01734642489</v>
      </c>
      <c r="O15">
        <v>8158029.2702133553</v>
      </c>
    </row>
    <row r="16" spans="1:15" x14ac:dyDescent="0.35">
      <c r="A16" s="1">
        <v>5</v>
      </c>
      <c r="B16" t="s">
        <v>10</v>
      </c>
      <c r="C16" t="s">
        <v>13</v>
      </c>
      <c r="D16" t="s">
        <v>14</v>
      </c>
      <c r="E16" t="s">
        <v>15</v>
      </c>
      <c r="F16">
        <v>2050</v>
      </c>
      <c r="G16" t="s">
        <v>16</v>
      </c>
      <c r="H16" t="s">
        <v>63</v>
      </c>
      <c r="K16">
        <v>1.3649999706833069E-3</v>
      </c>
      <c r="L16" t="s">
        <v>19</v>
      </c>
      <c r="M16">
        <v>0.1059161653595605</v>
      </c>
    </row>
    <row r="17" spans="1:15" x14ac:dyDescent="0.35">
      <c r="A17" s="1">
        <v>6</v>
      </c>
      <c r="B17" t="s">
        <v>10</v>
      </c>
      <c r="C17" t="s">
        <v>13</v>
      </c>
      <c r="D17" t="s">
        <v>14</v>
      </c>
      <c r="E17" t="s">
        <v>15</v>
      </c>
      <c r="F17">
        <v>2050</v>
      </c>
      <c r="G17" t="s">
        <v>16</v>
      </c>
      <c r="H17" t="s">
        <v>18</v>
      </c>
      <c r="I17">
        <v>1</v>
      </c>
      <c r="J17" t="s">
        <v>52</v>
      </c>
      <c r="K17">
        <v>1.288755088564119E-2</v>
      </c>
      <c r="L17" t="s">
        <v>19</v>
      </c>
      <c r="M17">
        <v>1</v>
      </c>
      <c r="N17">
        <v>1.288755088564119E-2</v>
      </c>
      <c r="O17">
        <v>1</v>
      </c>
    </row>
    <row r="19" spans="1:15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27</v>
      </c>
      <c r="J19" s="1" t="s">
        <v>28</v>
      </c>
      <c r="K19" s="1" t="s">
        <v>7</v>
      </c>
      <c r="L19" s="1" t="s">
        <v>29</v>
      </c>
      <c r="M19" s="1" t="s">
        <v>30</v>
      </c>
      <c r="N19" s="1" t="s">
        <v>31</v>
      </c>
      <c r="O19" s="1" t="s">
        <v>32</v>
      </c>
    </row>
    <row r="20" spans="1:15" x14ac:dyDescent="0.35">
      <c r="A20" s="1">
        <v>0</v>
      </c>
      <c r="B20" t="s">
        <v>11</v>
      </c>
      <c r="C20" t="s">
        <v>13</v>
      </c>
      <c r="D20" t="s">
        <v>14</v>
      </c>
      <c r="E20" t="s">
        <v>15</v>
      </c>
      <c r="F20">
        <v>2020</v>
      </c>
      <c r="G20" t="s">
        <v>17</v>
      </c>
      <c r="H20" t="s">
        <v>58</v>
      </c>
      <c r="I20">
        <v>0.90977795105681913</v>
      </c>
      <c r="J20" t="s">
        <v>52</v>
      </c>
      <c r="K20">
        <v>1.4721714203467941E-2</v>
      </c>
      <c r="L20" t="s">
        <v>19</v>
      </c>
      <c r="M20">
        <v>0.43301272766859611</v>
      </c>
      <c r="N20">
        <v>1.618165639908822E-2</v>
      </c>
      <c r="O20">
        <v>0.47595429979985548</v>
      </c>
    </row>
    <row r="21" spans="1:15" x14ac:dyDescent="0.35">
      <c r="A21" s="1">
        <v>1</v>
      </c>
      <c r="B21" t="s">
        <v>11</v>
      </c>
      <c r="C21" t="s">
        <v>13</v>
      </c>
      <c r="D21" t="s">
        <v>14</v>
      </c>
      <c r="E21" t="s">
        <v>15</v>
      </c>
      <c r="F21">
        <v>2020</v>
      </c>
      <c r="G21" t="s">
        <v>17</v>
      </c>
      <c r="H21" t="s">
        <v>59</v>
      </c>
      <c r="I21">
        <v>4.3975119343490202E-2</v>
      </c>
      <c r="J21" t="s">
        <v>52</v>
      </c>
      <c r="K21">
        <v>3.2450178493264839E-3</v>
      </c>
      <c r="L21" t="s">
        <v>19</v>
      </c>
      <c r="M21">
        <v>9.5446359768289732E-2</v>
      </c>
      <c r="N21">
        <v>7.3792132864486618E-2</v>
      </c>
      <c r="O21">
        <v>2.1704627797086111</v>
      </c>
    </row>
    <row r="22" spans="1:15" x14ac:dyDescent="0.35">
      <c r="A22" s="1">
        <v>2</v>
      </c>
      <c r="B22" t="s">
        <v>11</v>
      </c>
      <c r="C22" t="s">
        <v>13</v>
      </c>
      <c r="D22" t="s">
        <v>14</v>
      </c>
      <c r="E22" t="s">
        <v>15</v>
      </c>
      <c r="F22">
        <v>2020</v>
      </c>
      <c r="G22" t="s">
        <v>17</v>
      </c>
      <c r="H22" t="s">
        <v>60</v>
      </c>
      <c r="I22">
        <v>4.6246929599690581E-2</v>
      </c>
      <c r="J22" t="s">
        <v>52</v>
      </c>
      <c r="K22">
        <v>1.258181215336378E-2</v>
      </c>
      <c r="L22" t="s">
        <v>19</v>
      </c>
      <c r="M22">
        <v>0.37007136018566072</v>
      </c>
      <c r="N22">
        <v>0.2720572427677006</v>
      </c>
      <c r="O22">
        <v>8.0020741569000577</v>
      </c>
    </row>
    <row r="23" spans="1:15" x14ac:dyDescent="0.35">
      <c r="A23" s="1">
        <v>3</v>
      </c>
      <c r="B23" t="s">
        <v>11</v>
      </c>
      <c r="C23" t="s">
        <v>13</v>
      </c>
      <c r="D23" t="s">
        <v>14</v>
      </c>
      <c r="E23" t="s">
        <v>15</v>
      </c>
      <c r="F23">
        <v>2020</v>
      </c>
      <c r="G23" t="s">
        <v>17</v>
      </c>
      <c r="H23" t="s">
        <v>61</v>
      </c>
      <c r="I23">
        <v>3.1242684515255099E-2</v>
      </c>
      <c r="J23" t="s">
        <v>52</v>
      </c>
      <c r="K23">
        <v>1.062199429700636E-3</v>
      </c>
      <c r="L23" t="s">
        <v>19</v>
      </c>
      <c r="M23">
        <v>3.124268451525513E-2</v>
      </c>
      <c r="N23">
        <v>3.3998340609366899E-2</v>
      </c>
      <c r="O23">
        <v>1</v>
      </c>
    </row>
    <row r="24" spans="1:15" x14ac:dyDescent="0.35">
      <c r="A24" s="1">
        <v>4</v>
      </c>
      <c r="B24" t="s">
        <v>11</v>
      </c>
      <c r="C24" t="s">
        <v>13</v>
      </c>
      <c r="D24" t="s">
        <v>14</v>
      </c>
      <c r="E24" t="s">
        <v>15</v>
      </c>
      <c r="F24">
        <v>2020</v>
      </c>
      <c r="G24" t="s">
        <v>17</v>
      </c>
      <c r="H24" t="s">
        <v>62</v>
      </c>
      <c r="I24">
        <v>6.0394699999999996E-9</v>
      </c>
      <c r="J24" t="s">
        <v>53</v>
      </c>
      <c r="K24">
        <v>1.0225967357011089E-3</v>
      </c>
      <c r="L24" t="s">
        <v>19</v>
      </c>
      <c r="M24">
        <v>3.0077842546802819E-2</v>
      </c>
      <c r="N24">
        <v>169318.9527725295</v>
      </c>
      <c r="O24">
        <v>4980212.2614737377</v>
      </c>
    </row>
    <row r="25" spans="1:15" x14ac:dyDescent="0.35">
      <c r="A25" s="1">
        <v>5</v>
      </c>
      <c r="B25" t="s">
        <v>11</v>
      </c>
      <c r="C25" t="s">
        <v>13</v>
      </c>
      <c r="D25" t="s">
        <v>14</v>
      </c>
      <c r="E25" t="s">
        <v>15</v>
      </c>
      <c r="F25">
        <v>2020</v>
      </c>
      <c r="G25" t="s">
        <v>17</v>
      </c>
      <c r="H25" t="s">
        <v>63</v>
      </c>
      <c r="K25">
        <v>1.3650002378069459E-3</v>
      </c>
      <c r="L25" t="s">
        <v>19</v>
      </c>
      <c r="M25">
        <v>4.0149025315395659E-2</v>
      </c>
    </row>
    <row r="26" spans="1:15" x14ac:dyDescent="0.35">
      <c r="A26" s="1">
        <v>6</v>
      </c>
      <c r="B26" t="s">
        <v>11</v>
      </c>
      <c r="C26" t="s">
        <v>13</v>
      </c>
      <c r="D26" t="s">
        <v>14</v>
      </c>
      <c r="E26" t="s">
        <v>15</v>
      </c>
      <c r="F26">
        <v>2020</v>
      </c>
      <c r="G26" t="s">
        <v>17</v>
      </c>
      <c r="H26" t="s">
        <v>18</v>
      </c>
      <c r="I26">
        <v>1</v>
      </c>
      <c r="J26" t="s">
        <v>52</v>
      </c>
      <c r="K26">
        <v>3.3998340609366899E-2</v>
      </c>
      <c r="L26" t="s">
        <v>19</v>
      </c>
      <c r="M26">
        <v>1</v>
      </c>
      <c r="N26">
        <v>3.3998340609366899E-2</v>
      </c>
      <c r="O26">
        <v>1</v>
      </c>
    </row>
    <row r="28" spans="1:15" x14ac:dyDescent="0.35">
      <c r="B28" s="1" t="s">
        <v>0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5</v>
      </c>
      <c r="H28" s="1" t="s">
        <v>6</v>
      </c>
      <c r="I28" s="1" t="s">
        <v>27</v>
      </c>
      <c r="J28" s="1" t="s">
        <v>28</v>
      </c>
      <c r="K28" s="1" t="s">
        <v>7</v>
      </c>
      <c r="L28" s="1" t="s">
        <v>29</v>
      </c>
      <c r="M28" s="1" t="s">
        <v>30</v>
      </c>
      <c r="N28" s="1" t="s">
        <v>31</v>
      </c>
      <c r="O28" s="1" t="s">
        <v>32</v>
      </c>
    </row>
    <row r="29" spans="1:15" x14ac:dyDescent="0.35">
      <c r="A29" s="1">
        <v>0</v>
      </c>
      <c r="B29" t="s">
        <v>12</v>
      </c>
      <c r="C29" t="s">
        <v>13</v>
      </c>
      <c r="D29" t="s">
        <v>14</v>
      </c>
      <c r="E29" t="s">
        <v>15</v>
      </c>
      <c r="F29">
        <v>2050</v>
      </c>
      <c r="G29" t="s">
        <v>17</v>
      </c>
      <c r="H29" t="s">
        <v>58</v>
      </c>
      <c r="I29">
        <v>0.90977795105681913</v>
      </c>
      <c r="J29" t="s">
        <v>52</v>
      </c>
      <c r="K29">
        <v>8.6307771327269172E-3</v>
      </c>
      <c r="L29" t="s">
        <v>19</v>
      </c>
      <c r="M29">
        <v>0.6696987821280288</v>
      </c>
      <c r="N29">
        <v>9.4866853199741842E-3</v>
      </c>
      <c r="O29">
        <v>0.73611234625997701</v>
      </c>
    </row>
    <row r="30" spans="1:15" x14ac:dyDescent="0.35">
      <c r="A30" s="1">
        <v>1</v>
      </c>
      <c r="B30" t="s">
        <v>12</v>
      </c>
      <c r="C30" t="s">
        <v>13</v>
      </c>
      <c r="D30" t="s">
        <v>14</v>
      </c>
      <c r="E30" t="s">
        <v>15</v>
      </c>
      <c r="F30">
        <v>2050</v>
      </c>
      <c r="G30" t="s">
        <v>17</v>
      </c>
      <c r="H30" t="s">
        <v>59</v>
      </c>
      <c r="I30">
        <v>4.3975119343490202E-2</v>
      </c>
      <c r="J30" t="s">
        <v>52</v>
      </c>
      <c r="K30">
        <v>1.330033507145618E-3</v>
      </c>
      <c r="L30" t="s">
        <v>19</v>
      </c>
      <c r="M30">
        <v>0.1032029684264904</v>
      </c>
      <c r="N30">
        <v>3.024513695475638E-2</v>
      </c>
      <c r="O30">
        <v>2.346849081189998</v>
      </c>
    </row>
    <row r="31" spans="1:15" x14ac:dyDescent="0.35">
      <c r="A31" s="1">
        <v>2</v>
      </c>
      <c r="B31" t="s">
        <v>12</v>
      </c>
      <c r="C31" t="s">
        <v>13</v>
      </c>
      <c r="D31" t="s">
        <v>14</v>
      </c>
      <c r="E31" t="s">
        <v>15</v>
      </c>
      <c r="F31">
        <v>2050</v>
      </c>
      <c r="G31" t="s">
        <v>17</v>
      </c>
      <c r="H31" t="s">
        <v>60</v>
      </c>
      <c r="I31">
        <v>4.6246929599690581E-2</v>
      </c>
      <c r="J31" t="s">
        <v>52</v>
      </c>
      <c r="K31">
        <v>5.241267264377527E-4</v>
      </c>
      <c r="L31" t="s">
        <v>19</v>
      </c>
      <c r="M31">
        <v>4.0669226534089858E-2</v>
      </c>
      <c r="N31">
        <v>1.1333222139816589E-2</v>
      </c>
      <c r="O31">
        <v>0.87939300805738263</v>
      </c>
    </row>
    <row r="32" spans="1:15" x14ac:dyDescent="0.35">
      <c r="A32" s="1">
        <v>3</v>
      </c>
      <c r="B32" t="s">
        <v>12</v>
      </c>
      <c r="C32" t="s">
        <v>13</v>
      </c>
      <c r="D32" t="s">
        <v>14</v>
      </c>
      <c r="E32" t="s">
        <v>15</v>
      </c>
      <c r="F32">
        <v>2050</v>
      </c>
      <c r="G32" t="s">
        <v>17</v>
      </c>
      <c r="H32" t="s">
        <v>61</v>
      </c>
      <c r="I32">
        <v>3.1242684515255099E-2</v>
      </c>
      <c r="J32" t="s">
        <v>52</v>
      </c>
      <c r="K32">
        <v>4.0264168649438431E-4</v>
      </c>
      <c r="L32" t="s">
        <v>19</v>
      </c>
      <c r="M32">
        <v>3.1242684515255061E-2</v>
      </c>
      <c r="N32">
        <v>1.288755088564119E-2</v>
      </c>
      <c r="O32">
        <v>1</v>
      </c>
    </row>
    <row r="33" spans="1:15" x14ac:dyDescent="0.35">
      <c r="A33" s="1">
        <v>4</v>
      </c>
      <c r="B33" t="s">
        <v>12</v>
      </c>
      <c r="C33" t="s">
        <v>13</v>
      </c>
      <c r="D33" t="s">
        <v>14</v>
      </c>
      <c r="E33" t="s">
        <v>15</v>
      </c>
      <c r="F33">
        <v>2050</v>
      </c>
      <c r="G33" t="s">
        <v>17</v>
      </c>
      <c r="H33" t="s">
        <v>62</v>
      </c>
      <c r="I33">
        <v>6.0394699999999996E-9</v>
      </c>
      <c r="J33" t="s">
        <v>53</v>
      </c>
      <c r="K33">
        <v>6.3497186215321288E-4</v>
      </c>
      <c r="L33" t="s">
        <v>19</v>
      </c>
      <c r="M33">
        <v>4.9270173036575403E-2</v>
      </c>
      <c r="N33">
        <v>105137.01734642489</v>
      </c>
      <c r="O33">
        <v>8158029.2702133553</v>
      </c>
    </row>
    <row r="34" spans="1:15" x14ac:dyDescent="0.35">
      <c r="A34" s="1">
        <v>5</v>
      </c>
      <c r="B34" t="s">
        <v>12</v>
      </c>
      <c r="C34" t="s">
        <v>13</v>
      </c>
      <c r="D34" t="s">
        <v>14</v>
      </c>
      <c r="E34" t="s">
        <v>15</v>
      </c>
      <c r="F34">
        <v>2050</v>
      </c>
      <c r="G34" t="s">
        <v>17</v>
      </c>
      <c r="H34" t="s">
        <v>63</v>
      </c>
      <c r="K34">
        <v>1.3649999706833069E-3</v>
      </c>
      <c r="L34" t="s">
        <v>19</v>
      </c>
      <c r="M34">
        <v>0.1059161653595605</v>
      </c>
    </row>
    <row r="35" spans="1:15" x14ac:dyDescent="0.35">
      <c r="A35" s="1">
        <v>6</v>
      </c>
      <c r="B35" t="s">
        <v>12</v>
      </c>
      <c r="C35" t="s">
        <v>13</v>
      </c>
      <c r="D35" t="s">
        <v>14</v>
      </c>
      <c r="E35" t="s">
        <v>15</v>
      </c>
      <c r="F35">
        <v>2050</v>
      </c>
      <c r="G35" t="s">
        <v>17</v>
      </c>
      <c r="H35" t="s">
        <v>18</v>
      </c>
      <c r="I35">
        <v>1</v>
      </c>
      <c r="J35" t="s">
        <v>52</v>
      </c>
      <c r="K35">
        <v>1.288755088564119E-2</v>
      </c>
      <c r="L35" t="s">
        <v>19</v>
      </c>
      <c r="M35">
        <v>1</v>
      </c>
      <c r="N35">
        <v>1.288755088564119E-2</v>
      </c>
      <c r="O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088C-9AE5-49E2-BA05-35C997065A8F}">
  <dimension ref="A1:N17"/>
  <sheetViews>
    <sheetView topLeftCell="J1" workbookViewId="0">
      <selection activeCell="R18" sqref="R18"/>
    </sheetView>
  </sheetViews>
  <sheetFormatPr baseColWidth="10"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</v>
      </c>
    </row>
    <row r="2" spans="1:14" x14ac:dyDescent="0.35">
      <c r="A2" s="1">
        <v>0</v>
      </c>
      <c r="B2" t="s">
        <v>9</v>
      </c>
      <c r="C2" t="s">
        <v>13</v>
      </c>
      <c r="D2" t="s">
        <v>14</v>
      </c>
      <c r="E2" t="s">
        <v>15</v>
      </c>
      <c r="F2" s="2">
        <v>2020</v>
      </c>
      <c r="G2" t="s">
        <v>16</v>
      </c>
      <c r="H2" t="s">
        <v>18</v>
      </c>
      <c r="I2" s="3">
        <v>5.4183852017686898E-2</v>
      </c>
      <c r="J2" t="s">
        <v>19</v>
      </c>
      <c r="K2" s="26">
        <f>I2*1000</f>
        <v>54.183852017686895</v>
      </c>
      <c r="L2" t="s">
        <v>69</v>
      </c>
    </row>
    <row r="3" spans="1:14" ht="17.5" customHeight="1" x14ac:dyDescent="0.35">
      <c r="A3" s="1">
        <v>2</v>
      </c>
      <c r="B3" t="s">
        <v>11</v>
      </c>
      <c r="C3" t="s">
        <v>13</v>
      </c>
      <c r="D3" t="s">
        <v>14</v>
      </c>
      <c r="E3" t="s">
        <v>15</v>
      </c>
      <c r="F3" s="2">
        <v>2020</v>
      </c>
      <c r="G3" t="s">
        <v>17</v>
      </c>
      <c r="H3" t="s">
        <v>18</v>
      </c>
      <c r="I3" s="4">
        <v>3.3998340609366857E-2</v>
      </c>
      <c r="J3" t="s">
        <v>19</v>
      </c>
      <c r="K3" s="27">
        <f>I3*1000</f>
        <v>33.998340609366856</v>
      </c>
      <c r="L3" t="s">
        <v>70</v>
      </c>
    </row>
    <row r="4" spans="1:14" x14ac:dyDescent="0.35">
      <c r="A4" s="1">
        <v>1</v>
      </c>
      <c r="B4" t="s">
        <v>10</v>
      </c>
      <c r="C4" t="s">
        <v>13</v>
      </c>
      <c r="D4" t="s">
        <v>14</v>
      </c>
      <c r="E4" t="s">
        <v>15</v>
      </c>
      <c r="F4" s="3">
        <v>2050</v>
      </c>
      <c r="G4" t="s">
        <v>16</v>
      </c>
      <c r="H4" t="s">
        <v>18</v>
      </c>
      <c r="I4" s="2">
        <v>1.2887550885641211E-2</v>
      </c>
      <c r="J4" t="s">
        <v>19</v>
      </c>
      <c r="K4" s="28">
        <f>I4*1000</f>
        <v>12.887550885641211</v>
      </c>
      <c r="L4" t="s">
        <v>71</v>
      </c>
    </row>
    <row r="5" spans="1:14" hidden="1" x14ac:dyDescent="0.35">
      <c r="A5" s="1">
        <v>3</v>
      </c>
      <c r="B5" t="s">
        <v>12</v>
      </c>
      <c r="C5" t="s">
        <v>13</v>
      </c>
      <c r="D5" t="s">
        <v>14</v>
      </c>
      <c r="E5" t="s">
        <v>15</v>
      </c>
      <c r="F5" s="3">
        <v>2050</v>
      </c>
      <c r="G5" t="s">
        <v>17</v>
      </c>
      <c r="H5" t="s">
        <v>18</v>
      </c>
      <c r="I5" s="2">
        <v>1.2887550885641211E-2</v>
      </c>
      <c r="J5" t="s">
        <v>19</v>
      </c>
      <c r="K5" s="28">
        <v>1.2887550885641211E-2</v>
      </c>
    </row>
    <row r="6" spans="1:14" x14ac:dyDescent="0.35">
      <c r="K6" s="24"/>
    </row>
    <row r="7" spans="1:14" x14ac:dyDescent="0.3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29" t="s">
        <v>7</v>
      </c>
      <c r="M7" s="30" t="s">
        <v>72</v>
      </c>
      <c r="N7" s="30" t="s">
        <v>73</v>
      </c>
    </row>
    <row r="8" spans="1:14" x14ac:dyDescent="0.35">
      <c r="A8" s="1">
        <v>1</v>
      </c>
      <c r="B8" t="s">
        <v>9</v>
      </c>
      <c r="C8" t="s">
        <v>13</v>
      </c>
      <c r="D8" t="s">
        <v>14</v>
      </c>
      <c r="E8" t="s">
        <v>15</v>
      </c>
      <c r="F8" s="2">
        <v>2020</v>
      </c>
      <c r="G8" t="s">
        <v>16</v>
      </c>
      <c r="H8" t="s">
        <v>20</v>
      </c>
      <c r="I8" s="6">
        <v>5.2884611218055558E-2</v>
      </c>
      <c r="J8" t="s">
        <v>19</v>
      </c>
      <c r="K8" s="31">
        <f>I8*1000</f>
        <v>52.884611218055561</v>
      </c>
      <c r="L8" t="s">
        <v>64</v>
      </c>
      <c r="M8">
        <v>54.183852017686895</v>
      </c>
      <c r="N8">
        <v>52.884611218055561</v>
      </c>
    </row>
    <row r="9" spans="1:14" x14ac:dyDescent="0.35">
      <c r="A9" s="1">
        <v>17</v>
      </c>
      <c r="B9" t="s">
        <v>11</v>
      </c>
      <c r="C9" t="s">
        <v>13</v>
      </c>
      <c r="D9" t="s">
        <v>14</v>
      </c>
      <c r="E9" t="s">
        <v>15</v>
      </c>
      <c r="F9" s="2">
        <v>2020</v>
      </c>
      <c r="G9" t="s">
        <v>17</v>
      </c>
      <c r="H9" t="s">
        <v>20</v>
      </c>
      <c r="I9" s="17">
        <v>1.9168116777269161E-2</v>
      </c>
      <c r="J9" t="s">
        <v>19</v>
      </c>
      <c r="K9" s="32">
        <f>I9*1000</f>
        <v>19.168116777269162</v>
      </c>
      <c r="L9" t="s">
        <v>65</v>
      </c>
      <c r="M9">
        <v>33.998340609366856</v>
      </c>
      <c r="N9">
        <v>19.168116777269162</v>
      </c>
    </row>
    <row r="10" spans="1:14" ht="13.5" customHeight="1" x14ac:dyDescent="0.35">
      <c r="A10" s="1">
        <v>9</v>
      </c>
      <c r="B10" t="s">
        <v>10</v>
      </c>
      <c r="C10" t="s">
        <v>13</v>
      </c>
      <c r="D10" t="s">
        <v>14</v>
      </c>
      <c r="E10" t="s">
        <v>15</v>
      </c>
      <c r="F10" s="3">
        <v>2050</v>
      </c>
      <c r="G10" t="s">
        <v>16</v>
      </c>
      <c r="H10" t="s">
        <v>20</v>
      </c>
      <c r="I10" s="12">
        <v>1.1857105043807921E-2</v>
      </c>
      <c r="J10" t="s">
        <v>19</v>
      </c>
      <c r="K10" s="33">
        <f>I10*1000</f>
        <v>11.85710504380792</v>
      </c>
      <c r="L10" s="23" t="s">
        <v>66</v>
      </c>
      <c r="M10">
        <v>12.887550885641211</v>
      </c>
      <c r="N10">
        <v>11.85710504380792</v>
      </c>
    </row>
    <row r="11" spans="1:14" hidden="1" x14ac:dyDescent="0.35">
      <c r="A11" s="1">
        <v>25</v>
      </c>
      <c r="B11" t="s">
        <v>12</v>
      </c>
      <c r="C11" t="s">
        <v>13</v>
      </c>
      <c r="D11" t="s">
        <v>14</v>
      </c>
      <c r="E11" t="s">
        <v>15</v>
      </c>
      <c r="F11" s="3">
        <v>2050</v>
      </c>
      <c r="G11" t="s">
        <v>17</v>
      </c>
      <c r="H11" t="s">
        <v>20</v>
      </c>
      <c r="I11" s="12">
        <v>1.1857105043807921E-2</v>
      </c>
      <c r="J11" s="12"/>
      <c r="K11" t="s">
        <v>19</v>
      </c>
    </row>
    <row r="16" spans="1:14" x14ac:dyDescent="0.35">
      <c r="A16" t="s">
        <v>74</v>
      </c>
    </row>
    <row r="17" spans="1:1" x14ac:dyDescent="0.35">
      <c r="A17" t="s">
        <v>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81F3-F10C-4BAA-B7E0-0C304BD7BD2B}">
  <dimension ref="A1:U36"/>
  <sheetViews>
    <sheetView topLeftCell="D5" workbookViewId="0">
      <selection activeCell="X22" sqref="X22"/>
    </sheetView>
  </sheetViews>
  <sheetFormatPr baseColWidth="10" defaultRowHeight="14.5" x14ac:dyDescent="0.35"/>
  <cols>
    <col min="12" max="12" width="19.90625" customWidth="1"/>
    <col min="13" max="13" width="11.81640625" bestFit="1" customWidth="1"/>
    <col min="14" max="14" width="11" customWidth="1"/>
    <col min="15" max="15" width="24.7265625" bestFit="1" customWidth="1"/>
  </cols>
  <sheetData>
    <row r="1" spans="1:21" x14ac:dyDescent="0.35">
      <c r="L1" t="s">
        <v>64</v>
      </c>
      <c r="N1" t="s">
        <v>65</v>
      </c>
      <c r="P1" s="23" t="s">
        <v>68</v>
      </c>
    </row>
    <row r="2" spans="1:2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27</v>
      </c>
      <c r="J2" s="1" t="s">
        <v>28</v>
      </c>
      <c r="K2" s="1" t="s">
        <v>7</v>
      </c>
      <c r="L2" s="25" t="s">
        <v>67</v>
      </c>
      <c r="M2" s="1" t="s">
        <v>7</v>
      </c>
      <c r="N2" s="25" t="s">
        <v>67</v>
      </c>
      <c r="O2" s="1"/>
      <c r="P2" s="25" t="s">
        <v>67</v>
      </c>
      <c r="S2" t="s">
        <v>64</v>
      </c>
      <c r="T2" t="s">
        <v>65</v>
      </c>
      <c r="U2" s="23" t="s">
        <v>68</v>
      </c>
    </row>
    <row r="3" spans="1:21" x14ac:dyDescent="0.35">
      <c r="A3" s="1">
        <v>0</v>
      </c>
      <c r="B3" t="s">
        <v>9</v>
      </c>
      <c r="C3" t="s">
        <v>13</v>
      </c>
      <c r="D3" t="s">
        <v>14</v>
      </c>
      <c r="E3" t="s">
        <v>15</v>
      </c>
      <c r="F3">
        <v>2020</v>
      </c>
      <c r="G3" t="s">
        <v>16</v>
      </c>
      <c r="H3" t="s">
        <v>58</v>
      </c>
      <c r="I3">
        <v>0.98475069079214195</v>
      </c>
      <c r="J3" t="s">
        <v>52</v>
      </c>
      <c r="K3">
        <v>4.8099550375215017E-2</v>
      </c>
      <c r="L3" s="24">
        <f>K3*1000</f>
        <v>48.099550375215017</v>
      </c>
      <c r="M3">
        <v>1.4721714203467941E-2</v>
      </c>
      <c r="N3" s="24">
        <f>M3*1000</f>
        <v>14.721714203467942</v>
      </c>
      <c r="O3">
        <v>8.6307771327269172E-3</v>
      </c>
      <c r="P3" s="24">
        <f>O3*1000</f>
        <v>8.6307771327269176</v>
      </c>
      <c r="R3" t="s">
        <v>58</v>
      </c>
      <c r="S3">
        <v>48.099550375215017</v>
      </c>
      <c r="T3">
        <v>14.721714203467942</v>
      </c>
      <c r="U3">
        <v>8.6307771327269176</v>
      </c>
    </row>
    <row r="4" spans="1:21" x14ac:dyDescent="0.35">
      <c r="A4" s="1">
        <v>1</v>
      </c>
      <c r="B4" t="s">
        <v>9</v>
      </c>
      <c r="C4" t="s">
        <v>13</v>
      </c>
      <c r="D4" t="s">
        <v>14</v>
      </c>
      <c r="E4" t="s">
        <v>15</v>
      </c>
      <c r="F4">
        <v>2020</v>
      </c>
      <c r="G4" t="s">
        <v>16</v>
      </c>
      <c r="H4" t="s">
        <v>59</v>
      </c>
      <c r="I4">
        <v>1.088404736366903E-2</v>
      </c>
      <c r="J4" t="s">
        <v>52</v>
      </c>
      <c r="K4">
        <v>7.9971574183973157E-4</v>
      </c>
      <c r="L4" s="24">
        <f t="shared" ref="L4:L9" si="0">K4*1000</f>
        <v>0.7997157418397316</v>
      </c>
      <c r="M4">
        <v>3.2450178493264839E-3</v>
      </c>
      <c r="N4" s="24">
        <f t="shared" ref="N4:N9" si="1">M4*1000</f>
        <v>3.2450178493264841</v>
      </c>
      <c r="O4">
        <v>1.330033507145618E-3</v>
      </c>
      <c r="P4" s="24">
        <f t="shared" ref="P4:P8" si="2">O4*1000</f>
        <v>1.330033507145618</v>
      </c>
      <c r="R4" t="s">
        <v>59</v>
      </c>
      <c r="S4">
        <v>0.7997157418397316</v>
      </c>
      <c r="T4">
        <v>3.2450178493264841</v>
      </c>
      <c r="U4">
        <v>1.330033507145618</v>
      </c>
    </row>
    <row r="5" spans="1:21" x14ac:dyDescent="0.35">
      <c r="A5" s="1">
        <v>2</v>
      </c>
      <c r="B5" t="s">
        <v>9</v>
      </c>
      <c r="C5" t="s">
        <v>13</v>
      </c>
      <c r="D5" t="s">
        <v>14</v>
      </c>
      <c r="E5" t="s">
        <v>15</v>
      </c>
      <c r="F5">
        <v>2020</v>
      </c>
      <c r="G5" t="s">
        <v>16</v>
      </c>
      <c r="H5" t="s">
        <v>60</v>
      </c>
      <c r="I5">
        <v>4.3652618441889224E-3</v>
      </c>
      <c r="J5" t="s">
        <v>52</v>
      </c>
      <c r="K5">
        <v>1.2037764144165279E-3</v>
      </c>
      <c r="L5" s="24">
        <f t="shared" si="0"/>
        <v>1.2037764144165279</v>
      </c>
      <c r="M5">
        <v>1.258181215336378E-2</v>
      </c>
      <c r="N5" s="24">
        <f t="shared" si="1"/>
        <v>12.58181215336378</v>
      </c>
      <c r="O5">
        <v>5.241267264377527E-4</v>
      </c>
      <c r="P5" s="24">
        <f t="shared" si="2"/>
        <v>0.52412672643775271</v>
      </c>
      <c r="R5" t="s">
        <v>60</v>
      </c>
      <c r="S5">
        <v>1.2037764144165279</v>
      </c>
      <c r="T5">
        <v>12.58181215336378</v>
      </c>
      <c r="U5">
        <v>0.52412672643775271</v>
      </c>
    </row>
    <row r="6" spans="1:21" x14ac:dyDescent="0.35">
      <c r="A6" s="1">
        <v>3</v>
      </c>
      <c r="B6" t="s">
        <v>9</v>
      </c>
      <c r="C6" t="s">
        <v>13</v>
      </c>
      <c r="D6" t="s">
        <v>14</v>
      </c>
      <c r="E6" t="s">
        <v>15</v>
      </c>
      <c r="F6">
        <v>2020</v>
      </c>
      <c r="G6" t="s">
        <v>16</v>
      </c>
      <c r="H6" t="s">
        <v>61</v>
      </c>
      <c r="I6">
        <v>3.1242684515255099E-2</v>
      </c>
      <c r="J6" t="s">
        <v>52</v>
      </c>
      <c r="K6">
        <v>1.692848994409862E-3</v>
      </c>
      <c r="L6" s="24">
        <f t="shared" si="0"/>
        <v>1.6928489944098619</v>
      </c>
      <c r="M6">
        <v>1.062199429700636E-3</v>
      </c>
      <c r="N6" s="24">
        <f t="shared" si="1"/>
        <v>1.0621994297006361</v>
      </c>
      <c r="O6">
        <v>4.0264168649438431E-4</v>
      </c>
      <c r="P6" s="24">
        <f t="shared" si="2"/>
        <v>0.40264168649438431</v>
      </c>
      <c r="R6" t="s">
        <v>61</v>
      </c>
      <c r="S6">
        <v>1.6928489944098619</v>
      </c>
      <c r="T6">
        <v>1.0621994297006361</v>
      </c>
      <c r="U6">
        <v>0.40264168649438431</v>
      </c>
    </row>
    <row r="7" spans="1:21" x14ac:dyDescent="0.35">
      <c r="A7" s="1">
        <v>4</v>
      </c>
      <c r="B7" t="s">
        <v>9</v>
      </c>
      <c r="C7" t="s">
        <v>13</v>
      </c>
      <c r="D7" t="s">
        <v>14</v>
      </c>
      <c r="E7" t="s">
        <v>15</v>
      </c>
      <c r="F7">
        <v>2020</v>
      </c>
      <c r="G7" t="s">
        <v>16</v>
      </c>
      <c r="H7" t="s">
        <v>62</v>
      </c>
      <c r="I7">
        <v>6.0394699999999996E-9</v>
      </c>
      <c r="J7" t="s">
        <v>53</v>
      </c>
      <c r="K7">
        <v>1.022960518600656E-3</v>
      </c>
      <c r="L7" s="24">
        <f t="shared" si="0"/>
        <v>1.0229605186006561</v>
      </c>
      <c r="M7">
        <v>1.0225967357011089E-3</v>
      </c>
      <c r="N7" s="24">
        <f t="shared" si="1"/>
        <v>1.022596735701109</v>
      </c>
      <c r="O7">
        <v>6.3497186215321288E-4</v>
      </c>
      <c r="P7" s="24">
        <f t="shared" si="2"/>
        <v>0.63497186215321288</v>
      </c>
      <c r="R7" t="s">
        <v>62</v>
      </c>
      <c r="S7">
        <v>1.0229605186006561</v>
      </c>
      <c r="T7">
        <v>1.022596735701109</v>
      </c>
      <c r="U7">
        <v>0.63497186215321288</v>
      </c>
    </row>
    <row r="8" spans="1:21" x14ac:dyDescent="0.35">
      <c r="A8" s="1">
        <v>5</v>
      </c>
      <c r="B8" t="s">
        <v>9</v>
      </c>
      <c r="C8" t="s">
        <v>13</v>
      </c>
      <c r="D8" t="s">
        <v>14</v>
      </c>
      <c r="E8" t="s">
        <v>15</v>
      </c>
      <c r="F8">
        <v>2020</v>
      </c>
      <c r="G8" t="s">
        <v>16</v>
      </c>
      <c r="H8" t="s">
        <v>63</v>
      </c>
      <c r="K8">
        <v>1.364999973205133E-3</v>
      </c>
      <c r="L8" s="24">
        <f t="shared" si="0"/>
        <v>1.364999973205133</v>
      </c>
      <c r="M8">
        <v>1.3650002378069459E-3</v>
      </c>
      <c r="N8" s="24">
        <f t="shared" si="1"/>
        <v>1.3650002378069459</v>
      </c>
      <c r="O8">
        <v>1.3649999706833069E-3</v>
      </c>
      <c r="P8" s="24">
        <f t="shared" si="2"/>
        <v>1.3649999706833069</v>
      </c>
      <c r="R8" t="s">
        <v>63</v>
      </c>
      <c r="S8">
        <v>1.364999973205133</v>
      </c>
      <c r="T8">
        <v>1.3650002378069459</v>
      </c>
      <c r="U8">
        <v>1.3649999706833069</v>
      </c>
    </row>
    <row r="9" spans="1:21" x14ac:dyDescent="0.35">
      <c r="A9" s="1">
        <v>6</v>
      </c>
      <c r="B9" t="s">
        <v>9</v>
      </c>
      <c r="C9" t="s">
        <v>13</v>
      </c>
      <c r="D9" t="s">
        <v>14</v>
      </c>
      <c r="E9" t="s">
        <v>15</v>
      </c>
      <c r="F9">
        <v>2020</v>
      </c>
      <c r="G9" t="s">
        <v>16</v>
      </c>
      <c r="H9" t="s">
        <v>18</v>
      </c>
      <c r="I9">
        <v>1</v>
      </c>
      <c r="J9" t="s">
        <v>52</v>
      </c>
      <c r="K9">
        <v>5.418385201768694E-2</v>
      </c>
      <c r="L9" s="24">
        <f t="shared" si="0"/>
        <v>54.183852017686938</v>
      </c>
      <c r="M9">
        <v>3.3998340609366899E-2</v>
      </c>
      <c r="N9" s="24">
        <f t="shared" si="1"/>
        <v>33.998340609366899</v>
      </c>
      <c r="O9">
        <v>1.288755088564119E-2</v>
      </c>
      <c r="P9" s="24">
        <f>O9*1000</f>
        <v>12.88755088564119</v>
      </c>
      <c r="R9" t="s">
        <v>18</v>
      </c>
      <c r="S9">
        <v>54.183852017686938</v>
      </c>
      <c r="T9">
        <v>33.998340609366899</v>
      </c>
      <c r="U9">
        <v>12.88755088564119</v>
      </c>
    </row>
    <row r="10" spans="1:21" x14ac:dyDescent="0.35">
      <c r="A10" s="22"/>
    </row>
    <row r="11" spans="1:21" x14ac:dyDescent="0.35"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27</v>
      </c>
      <c r="J11" s="1" t="s">
        <v>28</v>
      </c>
      <c r="K11" s="1" t="s">
        <v>7</v>
      </c>
      <c r="L11" s="1" t="s">
        <v>29</v>
      </c>
      <c r="M11" s="1" t="s">
        <v>30</v>
      </c>
      <c r="N11" s="1" t="s">
        <v>31</v>
      </c>
      <c r="O11" s="1" t="s">
        <v>32</v>
      </c>
    </row>
    <row r="12" spans="1:21" x14ac:dyDescent="0.35">
      <c r="A12" s="1">
        <v>0</v>
      </c>
      <c r="B12" t="s">
        <v>9</v>
      </c>
      <c r="C12" t="s">
        <v>13</v>
      </c>
      <c r="D12" t="s">
        <v>14</v>
      </c>
      <c r="E12" t="s">
        <v>15</v>
      </c>
      <c r="F12">
        <v>2020</v>
      </c>
      <c r="G12" t="s">
        <v>16</v>
      </c>
      <c r="H12" t="s">
        <v>58</v>
      </c>
      <c r="I12">
        <v>0.98475069079214195</v>
      </c>
      <c r="J12" t="s">
        <v>52</v>
      </c>
      <c r="K12">
        <v>4.8099550375215017E-2</v>
      </c>
      <c r="L12" t="s">
        <v>19</v>
      </c>
      <c r="M12">
        <v>0.88771005722358376</v>
      </c>
      <c r="N12">
        <v>4.8844393636853743E-2</v>
      </c>
      <c r="O12">
        <v>0.90145664839239803</v>
      </c>
    </row>
    <row r="13" spans="1:21" x14ac:dyDescent="0.35">
      <c r="A13" s="1">
        <v>1</v>
      </c>
      <c r="B13" t="s">
        <v>9</v>
      </c>
      <c r="C13" t="s">
        <v>13</v>
      </c>
      <c r="D13" t="s">
        <v>14</v>
      </c>
      <c r="E13" t="s">
        <v>15</v>
      </c>
      <c r="F13">
        <v>2020</v>
      </c>
      <c r="G13" t="s">
        <v>16</v>
      </c>
      <c r="H13" t="s">
        <v>59</v>
      </c>
      <c r="I13">
        <v>1.088404736366903E-2</v>
      </c>
      <c r="J13" t="s">
        <v>52</v>
      </c>
      <c r="K13">
        <v>7.9971574183973157E-4</v>
      </c>
      <c r="L13" t="s">
        <v>19</v>
      </c>
      <c r="M13">
        <v>1.475930027231518E-2</v>
      </c>
      <c r="N13">
        <v>7.3475952016635315E-2</v>
      </c>
      <c r="O13">
        <v>1.356048883210647</v>
      </c>
    </row>
    <row r="14" spans="1:21" x14ac:dyDescent="0.35">
      <c r="A14" s="1">
        <v>2</v>
      </c>
      <c r="B14" t="s">
        <v>9</v>
      </c>
      <c r="C14" t="s">
        <v>13</v>
      </c>
      <c r="D14" t="s">
        <v>14</v>
      </c>
      <c r="E14" t="s">
        <v>15</v>
      </c>
      <c r="F14">
        <v>2020</v>
      </c>
      <c r="G14" t="s">
        <v>16</v>
      </c>
      <c r="H14" t="s">
        <v>60</v>
      </c>
      <c r="I14">
        <v>4.3652618441889224E-3</v>
      </c>
      <c r="J14" t="s">
        <v>52</v>
      </c>
      <c r="K14">
        <v>1.2037764144165279E-3</v>
      </c>
      <c r="L14" t="s">
        <v>19</v>
      </c>
      <c r="M14">
        <v>2.221651598383198E-2</v>
      </c>
      <c r="N14">
        <v>0.2757627050526204</v>
      </c>
      <c r="O14">
        <v>5.0893890851946937</v>
      </c>
    </row>
    <row r="15" spans="1:21" x14ac:dyDescent="0.35">
      <c r="A15" s="1">
        <v>3</v>
      </c>
      <c r="B15" t="s">
        <v>9</v>
      </c>
      <c r="C15" t="s">
        <v>13</v>
      </c>
      <c r="D15" t="s">
        <v>14</v>
      </c>
      <c r="E15" t="s">
        <v>15</v>
      </c>
      <c r="F15">
        <v>2020</v>
      </c>
      <c r="G15" t="s">
        <v>16</v>
      </c>
      <c r="H15" t="s">
        <v>61</v>
      </c>
      <c r="I15">
        <v>3.1242684515255099E-2</v>
      </c>
      <c r="J15" t="s">
        <v>52</v>
      </c>
      <c r="K15">
        <v>1.692848994409862E-3</v>
      </c>
      <c r="L15" t="s">
        <v>19</v>
      </c>
      <c r="M15">
        <v>3.124268451525512E-2</v>
      </c>
      <c r="N15">
        <v>5.418385201768694E-2</v>
      </c>
      <c r="O15">
        <v>1</v>
      </c>
    </row>
    <row r="16" spans="1:21" x14ac:dyDescent="0.35">
      <c r="A16" s="1">
        <v>4</v>
      </c>
      <c r="B16" t="s">
        <v>9</v>
      </c>
      <c r="C16" t="s">
        <v>13</v>
      </c>
      <c r="D16" t="s">
        <v>14</v>
      </c>
      <c r="E16" t="s">
        <v>15</v>
      </c>
      <c r="F16">
        <v>2020</v>
      </c>
      <c r="G16" t="s">
        <v>16</v>
      </c>
      <c r="H16" t="s">
        <v>62</v>
      </c>
      <c r="I16">
        <v>6.0394699999999996E-9</v>
      </c>
      <c r="J16" t="s">
        <v>53</v>
      </c>
      <c r="K16">
        <v>1.022960518600656E-3</v>
      </c>
      <c r="L16" t="s">
        <v>19</v>
      </c>
      <c r="M16">
        <v>1.8879435117804801E-2</v>
      </c>
      <c r="N16">
        <v>169379.1870148633</v>
      </c>
      <c r="O16">
        <v>3126008.5931058158</v>
      </c>
    </row>
    <row r="17" spans="1:15" x14ac:dyDescent="0.35">
      <c r="A17" s="1">
        <v>5</v>
      </c>
      <c r="B17" t="s">
        <v>9</v>
      </c>
      <c r="C17" t="s">
        <v>13</v>
      </c>
      <c r="D17" t="s">
        <v>14</v>
      </c>
      <c r="E17" t="s">
        <v>15</v>
      </c>
      <c r="F17">
        <v>2020</v>
      </c>
      <c r="G17" t="s">
        <v>16</v>
      </c>
      <c r="H17" t="s">
        <v>63</v>
      </c>
      <c r="K17">
        <v>1.364999973205133E-3</v>
      </c>
      <c r="L17" t="s">
        <v>19</v>
      </c>
      <c r="M17">
        <v>2.5192006887209129E-2</v>
      </c>
    </row>
    <row r="18" spans="1:15" x14ac:dyDescent="0.35">
      <c r="A18" s="1">
        <v>6</v>
      </c>
      <c r="B18" t="s">
        <v>9</v>
      </c>
      <c r="C18" t="s">
        <v>13</v>
      </c>
      <c r="D18" t="s">
        <v>14</v>
      </c>
      <c r="E18" t="s">
        <v>15</v>
      </c>
      <c r="F18">
        <v>2020</v>
      </c>
      <c r="G18" t="s">
        <v>16</v>
      </c>
      <c r="H18" t="s">
        <v>18</v>
      </c>
      <c r="I18">
        <v>1</v>
      </c>
      <c r="J18" t="s">
        <v>52</v>
      </c>
      <c r="K18">
        <v>5.418385201768694E-2</v>
      </c>
      <c r="L18" t="s">
        <v>19</v>
      </c>
      <c r="M18">
        <v>1</v>
      </c>
      <c r="N18">
        <v>5.418385201768694E-2</v>
      </c>
      <c r="O18">
        <v>1</v>
      </c>
    </row>
    <row r="19" spans="1:15" x14ac:dyDescent="0.35">
      <c r="A19" s="22"/>
    </row>
    <row r="20" spans="1:15" x14ac:dyDescent="0.35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27</v>
      </c>
      <c r="J20" s="1" t="s">
        <v>28</v>
      </c>
      <c r="K20" s="1" t="s">
        <v>7</v>
      </c>
      <c r="L20" s="1" t="s">
        <v>29</v>
      </c>
      <c r="M20" s="1" t="s">
        <v>30</v>
      </c>
      <c r="N20" s="1" t="s">
        <v>31</v>
      </c>
      <c r="O20" s="1" t="s">
        <v>32</v>
      </c>
    </row>
    <row r="21" spans="1:15" x14ac:dyDescent="0.35">
      <c r="A21" s="1">
        <v>0</v>
      </c>
      <c r="B21" t="s">
        <v>11</v>
      </c>
      <c r="C21" t="s">
        <v>13</v>
      </c>
      <c r="D21" t="s">
        <v>14</v>
      </c>
      <c r="E21" t="s">
        <v>15</v>
      </c>
      <c r="F21">
        <v>2020</v>
      </c>
      <c r="G21" t="s">
        <v>17</v>
      </c>
      <c r="H21" t="s">
        <v>58</v>
      </c>
      <c r="I21">
        <v>0.90977795105681913</v>
      </c>
      <c r="J21" t="s">
        <v>52</v>
      </c>
      <c r="K21">
        <v>1.4721714203467941E-2</v>
      </c>
      <c r="L21" t="s">
        <v>19</v>
      </c>
      <c r="M21">
        <v>0.43301272766859611</v>
      </c>
      <c r="N21">
        <v>1.618165639908822E-2</v>
      </c>
      <c r="O21">
        <v>0.47595429979985548</v>
      </c>
    </row>
    <row r="22" spans="1:15" x14ac:dyDescent="0.35">
      <c r="A22" s="1">
        <v>1</v>
      </c>
      <c r="B22" t="s">
        <v>11</v>
      </c>
      <c r="C22" t="s">
        <v>13</v>
      </c>
      <c r="D22" t="s">
        <v>14</v>
      </c>
      <c r="E22" t="s">
        <v>15</v>
      </c>
      <c r="F22">
        <v>2020</v>
      </c>
      <c r="G22" t="s">
        <v>17</v>
      </c>
      <c r="H22" t="s">
        <v>59</v>
      </c>
      <c r="I22">
        <v>4.3975119343490202E-2</v>
      </c>
      <c r="J22" t="s">
        <v>52</v>
      </c>
      <c r="K22">
        <v>3.2450178493264839E-3</v>
      </c>
      <c r="L22" t="s">
        <v>19</v>
      </c>
      <c r="M22">
        <v>9.5446359768289732E-2</v>
      </c>
      <c r="N22">
        <v>7.3792132864486618E-2</v>
      </c>
      <c r="O22">
        <v>2.1704627797086111</v>
      </c>
    </row>
    <row r="23" spans="1:15" x14ac:dyDescent="0.35">
      <c r="A23" s="1">
        <v>2</v>
      </c>
      <c r="B23" t="s">
        <v>11</v>
      </c>
      <c r="C23" t="s">
        <v>13</v>
      </c>
      <c r="D23" t="s">
        <v>14</v>
      </c>
      <c r="E23" t="s">
        <v>15</v>
      </c>
      <c r="F23">
        <v>2020</v>
      </c>
      <c r="G23" t="s">
        <v>17</v>
      </c>
      <c r="H23" t="s">
        <v>60</v>
      </c>
      <c r="I23">
        <v>4.6246929599690581E-2</v>
      </c>
      <c r="J23" t="s">
        <v>52</v>
      </c>
      <c r="K23">
        <v>1.258181215336378E-2</v>
      </c>
      <c r="L23" t="s">
        <v>19</v>
      </c>
      <c r="M23">
        <v>0.37007136018566072</v>
      </c>
      <c r="N23">
        <v>0.2720572427677006</v>
      </c>
      <c r="O23">
        <v>8.0020741569000577</v>
      </c>
    </row>
    <row r="24" spans="1:15" x14ac:dyDescent="0.35">
      <c r="A24" s="1">
        <v>3</v>
      </c>
      <c r="B24" t="s">
        <v>11</v>
      </c>
      <c r="C24" t="s">
        <v>13</v>
      </c>
      <c r="D24" t="s">
        <v>14</v>
      </c>
      <c r="E24" t="s">
        <v>15</v>
      </c>
      <c r="F24">
        <v>2020</v>
      </c>
      <c r="G24" t="s">
        <v>17</v>
      </c>
      <c r="H24" t="s">
        <v>61</v>
      </c>
      <c r="I24">
        <v>3.1242684515255099E-2</v>
      </c>
      <c r="J24" t="s">
        <v>52</v>
      </c>
      <c r="K24">
        <v>1.062199429700636E-3</v>
      </c>
      <c r="L24" t="s">
        <v>19</v>
      </c>
      <c r="M24">
        <v>3.124268451525513E-2</v>
      </c>
      <c r="N24">
        <v>3.3998340609366899E-2</v>
      </c>
      <c r="O24">
        <v>1</v>
      </c>
    </row>
    <row r="25" spans="1:15" x14ac:dyDescent="0.35">
      <c r="A25" s="1">
        <v>4</v>
      </c>
      <c r="B25" t="s">
        <v>11</v>
      </c>
      <c r="C25" t="s">
        <v>13</v>
      </c>
      <c r="D25" t="s">
        <v>14</v>
      </c>
      <c r="E25" t="s">
        <v>15</v>
      </c>
      <c r="F25">
        <v>2020</v>
      </c>
      <c r="G25" t="s">
        <v>17</v>
      </c>
      <c r="H25" t="s">
        <v>62</v>
      </c>
      <c r="I25">
        <v>6.0394699999999996E-9</v>
      </c>
      <c r="J25" t="s">
        <v>53</v>
      </c>
      <c r="K25">
        <v>1.0225967357011089E-3</v>
      </c>
      <c r="L25" t="s">
        <v>19</v>
      </c>
      <c r="M25">
        <v>3.0077842546802819E-2</v>
      </c>
      <c r="N25">
        <v>169318.9527725295</v>
      </c>
      <c r="O25">
        <v>4980212.2614737377</v>
      </c>
    </row>
    <row r="26" spans="1:15" x14ac:dyDescent="0.35">
      <c r="A26" s="1">
        <v>5</v>
      </c>
      <c r="B26" t="s">
        <v>11</v>
      </c>
      <c r="C26" t="s">
        <v>13</v>
      </c>
      <c r="D26" t="s">
        <v>14</v>
      </c>
      <c r="E26" t="s">
        <v>15</v>
      </c>
      <c r="F26">
        <v>2020</v>
      </c>
      <c r="G26" t="s">
        <v>17</v>
      </c>
      <c r="H26" t="s">
        <v>63</v>
      </c>
      <c r="K26">
        <v>1.3650002378069459E-3</v>
      </c>
      <c r="L26" t="s">
        <v>19</v>
      </c>
      <c r="M26">
        <v>4.0149025315395659E-2</v>
      </c>
    </row>
    <row r="27" spans="1:15" x14ac:dyDescent="0.35">
      <c r="A27" s="1">
        <v>6</v>
      </c>
      <c r="B27" t="s">
        <v>11</v>
      </c>
      <c r="C27" t="s">
        <v>13</v>
      </c>
      <c r="D27" t="s">
        <v>14</v>
      </c>
      <c r="E27" t="s">
        <v>15</v>
      </c>
      <c r="F27">
        <v>2020</v>
      </c>
      <c r="G27" t="s">
        <v>17</v>
      </c>
      <c r="H27" t="s">
        <v>18</v>
      </c>
      <c r="I27">
        <v>1</v>
      </c>
      <c r="J27" t="s">
        <v>52</v>
      </c>
      <c r="K27">
        <v>3.3998340609366899E-2</v>
      </c>
      <c r="L27" t="s">
        <v>19</v>
      </c>
      <c r="M27">
        <v>1</v>
      </c>
      <c r="N27">
        <v>3.3998340609366899E-2</v>
      </c>
      <c r="O27">
        <v>1</v>
      </c>
    </row>
    <row r="29" spans="1:15" x14ac:dyDescent="0.35">
      <c r="B29" s="1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 t="s">
        <v>27</v>
      </c>
      <c r="J29" s="1" t="s">
        <v>28</v>
      </c>
      <c r="K29" s="1" t="s">
        <v>7</v>
      </c>
      <c r="L29" s="1" t="s">
        <v>29</v>
      </c>
      <c r="M29" s="1" t="s">
        <v>30</v>
      </c>
      <c r="N29" s="1" t="s">
        <v>31</v>
      </c>
      <c r="O29" s="1" t="s">
        <v>32</v>
      </c>
    </row>
    <row r="30" spans="1:15" x14ac:dyDescent="0.35">
      <c r="A30" s="1">
        <v>0</v>
      </c>
      <c r="B30" t="s">
        <v>10</v>
      </c>
      <c r="C30" t="s">
        <v>13</v>
      </c>
      <c r="D30" t="s">
        <v>14</v>
      </c>
      <c r="E30" t="s">
        <v>15</v>
      </c>
      <c r="F30">
        <v>2050</v>
      </c>
      <c r="G30" t="s">
        <v>16</v>
      </c>
      <c r="H30" t="s">
        <v>58</v>
      </c>
      <c r="I30">
        <v>0.90977795105681936</v>
      </c>
      <c r="J30" t="s">
        <v>52</v>
      </c>
      <c r="K30">
        <v>8.6307771327269172E-3</v>
      </c>
      <c r="L30" t="s">
        <v>19</v>
      </c>
      <c r="M30">
        <v>0.6696987821280288</v>
      </c>
      <c r="N30">
        <v>9.4866853199741807E-3</v>
      </c>
      <c r="O30">
        <v>0.73611234625997679</v>
      </c>
    </row>
    <row r="31" spans="1:15" x14ac:dyDescent="0.35">
      <c r="A31" s="1">
        <v>1</v>
      </c>
      <c r="B31" t="s">
        <v>10</v>
      </c>
      <c r="C31" t="s">
        <v>13</v>
      </c>
      <c r="D31" t="s">
        <v>14</v>
      </c>
      <c r="E31" t="s">
        <v>15</v>
      </c>
      <c r="F31">
        <v>2050</v>
      </c>
      <c r="G31" t="s">
        <v>16</v>
      </c>
      <c r="H31" t="s">
        <v>59</v>
      </c>
      <c r="I31">
        <v>4.3975119343490222E-2</v>
      </c>
      <c r="J31" t="s">
        <v>52</v>
      </c>
      <c r="K31">
        <v>1.330033507145618E-3</v>
      </c>
      <c r="L31" t="s">
        <v>19</v>
      </c>
      <c r="M31">
        <v>0.1032029684264904</v>
      </c>
      <c r="N31">
        <v>3.024513695475638E-2</v>
      </c>
      <c r="O31">
        <v>2.346849081189998</v>
      </c>
    </row>
    <row r="32" spans="1:15" x14ac:dyDescent="0.35">
      <c r="A32" s="1">
        <v>2</v>
      </c>
      <c r="B32" t="s">
        <v>10</v>
      </c>
      <c r="C32" t="s">
        <v>13</v>
      </c>
      <c r="D32" t="s">
        <v>14</v>
      </c>
      <c r="E32" t="s">
        <v>15</v>
      </c>
      <c r="F32">
        <v>2050</v>
      </c>
      <c r="G32" t="s">
        <v>16</v>
      </c>
      <c r="H32" t="s">
        <v>60</v>
      </c>
      <c r="I32">
        <v>4.6246929599690588E-2</v>
      </c>
      <c r="J32" t="s">
        <v>52</v>
      </c>
      <c r="K32">
        <v>5.241267264377527E-4</v>
      </c>
      <c r="L32" t="s">
        <v>19</v>
      </c>
      <c r="M32">
        <v>4.0669226534089858E-2</v>
      </c>
      <c r="N32">
        <v>1.1333222139816589E-2</v>
      </c>
      <c r="O32">
        <v>0.87939300805738252</v>
      </c>
    </row>
    <row r="33" spans="1:15" x14ac:dyDescent="0.35">
      <c r="A33" s="1">
        <v>3</v>
      </c>
      <c r="B33" t="s">
        <v>10</v>
      </c>
      <c r="C33" t="s">
        <v>13</v>
      </c>
      <c r="D33" t="s">
        <v>14</v>
      </c>
      <c r="E33" t="s">
        <v>15</v>
      </c>
      <c r="F33">
        <v>2050</v>
      </c>
      <c r="G33" t="s">
        <v>16</v>
      </c>
      <c r="H33" t="s">
        <v>61</v>
      </c>
      <c r="I33">
        <v>3.1242684515255099E-2</v>
      </c>
      <c r="J33" t="s">
        <v>52</v>
      </c>
      <c r="K33">
        <v>4.0264168649438431E-4</v>
      </c>
      <c r="L33" t="s">
        <v>19</v>
      </c>
      <c r="M33">
        <v>3.1242684515255061E-2</v>
      </c>
      <c r="N33">
        <v>1.288755088564119E-2</v>
      </c>
      <c r="O33">
        <v>1</v>
      </c>
    </row>
    <row r="34" spans="1:15" x14ac:dyDescent="0.35">
      <c r="A34" s="1">
        <v>4</v>
      </c>
      <c r="B34" t="s">
        <v>10</v>
      </c>
      <c r="C34" t="s">
        <v>13</v>
      </c>
      <c r="D34" t="s">
        <v>14</v>
      </c>
      <c r="E34" t="s">
        <v>15</v>
      </c>
      <c r="F34">
        <v>2050</v>
      </c>
      <c r="G34" t="s">
        <v>16</v>
      </c>
      <c r="H34" t="s">
        <v>62</v>
      </c>
      <c r="I34">
        <v>6.0394699999999996E-9</v>
      </c>
      <c r="J34" t="s">
        <v>53</v>
      </c>
      <c r="K34">
        <v>6.3497186215321288E-4</v>
      </c>
      <c r="L34" t="s">
        <v>19</v>
      </c>
      <c r="M34">
        <v>4.9270173036575403E-2</v>
      </c>
      <c r="N34">
        <v>105137.01734642489</v>
      </c>
      <c r="O34">
        <v>8158029.2702133553</v>
      </c>
    </row>
    <row r="35" spans="1:15" x14ac:dyDescent="0.35">
      <c r="A35" s="1">
        <v>5</v>
      </c>
      <c r="B35" t="s">
        <v>10</v>
      </c>
      <c r="C35" t="s">
        <v>13</v>
      </c>
      <c r="D35" t="s">
        <v>14</v>
      </c>
      <c r="E35" t="s">
        <v>15</v>
      </c>
      <c r="F35">
        <v>2050</v>
      </c>
      <c r="G35" t="s">
        <v>16</v>
      </c>
      <c r="H35" t="s">
        <v>63</v>
      </c>
      <c r="K35">
        <v>1.3649999706833069E-3</v>
      </c>
      <c r="L35" t="s">
        <v>19</v>
      </c>
      <c r="M35">
        <v>0.1059161653595605</v>
      </c>
    </row>
    <row r="36" spans="1:15" x14ac:dyDescent="0.35">
      <c r="A36" s="1">
        <v>6</v>
      </c>
      <c r="B36" t="s">
        <v>10</v>
      </c>
      <c r="C36" t="s">
        <v>13</v>
      </c>
      <c r="D36" t="s">
        <v>14</v>
      </c>
      <c r="E36" t="s">
        <v>15</v>
      </c>
      <c r="F36">
        <v>2050</v>
      </c>
      <c r="G36" t="s">
        <v>16</v>
      </c>
      <c r="H36" t="s">
        <v>18</v>
      </c>
      <c r="I36">
        <v>1</v>
      </c>
      <c r="J36" t="s">
        <v>52</v>
      </c>
      <c r="K36">
        <v>1.288755088564119E-2</v>
      </c>
      <c r="L36" t="s">
        <v>19</v>
      </c>
      <c r="M36">
        <v>1</v>
      </c>
      <c r="N36">
        <v>1.288755088564119E-2</v>
      </c>
      <c r="O36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97EE-7FCD-47A1-9018-EA5E220604E4}">
  <dimension ref="A1:AA44"/>
  <sheetViews>
    <sheetView tabSelected="1" topLeftCell="K5" workbookViewId="0">
      <selection activeCell="P27" sqref="P27"/>
    </sheetView>
  </sheetViews>
  <sheetFormatPr baseColWidth="10" defaultRowHeight="14.5" x14ac:dyDescent="0.35"/>
  <cols>
    <col min="8" max="8" width="26.1796875" customWidth="1"/>
    <col min="14" max="14" width="9.90625" customWidth="1"/>
    <col min="15" max="15" width="10.90625" hidden="1" customWidth="1"/>
    <col min="16" max="17" width="28.7265625" customWidth="1"/>
    <col min="19" max="19" width="33.7265625" customWidth="1"/>
    <col min="20" max="20" width="8.984375E-2" customWidth="1"/>
    <col min="21" max="24" width="10.90625" hidden="1" customWidth="1"/>
  </cols>
  <sheetData>
    <row r="1" spans="1:2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</v>
      </c>
      <c r="J1" s="1" t="s">
        <v>28</v>
      </c>
      <c r="K1" s="1" t="s">
        <v>7</v>
      </c>
      <c r="L1" s="1" t="s">
        <v>29</v>
      </c>
      <c r="M1" s="1" t="s">
        <v>30</v>
      </c>
      <c r="N1" s="1" t="s">
        <v>31</v>
      </c>
      <c r="O1" s="1" t="s">
        <v>32</v>
      </c>
      <c r="P1" s="30" t="s">
        <v>31</v>
      </c>
      <c r="R1" s="1" t="s">
        <v>80</v>
      </c>
      <c r="S1" s="1" t="s">
        <v>6</v>
      </c>
      <c r="T1" s="1" t="s">
        <v>27</v>
      </c>
      <c r="U1" s="1" t="s">
        <v>28</v>
      </c>
      <c r="V1" s="1" t="s">
        <v>7</v>
      </c>
      <c r="W1" s="1" t="s">
        <v>29</v>
      </c>
      <c r="X1" s="1" t="s">
        <v>30</v>
      </c>
      <c r="Y1" s="1" t="s">
        <v>76</v>
      </c>
      <c r="Z1" t="s">
        <v>85</v>
      </c>
    </row>
    <row r="2" spans="1:27" x14ac:dyDescent="0.35">
      <c r="A2" s="1">
        <v>0</v>
      </c>
      <c r="B2" t="s">
        <v>9</v>
      </c>
      <c r="C2" t="s">
        <v>13</v>
      </c>
      <c r="D2" t="s">
        <v>14</v>
      </c>
      <c r="E2" t="s">
        <v>15</v>
      </c>
      <c r="F2">
        <v>2020</v>
      </c>
      <c r="G2" t="s">
        <v>16</v>
      </c>
      <c r="H2" t="s">
        <v>33</v>
      </c>
      <c r="I2">
        <v>0.6901754327089229</v>
      </c>
      <c r="J2" t="s">
        <v>52</v>
      </c>
      <c r="K2">
        <v>4.4030793531877792E-3</v>
      </c>
      <c r="L2" t="s">
        <v>19</v>
      </c>
      <c r="M2">
        <v>8.1261837046035582E-2</v>
      </c>
      <c r="N2">
        <v>6.379652396356377E-3</v>
      </c>
      <c r="O2">
        <v>0.11774084268268541</v>
      </c>
      <c r="P2" t="s">
        <v>33</v>
      </c>
      <c r="Q2" t="s">
        <v>82</v>
      </c>
      <c r="R2">
        <f t="shared" ref="R2:R10" si="0">N2*1000</f>
        <v>6.3796523963563772</v>
      </c>
      <c r="S2" t="s">
        <v>33</v>
      </c>
      <c r="T2">
        <v>0.1238413121453323</v>
      </c>
      <c r="U2" t="s">
        <v>52</v>
      </c>
      <c r="V2">
        <v>5.3143947714966763E-4</v>
      </c>
      <c r="W2" t="s">
        <v>19</v>
      </c>
      <c r="X2">
        <v>4.1236654028794263E-2</v>
      </c>
      <c r="Y2">
        <v>4.2912939789107214E-3</v>
      </c>
      <c r="Z2">
        <f>Y2*1000</f>
        <v>4.2912939789107218</v>
      </c>
      <c r="AA2" s="34">
        <f>(Z2-R2)/R2</f>
        <v>-0.32734674049614104</v>
      </c>
    </row>
    <row r="3" spans="1:27" x14ac:dyDescent="0.35">
      <c r="A3" s="1">
        <v>1</v>
      </c>
      <c r="B3" t="s">
        <v>9</v>
      </c>
      <c r="C3" t="s">
        <v>13</v>
      </c>
      <c r="D3" t="s">
        <v>14</v>
      </c>
      <c r="E3" t="s">
        <v>15</v>
      </c>
      <c r="F3">
        <v>2020</v>
      </c>
      <c r="G3" t="s">
        <v>16</v>
      </c>
      <c r="H3" t="s">
        <v>34</v>
      </c>
      <c r="I3">
        <v>8.4311417026214946E-2</v>
      </c>
      <c r="J3" t="s">
        <v>52</v>
      </c>
      <c r="K3">
        <v>3.3676022106857449E-4</v>
      </c>
      <c r="L3" t="s">
        <v>19</v>
      </c>
      <c r="M3">
        <v>6.215139908448148E-3</v>
      </c>
      <c r="N3">
        <v>3.9942422147153057E-3</v>
      </c>
      <c r="O3">
        <v>7.3716468393784373E-2</v>
      </c>
      <c r="P3" t="s">
        <v>34</v>
      </c>
      <c r="Q3" t="s">
        <v>77</v>
      </c>
      <c r="R3">
        <f t="shared" si="0"/>
        <v>3.9942422147153058</v>
      </c>
      <c r="S3" t="s">
        <v>34</v>
      </c>
      <c r="T3">
        <v>7.0702130932249974E-2</v>
      </c>
      <c r="U3" t="s">
        <v>52</v>
      </c>
      <c r="V3">
        <v>1.4731903923035229E-4</v>
      </c>
      <c r="W3" t="s">
        <v>19</v>
      </c>
      <c r="X3">
        <v>2.9837497710465049E-2</v>
      </c>
      <c r="Y3">
        <v>3.202072851206419E-3</v>
      </c>
      <c r="Z3">
        <f t="shared" ref="Z3:Z9" si="1">Y4*1000</f>
        <v>2.0836576958553077</v>
      </c>
      <c r="AA3" s="34">
        <f t="shared" ref="AA3:AA8" si="2">(Z3-R3)/R3</f>
        <v>-0.47833466679140219</v>
      </c>
    </row>
    <row r="4" spans="1:27" x14ac:dyDescent="0.35">
      <c r="A4" s="1">
        <v>2</v>
      </c>
      <c r="B4" t="s">
        <v>9</v>
      </c>
      <c r="C4" t="s">
        <v>13</v>
      </c>
      <c r="D4" t="s">
        <v>14</v>
      </c>
      <c r="E4" t="s">
        <v>15</v>
      </c>
      <c r="F4">
        <v>2020</v>
      </c>
      <c r="G4" t="s">
        <v>16</v>
      </c>
      <c r="H4" t="s">
        <v>35</v>
      </c>
      <c r="I4">
        <v>1.6059317526220342E-2</v>
      </c>
      <c r="J4" t="s">
        <v>52</v>
      </c>
      <c r="K4">
        <v>9.6509691457387421E-5</v>
      </c>
      <c r="L4" t="s">
        <v>19</v>
      </c>
      <c r="M4">
        <v>1.7811522780972521E-3</v>
      </c>
      <c r="N4">
        <v>6.0095761416893512E-3</v>
      </c>
      <c r="O4">
        <v>0.1109108326172101</v>
      </c>
      <c r="P4" t="s">
        <v>35</v>
      </c>
      <c r="Q4" t="s">
        <v>81</v>
      </c>
      <c r="R4">
        <f t="shared" si="0"/>
        <v>6.0095761416893509</v>
      </c>
      <c r="S4" t="s">
        <v>35</v>
      </c>
      <c r="T4">
        <v>1.346707255845492E-2</v>
      </c>
      <c r="U4" t="s">
        <v>52</v>
      </c>
      <c r="V4">
        <v>3.7078970388428201E-5</v>
      </c>
      <c r="W4" t="s">
        <v>19</v>
      </c>
      <c r="X4">
        <v>1.143111212809947E-2</v>
      </c>
      <c r="Y4">
        <v>2.0836576958553079E-3</v>
      </c>
      <c r="Z4">
        <f t="shared" si="1"/>
        <v>2.7533059042701322</v>
      </c>
      <c r="AA4" s="34">
        <f t="shared" si="2"/>
        <v>-0.54184690577925665</v>
      </c>
    </row>
    <row r="5" spans="1:27" x14ac:dyDescent="0.35">
      <c r="A5" s="1">
        <v>3</v>
      </c>
      <c r="B5" t="s">
        <v>9</v>
      </c>
      <c r="C5" t="s">
        <v>13</v>
      </c>
      <c r="D5" t="s">
        <v>14</v>
      </c>
      <c r="E5" t="s">
        <v>15</v>
      </c>
      <c r="F5">
        <v>2020</v>
      </c>
      <c r="G5" t="s">
        <v>16</v>
      </c>
      <c r="H5" t="s">
        <v>36</v>
      </c>
      <c r="I5">
        <v>2.6242913441980969E-2</v>
      </c>
      <c r="J5" t="s">
        <v>52</v>
      </c>
      <c r="K5">
        <v>9.3444995936218546E-4</v>
      </c>
      <c r="L5" t="s">
        <v>19</v>
      </c>
      <c r="M5">
        <v>1.724591228872319E-2</v>
      </c>
      <c r="N5">
        <v>3.5607706492958947E-2</v>
      </c>
      <c r="O5">
        <v>0.65716454565348625</v>
      </c>
      <c r="P5" t="s">
        <v>36</v>
      </c>
      <c r="Q5" t="s">
        <v>78</v>
      </c>
      <c r="R5">
        <f t="shared" si="0"/>
        <v>35.607706492958947</v>
      </c>
      <c r="S5" t="s">
        <v>36</v>
      </c>
      <c r="T5">
        <v>0.19353555708011461</v>
      </c>
      <c r="U5" t="s">
        <v>52</v>
      </c>
      <c r="V5">
        <v>2.897967661181354E-3</v>
      </c>
      <c r="W5" t="s">
        <v>19</v>
      </c>
      <c r="X5">
        <v>2.8771153431285459E-3</v>
      </c>
      <c r="Y5">
        <v>2.753305904270132E-3</v>
      </c>
      <c r="Z5">
        <f t="shared" si="1"/>
        <v>14.97382550732903</v>
      </c>
      <c r="AA5" s="34">
        <f t="shared" si="2"/>
        <v>-0.57947795625955434</v>
      </c>
    </row>
    <row r="6" spans="1:27" x14ac:dyDescent="0.35">
      <c r="A6" s="1">
        <v>4</v>
      </c>
      <c r="B6" t="s">
        <v>9</v>
      </c>
      <c r="C6" t="s">
        <v>13</v>
      </c>
      <c r="D6" t="s">
        <v>14</v>
      </c>
      <c r="E6" t="s">
        <v>15</v>
      </c>
      <c r="F6">
        <v>2020</v>
      </c>
      <c r="G6" t="s">
        <v>16</v>
      </c>
      <c r="H6" t="s">
        <v>37</v>
      </c>
      <c r="I6">
        <v>6.7703022865264903E-2</v>
      </c>
      <c r="J6" t="s">
        <v>52</v>
      </c>
      <c r="K6">
        <v>9.6925475786536195E-4</v>
      </c>
      <c r="L6" t="s">
        <v>19</v>
      </c>
      <c r="M6">
        <v>1.788825861898807E-2</v>
      </c>
      <c r="N6">
        <v>1.431627004002858E-2</v>
      </c>
      <c r="O6">
        <v>0.26421654251077259</v>
      </c>
      <c r="P6" t="s">
        <v>37</v>
      </c>
      <c r="Q6" t="s">
        <v>83</v>
      </c>
      <c r="R6">
        <f t="shared" si="0"/>
        <v>14.316270040028581</v>
      </c>
      <c r="S6" t="s">
        <v>37</v>
      </c>
      <c r="T6">
        <v>0.1572141332383965</v>
      </c>
      <c r="U6" t="s">
        <v>52</v>
      </c>
      <c r="V6">
        <v>1.6594351637621071E-3</v>
      </c>
      <c r="W6" t="s">
        <v>19</v>
      </c>
      <c r="X6">
        <v>0.22486566197850311</v>
      </c>
      <c r="Y6">
        <v>1.4973825507329031E-2</v>
      </c>
      <c r="Z6">
        <f t="shared" si="1"/>
        <v>10.55525435010205</v>
      </c>
      <c r="AA6" s="34">
        <f t="shared" si="2"/>
        <v>-0.26270918887466183</v>
      </c>
    </row>
    <row r="7" spans="1:27" x14ac:dyDescent="0.35">
      <c r="A7" s="1">
        <v>5</v>
      </c>
      <c r="B7" t="s">
        <v>9</v>
      </c>
      <c r="C7" t="s">
        <v>13</v>
      </c>
      <c r="D7" t="s">
        <v>14</v>
      </c>
      <c r="E7" t="s">
        <v>15</v>
      </c>
      <c r="F7">
        <v>2020</v>
      </c>
      <c r="G7" t="s">
        <v>16</v>
      </c>
      <c r="H7" t="s">
        <v>38</v>
      </c>
      <c r="I7">
        <v>2.9901455401623949E-3</v>
      </c>
      <c r="J7" t="s">
        <v>52</v>
      </c>
      <c r="K7">
        <v>4.4213824606013787E-5</v>
      </c>
      <c r="L7" t="s">
        <v>19</v>
      </c>
      <c r="M7">
        <v>8.1599633395538845E-4</v>
      </c>
      <c r="N7">
        <v>1.478651256674701E-2</v>
      </c>
      <c r="O7">
        <v>0.27289518954688458</v>
      </c>
      <c r="P7" t="s">
        <v>38</v>
      </c>
      <c r="Q7" t="s">
        <v>84</v>
      </c>
      <c r="R7">
        <f t="shared" si="0"/>
        <v>14.78651256674701</v>
      </c>
      <c r="S7" t="s">
        <v>38</v>
      </c>
      <c r="T7">
        <v>0.21471188530380569</v>
      </c>
      <c r="U7" t="s">
        <v>52</v>
      </c>
      <c r="V7">
        <v>2.408687854690473E-3</v>
      </c>
      <c r="W7" t="s">
        <v>19</v>
      </c>
      <c r="X7">
        <v>0.12876264687427799</v>
      </c>
      <c r="Y7">
        <v>1.055525435010205E-2</v>
      </c>
      <c r="Z7">
        <f t="shared" si="1"/>
        <v>11.2182325225374</v>
      </c>
      <c r="AA7" s="34">
        <f t="shared" si="2"/>
        <v>-0.24131992098219418</v>
      </c>
    </row>
    <row r="8" spans="1:27" x14ac:dyDescent="0.35">
      <c r="A8" s="1">
        <v>6</v>
      </c>
      <c r="B8" t="s">
        <v>9</v>
      </c>
      <c r="C8" t="s">
        <v>13</v>
      </c>
      <c r="D8" t="s">
        <v>14</v>
      </c>
      <c r="E8" t="s">
        <v>15</v>
      </c>
      <c r="F8">
        <v>2020</v>
      </c>
      <c r="G8" t="s">
        <v>16</v>
      </c>
      <c r="H8" t="s">
        <v>39</v>
      </c>
      <c r="I8">
        <v>1.775642420797759E-2</v>
      </c>
      <c r="J8" t="s">
        <v>52</v>
      </c>
      <c r="K8">
        <v>8.9320498010142936E-4</v>
      </c>
      <c r="L8" t="s">
        <v>19</v>
      </c>
      <c r="M8">
        <v>1.6484708023524541E-2</v>
      </c>
      <c r="N8">
        <v>5.0303201232381627E-2</v>
      </c>
      <c r="O8">
        <v>0.92837993902614147</v>
      </c>
      <c r="P8" t="s">
        <v>39</v>
      </c>
      <c r="Q8" t="s">
        <v>79</v>
      </c>
      <c r="R8">
        <f t="shared" si="0"/>
        <v>50.303201232381625</v>
      </c>
      <c r="S8" t="s">
        <v>39</v>
      </c>
      <c r="T8">
        <v>1.313468462121163E-2</v>
      </c>
      <c r="U8" t="s">
        <v>52</v>
      </c>
      <c r="V8">
        <v>5.3832104652912845E-4</v>
      </c>
      <c r="W8" t="s">
        <v>19</v>
      </c>
      <c r="X8">
        <v>0.18690035648077519</v>
      </c>
      <c r="Y8">
        <v>1.12182325225374E-2</v>
      </c>
      <c r="Z8">
        <f t="shared" si="1"/>
        <v>40.984695259433657</v>
      </c>
      <c r="AA8" s="34">
        <f t="shared" si="2"/>
        <v>-0.18524677842867335</v>
      </c>
    </row>
    <row r="9" spans="1:27" x14ac:dyDescent="0.35">
      <c r="A9" s="1">
        <v>7</v>
      </c>
      <c r="B9" t="s">
        <v>9</v>
      </c>
      <c r="C9" t="s">
        <v>13</v>
      </c>
      <c r="D9" t="s">
        <v>14</v>
      </c>
      <c r="E9" t="s">
        <v>15</v>
      </c>
      <c r="F9">
        <v>2020</v>
      </c>
      <c r="G9" t="s">
        <v>16</v>
      </c>
      <c r="H9" t="s">
        <v>40</v>
      </c>
      <c r="I9">
        <v>4.0309159790225674E-3</v>
      </c>
      <c r="J9" t="s">
        <v>52</v>
      </c>
      <c r="K9">
        <v>0</v>
      </c>
      <c r="L9" t="s">
        <v>19</v>
      </c>
      <c r="M9">
        <v>0</v>
      </c>
      <c r="N9">
        <v>0</v>
      </c>
      <c r="O9">
        <v>0</v>
      </c>
      <c r="P9" t="s">
        <v>40</v>
      </c>
      <c r="R9">
        <f t="shared" si="0"/>
        <v>0</v>
      </c>
      <c r="S9" t="s">
        <v>40</v>
      </c>
      <c r="T9">
        <v>2.412493094341404E-3</v>
      </c>
      <c r="U9" t="s">
        <v>52</v>
      </c>
      <c r="V9">
        <v>0</v>
      </c>
      <c r="W9" t="s">
        <v>19</v>
      </c>
      <c r="X9">
        <v>4.1770624326217337E-2</v>
      </c>
      <c r="Y9">
        <v>4.0984695259433657E-2</v>
      </c>
      <c r="Z9">
        <f t="shared" si="1"/>
        <v>0</v>
      </c>
    </row>
    <row r="10" spans="1:27" x14ac:dyDescent="0.35">
      <c r="A10" s="1">
        <v>8</v>
      </c>
      <c r="B10" t="s">
        <v>9</v>
      </c>
      <c r="C10" t="s">
        <v>13</v>
      </c>
      <c r="D10" t="s">
        <v>14</v>
      </c>
      <c r="E10" t="s">
        <v>15</v>
      </c>
      <c r="F10">
        <v>2020</v>
      </c>
      <c r="G10" t="s">
        <v>16</v>
      </c>
      <c r="H10" t="s">
        <v>41</v>
      </c>
      <c r="I10">
        <v>6.8969167654914634E-2</v>
      </c>
      <c r="J10" t="s">
        <v>52</v>
      </c>
      <c r="K10">
        <v>3.3557241475145633E-2</v>
      </c>
      <c r="L10" t="s">
        <v>19</v>
      </c>
      <c r="M10">
        <v>0.61932181315185475</v>
      </c>
      <c r="N10">
        <v>0.4865542475885512</v>
      </c>
      <c r="O10">
        <v>8.9796909867118408</v>
      </c>
      <c r="P10" t="s">
        <v>41</v>
      </c>
      <c r="R10">
        <f t="shared" si="0"/>
        <v>486.55424758855122</v>
      </c>
      <c r="S10" t="s">
        <v>41</v>
      </c>
      <c r="T10">
        <v>6.7013697097184535E-4</v>
      </c>
      <c r="U10" t="s">
        <v>52</v>
      </c>
      <c r="V10">
        <v>2.5995649751585341E-5</v>
      </c>
      <c r="W10" t="s">
        <v>19</v>
      </c>
      <c r="X10">
        <v>0</v>
      </c>
      <c r="Y10">
        <v>0</v>
      </c>
    </row>
    <row r="11" spans="1:27" x14ac:dyDescent="0.35">
      <c r="A11" s="1">
        <v>9</v>
      </c>
      <c r="B11" t="s">
        <v>9</v>
      </c>
      <c r="C11" t="s">
        <v>13</v>
      </c>
      <c r="D11" t="s">
        <v>14</v>
      </c>
      <c r="E11" t="s">
        <v>15</v>
      </c>
      <c r="F11">
        <v>2020</v>
      </c>
      <c r="G11" t="s">
        <v>16</v>
      </c>
      <c r="H11" t="s">
        <v>42</v>
      </c>
      <c r="I11">
        <v>3.8403712395952078E-3</v>
      </c>
      <c r="J11" t="s">
        <v>52</v>
      </c>
      <c r="K11">
        <v>3.8635014365845958E-3</v>
      </c>
      <c r="L11" t="s">
        <v>19</v>
      </c>
      <c r="M11">
        <v>7.1303558029123831E-2</v>
      </c>
      <c r="N11">
        <v>1.0060229065229189</v>
      </c>
      <c r="O11">
        <v>18.566839917444941</v>
      </c>
    </row>
    <row r="12" spans="1:27" x14ac:dyDescent="0.35">
      <c r="A12" s="1">
        <v>10</v>
      </c>
      <c r="B12" t="s">
        <v>9</v>
      </c>
      <c r="C12" t="s">
        <v>13</v>
      </c>
      <c r="D12" t="s">
        <v>14</v>
      </c>
      <c r="E12" t="s">
        <v>15</v>
      </c>
      <c r="F12">
        <v>2020</v>
      </c>
      <c r="G12" t="s">
        <v>16</v>
      </c>
      <c r="H12" t="s">
        <v>43</v>
      </c>
      <c r="I12">
        <v>2.6715626018654851E-3</v>
      </c>
      <c r="J12" t="s">
        <v>52</v>
      </c>
      <c r="K12">
        <v>3.0013346758360668E-3</v>
      </c>
      <c r="L12" t="s">
        <v>19</v>
      </c>
      <c r="M12">
        <v>5.5391681544832948E-2</v>
      </c>
      <c r="N12">
        <v>1.1234378987564471</v>
      </c>
      <c r="O12">
        <v>20.733813801014559</v>
      </c>
    </row>
    <row r="13" spans="1:27" x14ac:dyDescent="0.35">
      <c r="A13" s="1">
        <v>11</v>
      </c>
      <c r="B13" t="s">
        <v>9</v>
      </c>
      <c r="C13" t="s">
        <v>13</v>
      </c>
      <c r="D13" t="s">
        <v>14</v>
      </c>
      <c r="E13" t="s">
        <v>15</v>
      </c>
      <c r="F13">
        <v>2020</v>
      </c>
      <c r="G13" t="s">
        <v>16</v>
      </c>
      <c r="H13" t="s">
        <v>44</v>
      </c>
      <c r="I13">
        <v>1.084651616586327E-2</v>
      </c>
      <c r="J13" t="s">
        <v>52</v>
      </c>
      <c r="K13">
        <v>7.9580582337321652E-4</v>
      </c>
      <c r="L13" t="s">
        <v>19</v>
      </c>
      <c r="M13">
        <v>1.4687140056292909E-2</v>
      </c>
      <c r="N13">
        <v>7.3369717170368359E-2</v>
      </c>
      <c r="O13">
        <v>1.3540882465576409</v>
      </c>
    </row>
    <row r="14" spans="1:27" x14ac:dyDescent="0.35">
      <c r="A14" s="1">
        <v>12</v>
      </c>
      <c r="B14" t="s">
        <v>9</v>
      </c>
      <c r="C14" t="s">
        <v>13</v>
      </c>
      <c r="D14" t="s">
        <v>14</v>
      </c>
      <c r="E14" t="s">
        <v>15</v>
      </c>
      <c r="F14">
        <v>2020</v>
      </c>
      <c r="G14" t="s">
        <v>16</v>
      </c>
      <c r="H14" t="s">
        <v>45</v>
      </c>
      <c r="I14">
        <v>3.7531197805755272E-5</v>
      </c>
      <c r="J14" t="s">
        <v>52</v>
      </c>
      <c r="K14">
        <v>3.9099184665150633E-6</v>
      </c>
      <c r="L14" t="s">
        <v>19</v>
      </c>
      <c r="M14">
        <v>7.2160216022271225E-5</v>
      </c>
      <c r="N14">
        <v>0.1041778225877857</v>
      </c>
      <c r="O14">
        <v>1.9226728759295211</v>
      </c>
    </row>
    <row r="15" spans="1:27" x14ac:dyDescent="0.35">
      <c r="A15" s="1">
        <v>13</v>
      </c>
      <c r="B15" t="s">
        <v>9</v>
      </c>
      <c r="C15" t="s">
        <v>13</v>
      </c>
      <c r="D15" t="s">
        <v>14</v>
      </c>
      <c r="E15" t="s">
        <v>15</v>
      </c>
      <c r="F15">
        <v>2020</v>
      </c>
      <c r="G15" t="s">
        <v>16</v>
      </c>
      <c r="H15" t="s">
        <v>46</v>
      </c>
      <c r="I15">
        <v>4.3652618441889224E-3</v>
      </c>
      <c r="J15" t="s">
        <v>52</v>
      </c>
      <c r="K15">
        <v>1.2037764144165279E-3</v>
      </c>
      <c r="L15" t="s">
        <v>19</v>
      </c>
      <c r="M15">
        <v>2.221651598383198E-2</v>
      </c>
      <c r="N15">
        <v>0.2757627050526204</v>
      </c>
      <c r="O15">
        <v>5.0893890851946981</v>
      </c>
    </row>
    <row r="16" spans="1:27" x14ac:dyDescent="0.35">
      <c r="A16" s="1">
        <v>14</v>
      </c>
      <c r="B16" t="s">
        <v>9</v>
      </c>
      <c r="C16" t="s">
        <v>13</v>
      </c>
      <c r="D16" t="s">
        <v>14</v>
      </c>
      <c r="E16" t="s">
        <v>15</v>
      </c>
      <c r="F16">
        <v>2020</v>
      </c>
      <c r="G16" t="s">
        <v>16</v>
      </c>
      <c r="H16" t="s">
        <v>18</v>
      </c>
      <c r="I16">
        <v>3.1242684515255099E-2</v>
      </c>
      <c r="J16" t="s">
        <v>52</v>
      </c>
      <c r="K16">
        <v>1.692848994409862E-3</v>
      </c>
      <c r="L16" t="s">
        <v>19</v>
      </c>
      <c r="M16">
        <v>3.124268451525512E-2</v>
      </c>
      <c r="N16">
        <v>5.418385201768694E-2</v>
      </c>
      <c r="O16">
        <v>1.0000000000000011</v>
      </c>
    </row>
    <row r="17" spans="1:15" x14ac:dyDescent="0.35">
      <c r="A17" s="1">
        <v>15</v>
      </c>
      <c r="B17" t="s">
        <v>9</v>
      </c>
      <c r="C17" t="s">
        <v>13</v>
      </c>
      <c r="D17" t="s">
        <v>14</v>
      </c>
      <c r="E17" t="s">
        <v>15</v>
      </c>
      <c r="F17">
        <v>2020</v>
      </c>
      <c r="G17" t="s">
        <v>16</v>
      </c>
      <c r="H17" t="s">
        <v>47</v>
      </c>
      <c r="I17">
        <v>5.6500000000000001E-9</v>
      </c>
      <c r="J17" t="s">
        <v>53</v>
      </c>
      <c r="K17">
        <v>9.4433752134588786E-4</v>
      </c>
      <c r="L17" t="s">
        <v>19</v>
      </c>
      <c r="M17">
        <v>1.742839399896548E-2</v>
      </c>
      <c r="N17">
        <v>167139.38430900671</v>
      </c>
      <c r="O17">
        <v>3084671.5042416779</v>
      </c>
    </row>
    <row r="18" spans="1:15" x14ac:dyDescent="0.35">
      <c r="A18" s="1">
        <v>16</v>
      </c>
      <c r="B18" t="s">
        <v>9</v>
      </c>
      <c r="C18" t="s">
        <v>13</v>
      </c>
      <c r="D18" t="s">
        <v>14</v>
      </c>
      <c r="E18" t="s">
        <v>15</v>
      </c>
      <c r="F18">
        <v>2020</v>
      </c>
      <c r="G18" t="s">
        <v>16</v>
      </c>
      <c r="H18" t="s">
        <v>48</v>
      </c>
      <c r="I18">
        <v>3.8600000000000001E-10</v>
      </c>
      <c r="J18" t="s">
        <v>53</v>
      </c>
      <c r="K18">
        <v>7.7906700259422967E-5</v>
      </c>
      <c r="L18" t="s">
        <v>19</v>
      </c>
      <c r="M18">
        <v>1.437821368513858E-3</v>
      </c>
      <c r="N18">
        <v>201830.8296876243</v>
      </c>
      <c r="O18">
        <v>3724925.8251654371</v>
      </c>
    </row>
    <row r="19" spans="1:15" x14ac:dyDescent="0.35">
      <c r="A19" s="1">
        <v>17</v>
      </c>
      <c r="B19" t="s">
        <v>9</v>
      </c>
      <c r="C19" t="s">
        <v>13</v>
      </c>
      <c r="D19" t="s">
        <v>14</v>
      </c>
      <c r="E19" t="s">
        <v>15</v>
      </c>
      <c r="F19">
        <v>2020</v>
      </c>
      <c r="G19" t="s">
        <v>16</v>
      </c>
      <c r="H19" t="s">
        <v>49</v>
      </c>
      <c r="I19">
        <v>3.47E-12</v>
      </c>
      <c r="J19" t="s">
        <v>53</v>
      </c>
      <c r="K19">
        <v>7.1629699534564834E-7</v>
      </c>
      <c r="L19" t="s">
        <v>19</v>
      </c>
      <c r="M19">
        <v>1.3219750325462871E-5</v>
      </c>
      <c r="N19">
        <v>206425.6470736739</v>
      </c>
      <c r="O19">
        <v>3809726.318577196</v>
      </c>
    </row>
    <row r="20" spans="1:15" x14ac:dyDescent="0.35">
      <c r="A20" s="1">
        <v>18</v>
      </c>
      <c r="B20" t="s">
        <v>9</v>
      </c>
      <c r="C20" t="s">
        <v>13</v>
      </c>
      <c r="D20" t="s">
        <v>14</v>
      </c>
      <c r="E20" t="s">
        <v>15</v>
      </c>
      <c r="F20">
        <v>2020</v>
      </c>
      <c r="G20" t="s">
        <v>16</v>
      </c>
      <c r="H20" t="s">
        <v>50</v>
      </c>
      <c r="I20">
        <v>5.0000000000000004E-6</v>
      </c>
      <c r="J20" t="s">
        <v>54</v>
      </c>
    </row>
    <row r="21" spans="1:15" x14ac:dyDescent="0.35">
      <c r="A21" s="1">
        <v>19</v>
      </c>
      <c r="B21" t="s">
        <v>9</v>
      </c>
      <c r="C21" t="s">
        <v>13</v>
      </c>
      <c r="D21" t="s">
        <v>14</v>
      </c>
      <c r="E21" t="s">
        <v>15</v>
      </c>
      <c r="F21">
        <v>2020</v>
      </c>
      <c r="G21" t="s">
        <v>16</v>
      </c>
      <c r="H21" t="s">
        <v>51</v>
      </c>
      <c r="I21">
        <v>4.16E-6</v>
      </c>
      <c r="J21" t="s">
        <v>54</v>
      </c>
    </row>
    <row r="23" spans="1:15" x14ac:dyDescent="0.35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27</v>
      </c>
      <c r="J23" s="1" t="s">
        <v>28</v>
      </c>
      <c r="K23" s="1" t="s">
        <v>7</v>
      </c>
      <c r="L23" s="1" t="s">
        <v>29</v>
      </c>
      <c r="M23" s="1" t="s">
        <v>30</v>
      </c>
      <c r="N23" s="1" t="s">
        <v>31</v>
      </c>
      <c r="O23" s="1" t="s">
        <v>32</v>
      </c>
    </row>
    <row r="24" spans="1:15" x14ac:dyDescent="0.35">
      <c r="A24" s="1">
        <v>0</v>
      </c>
      <c r="B24" t="s">
        <v>12</v>
      </c>
      <c r="C24" t="s">
        <v>13</v>
      </c>
      <c r="D24" t="s">
        <v>14</v>
      </c>
      <c r="E24" t="s">
        <v>15</v>
      </c>
      <c r="F24">
        <v>2050</v>
      </c>
      <c r="G24" t="s">
        <v>17</v>
      </c>
      <c r="H24" t="s">
        <v>33</v>
      </c>
      <c r="I24">
        <v>0.1238413121453323</v>
      </c>
      <c r="J24" t="s">
        <v>52</v>
      </c>
      <c r="K24">
        <v>5.3143947714966763E-4</v>
      </c>
      <c r="L24" t="s">
        <v>19</v>
      </c>
      <c r="M24">
        <v>4.1236654028794263E-2</v>
      </c>
      <c r="N24">
        <v>4.2912939789107214E-3</v>
      </c>
      <c r="O24">
        <v>0.33297978933234768</v>
      </c>
    </row>
    <row r="25" spans="1:15" x14ac:dyDescent="0.35">
      <c r="A25" s="1">
        <v>1</v>
      </c>
      <c r="B25" t="s">
        <v>12</v>
      </c>
      <c r="C25" t="s">
        <v>13</v>
      </c>
      <c r="D25" t="s">
        <v>14</v>
      </c>
      <c r="E25" t="s">
        <v>15</v>
      </c>
      <c r="F25">
        <v>2050</v>
      </c>
      <c r="G25" t="s">
        <v>17</v>
      </c>
      <c r="H25" t="s">
        <v>55</v>
      </c>
      <c r="I25">
        <v>0.1200885451119403</v>
      </c>
      <c r="J25" t="s">
        <v>52</v>
      </c>
      <c r="K25">
        <v>3.8453227004382138E-4</v>
      </c>
      <c r="L25" t="s">
        <v>19</v>
      </c>
      <c r="M25">
        <v>2.9837497710465049E-2</v>
      </c>
      <c r="N25">
        <v>3.202072851206419E-3</v>
      </c>
      <c r="O25">
        <v>0.24846247976984051</v>
      </c>
    </row>
    <row r="26" spans="1:15" x14ac:dyDescent="0.35">
      <c r="A26" s="1">
        <v>2</v>
      </c>
      <c r="B26" t="s">
        <v>12</v>
      </c>
      <c r="C26" t="s">
        <v>13</v>
      </c>
      <c r="D26" t="s">
        <v>14</v>
      </c>
      <c r="E26" t="s">
        <v>15</v>
      </c>
      <c r="F26">
        <v>2050</v>
      </c>
      <c r="G26" t="s">
        <v>17</v>
      </c>
      <c r="H26" t="s">
        <v>34</v>
      </c>
      <c r="I26">
        <v>7.0702130932249974E-2</v>
      </c>
      <c r="J26" t="s">
        <v>52</v>
      </c>
      <c r="K26">
        <v>1.4731903923035229E-4</v>
      </c>
      <c r="L26" t="s">
        <v>19</v>
      </c>
      <c r="M26">
        <v>1.143111212809947E-2</v>
      </c>
      <c r="N26">
        <v>2.0836576958553079E-3</v>
      </c>
      <c r="O26">
        <v>0.16167988117717819</v>
      </c>
    </row>
    <row r="27" spans="1:15" x14ac:dyDescent="0.35">
      <c r="A27" s="1">
        <v>3</v>
      </c>
      <c r="B27" t="s">
        <v>12</v>
      </c>
      <c r="C27" t="s">
        <v>13</v>
      </c>
      <c r="D27" t="s">
        <v>14</v>
      </c>
      <c r="E27" t="s">
        <v>15</v>
      </c>
      <c r="F27">
        <v>2050</v>
      </c>
      <c r="G27" t="s">
        <v>17</v>
      </c>
      <c r="H27" t="s">
        <v>35</v>
      </c>
      <c r="I27">
        <v>1.346707255845492E-2</v>
      </c>
      <c r="J27" t="s">
        <v>52</v>
      </c>
      <c r="K27">
        <v>3.7078970388428201E-5</v>
      </c>
      <c r="L27" t="s">
        <v>19</v>
      </c>
      <c r="M27">
        <v>2.8771153431285459E-3</v>
      </c>
      <c r="N27">
        <v>2.753305904270132E-3</v>
      </c>
      <c r="O27">
        <v>0.2136407397108907</v>
      </c>
    </row>
    <row r="28" spans="1:15" x14ac:dyDescent="0.35">
      <c r="A28" s="1">
        <v>4</v>
      </c>
      <c r="B28" t="s">
        <v>12</v>
      </c>
      <c r="C28" t="s">
        <v>13</v>
      </c>
      <c r="D28" t="s">
        <v>14</v>
      </c>
      <c r="E28" t="s">
        <v>15</v>
      </c>
      <c r="F28">
        <v>2050</v>
      </c>
      <c r="G28" t="s">
        <v>17</v>
      </c>
      <c r="H28" t="s">
        <v>36</v>
      </c>
      <c r="I28">
        <v>0.19353555708011461</v>
      </c>
      <c r="J28" t="s">
        <v>52</v>
      </c>
      <c r="K28">
        <v>2.897967661181354E-3</v>
      </c>
      <c r="L28" t="s">
        <v>19</v>
      </c>
      <c r="M28">
        <v>0.22486566197850311</v>
      </c>
      <c r="N28">
        <v>1.4973825507329031E-2</v>
      </c>
      <c r="O28">
        <v>1.161882939605869</v>
      </c>
    </row>
    <row r="29" spans="1:15" x14ac:dyDescent="0.35">
      <c r="A29" s="1">
        <v>5</v>
      </c>
      <c r="B29" t="s">
        <v>12</v>
      </c>
      <c r="C29" t="s">
        <v>13</v>
      </c>
      <c r="D29" t="s">
        <v>14</v>
      </c>
      <c r="E29" t="s">
        <v>15</v>
      </c>
      <c r="F29">
        <v>2050</v>
      </c>
      <c r="G29" t="s">
        <v>17</v>
      </c>
      <c r="H29" t="s">
        <v>37</v>
      </c>
      <c r="I29">
        <v>0.1572141332383965</v>
      </c>
      <c r="J29" t="s">
        <v>52</v>
      </c>
      <c r="K29">
        <v>1.6594351637621071E-3</v>
      </c>
      <c r="L29" t="s">
        <v>19</v>
      </c>
      <c r="M29">
        <v>0.12876264687427799</v>
      </c>
      <c r="N29">
        <v>1.055525435010205E-2</v>
      </c>
      <c r="O29">
        <v>0.81902717155222149</v>
      </c>
    </row>
    <row r="30" spans="1:15" x14ac:dyDescent="0.35">
      <c r="A30" s="1">
        <v>6</v>
      </c>
      <c r="B30" t="s">
        <v>12</v>
      </c>
      <c r="C30" t="s">
        <v>13</v>
      </c>
      <c r="D30" t="s">
        <v>14</v>
      </c>
      <c r="E30" t="s">
        <v>15</v>
      </c>
      <c r="F30">
        <v>2050</v>
      </c>
      <c r="G30" t="s">
        <v>17</v>
      </c>
      <c r="H30" t="s">
        <v>38</v>
      </c>
      <c r="I30">
        <v>0.21471188530380569</v>
      </c>
      <c r="J30" t="s">
        <v>52</v>
      </c>
      <c r="K30">
        <v>2.408687854690473E-3</v>
      </c>
      <c r="L30" t="s">
        <v>19</v>
      </c>
      <c r="M30">
        <v>0.18690035648077519</v>
      </c>
      <c r="N30">
        <v>1.12182325225374E-2</v>
      </c>
      <c r="O30">
        <v>0.87047047356657192</v>
      </c>
    </row>
    <row r="31" spans="1:15" x14ac:dyDescent="0.35">
      <c r="A31" s="1">
        <v>7</v>
      </c>
      <c r="B31" t="s">
        <v>12</v>
      </c>
      <c r="C31" t="s">
        <v>13</v>
      </c>
      <c r="D31" t="s">
        <v>14</v>
      </c>
      <c r="E31" t="s">
        <v>15</v>
      </c>
      <c r="F31">
        <v>2050</v>
      </c>
      <c r="G31" t="s">
        <v>17</v>
      </c>
      <c r="H31" t="s">
        <v>39</v>
      </c>
      <c r="I31">
        <v>1.313468462121163E-2</v>
      </c>
      <c r="J31" t="s">
        <v>52</v>
      </c>
      <c r="K31">
        <v>5.3832104652912845E-4</v>
      </c>
      <c r="L31" t="s">
        <v>19</v>
      </c>
      <c r="M31">
        <v>4.1770624326217337E-2</v>
      </c>
      <c r="N31">
        <v>4.0984695259433657E-2</v>
      </c>
      <c r="O31">
        <v>3.1801771820817528</v>
      </c>
    </row>
    <row r="32" spans="1:15" x14ac:dyDescent="0.35">
      <c r="A32" s="1">
        <v>8</v>
      </c>
      <c r="B32" t="s">
        <v>12</v>
      </c>
      <c r="C32" t="s">
        <v>13</v>
      </c>
      <c r="D32" t="s">
        <v>14</v>
      </c>
      <c r="E32" t="s">
        <v>15</v>
      </c>
      <c r="F32">
        <v>2050</v>
      </c>
      <c r="G32" t="s">
        <v>17</v>
      </c>
      <c r="H32" t="s">
        <v>40</v>
      </c>
      <c r="I32">
        <v>2.412493094341404E-3</v>
      </c>
      <c r="J32" t="s">
        <v>52</v>
      </c>
      <c r="K32">
        <v>0</v>
      </c>
      <c r="L32" t="s">
        <v>19</v>
      </c>
      <c r="M32">
        <v>0</v>
      </c>
      <c r="N32">
        <v>0</v>
      </c>
      <c r="O32">
        <v>0</v>
      </c>
    </row>
    <row r="33" spans="1:15" x14ac:dyDescent="0.35">
      <c r="A33" s="1">
        <v>9</v>
      </c>
      <c r="B33" t="s">
        <v>12</v>
      </c>
      <c r="C33" t="s">
        <v>13</v>
      </c>
      <c r="D33" t="s">
        <v>14</v>
      </c>
      <c r="E33" t="s">
        <v>15</v>
      </c>
      <c r="F33">
        <v>2050</v>
      </c>
      <c r="G33" t="s">
        <v>17</v>
      </c>
      <c r="H33" t="s">
        <v>41</v>
      </c>
      <c r="I33">
        <v>6.7013697097184535E-4</v>
      </c>
      <c r="J33" t="s">
        <v>52</v>
      </c>
      <c r="K33">
        <v>2.5995649751585341E-5</v>
      </c>
      <c r="L33" t="s">
        <v>19</v>
      </c>
      <c r="M33">
        <v>2.0171132577679008E-3</v>
      </c>
      <c r="N33">
        <v>3.8791546918961889E-2</v>
      </c>
      <c r="O33">
        <v>3.0100014551393062</v>
      </c>
    </row>
    <row r="34" spans="1:15" x14ac:dyDescent="0.35">
      <c r="A34" s="1">
        <v>10</v>
      </c>
      <c r="B34" t="s">
        <v>12</v>
      </c>
      <c r="C34" t="s">
        <v>13</v>
      </c>
      <c r="D34" t="s">
        <v>14</v>
      </c>
      <c r="E34" t="s">
        <v>15</v>
      </c>
      <c r="F34">
        <v>2050</v>
      </c>
      <c r="G34" t="s">
        <v>17</v>
      </c>
      <c r="H34" t="s">
        <v>44</v>
      </c>
      <c r="I34">
        <v>2.1842904673904671E-2</v>
      </c>
      <c r="J34" t="s">
        <v>52</v>
      </c>
      <c r="K34">
        <v>3.6834040474158339E-4</v>
      </c>
      <c r="L34" t="s">
        <v>19</v>
      </c>
      <c r="M34">
        <v>2.8581101871882689E-2</v>
      </c>
      <c r="N34">
        <v>1.6863160382768739E-2</v>
      </c>
      <c r="O34">
        <v>1.308484484942519</v>
      </c>
    </row>
    <row r="35" spans="1:15" x14ac:dyDescent="0.35">
      <c r="A35" s="1">
        <v>11</v>
      </c>
      <c r="B35" t="s">
        <v>12</v>
      </c>
      <c r="C35" t="s">
        <v>13</v>
      </c>
      <c r="D35" t="s">
        <v>14</v>
      </c>
      <c r="E35" t="s">
        <v>15</v>
      </c>
      <c r="F35">
        <v>2050</v>
      </c>
      <c r="G35" t="s">
        <v>17</v>
      </c>
      <c r="H35" t="s">
        <v>56</v>
      </c>
      <c r="I35">
        <v>8.2453348769044137E-3</v>
      </c>
      <c r="J35" t="s">
        <v>52</v>
      </c>
      <c r="K35">
        <v>4.6641281545091418E-4</v>
      </c>
      <c r="L35" t="s">
        <v>19</v>
      </c>
      <c r="M35">
        <v>3.6190958203747833E-2</v>
      </c>
      <c r="N35">
        <v>5.6566873561116282E-2</v>
      </c>
      <c r="O35">
        <v>4.3892648078030732</v>
      </c>
    </row>
    <row r="36" spans="1:15" x14ac:dyDescent="0.35">
      <c r="A36" s="1">
        <v>12</v>
      </c>
      <c r="B36" t="s">
        <v>12</v>
      </c>
      <c r="C36" t="s">
        <v>13</v>
      </c>
      <c r="D36" t="s">
        <v>14</v>
      </c>
      <c r="E36" t="s">
        <v>15</v>
      </c>
      <c r="F36">
        <v>2050</v>
      </c>
      <c r="G36" t="s">
        <v>17</v>
      </c>
      <c r="H36" t="s">
        <v>57</v>
      </c>
      <c r="I36">
        <v>2.748444958968138E-3</v>
      </c>
      <c r="J36" t="s">
        <v>52</v>
      </c>
      <c r="K36">
        <v>5.9707758276490009E-5</v>
      </c>
      <c r="L36" t="s">
        <v>19</v>
      </c>
      <c r="M36">
        <v>4.6329794393296236E-3</v>
      </c>
      <c r="N36">
        <v>2.1724196470322039E-2</v>
      </c>
      <c r="O36">
        <v>1.685672992727133</v>
      </c>
    </row>
    <row r="37" spans="1:15" x14ac:dyDescent="0.35">
      <c r="A37" s="1">
        <v>13</v>
      </c>
      <c r="B37" t="s">
        <v>12</v>
      </c>
      <c r="C37" t="s">
        <v>13</v>
      </c>
      <c r="D37" t="s">
        <v>14</v>
      </c>
      <c r="E37" t="s">
        <v>15</v>
      </c>
      <c r="F37">
        <v>2050</v>
      </c>
      <c r="G37" t="s">
        <v>17</v>
      </c>
      <c r="H37" t="s">
        <v>45</v>
      </c>
      <c r="I37">
        <v>1.113843483371298E-2</v>
      </c>
      <c r="J37" t="s">
        <v>52</v>
      </c>
      <c r="K37">
        <v>4.3557252867663021E-4</v>
      </c>
      <c r="L37" t="s">
        <v>19</v>
      </c>
      <c r="M37">
        <v>3.3797928911530252E-2</v>
      </c>
      <c r="N37">
        <v>3.9105362214650843E-2</v>
      </c>
      <c r="O37">
        <v>3.0343517214136049</v>
      </c>
    </row>
    <row r="38" spans="1:15" x14ac:dyDescent="0.35">
      <c r="A38" s="1">
        <v>14</v>
      </c>
      <c r="B38" t="s">
        <v>12</v>
      </c>
      <c r="C38" t="s">
        <v>13</v>
      </c>
      <c r="D38" t="s">
        <v>14</v>
      </c>
      <c r="E38" t="s">
        <v>15</v>
      </c>
      <c r="F38">
        <v>2050</v>
      </c>
      <c r="G38" t="s">
        <v>17</v>
      </c>
      <c r="H38" t="s">
        <v>46</v>
      </c>
      <c r="I38">
        <v>4.6246929599690581E-2</v>
      </c>
      <c r="J38" t="s">
        <v>52</v>
      </c>
      <c r="K38">
        <v>5.241267264377527E-4</v>
      </c>
      <c r="L38" t="s">
        <v>19</v>
      </c>
      <c r="M38">
        <v>4.0669226534089858E-2</v>
      </c>
      <c r="N38">
        <v>1.1333222139816589E-2</v>
      </c>
      <c r="O38">
        <v>0.87939300805738152</v>
      </c>
    </row>
    <row r="39" spans="1:15" x14ac:dyDescent="0.35">
      <c r="A39" s="1">
        <v>15</v>
      </c>
      <c r="B39" t="s">
        <v>12</v>
      </c>
      <c r="C39" t="s">
        <v>13</v>
      </c>
      <c r="D39" t="s">
        <v>14</v>
      </c>
      <c r="E39" t="s">
        <v>15</v>
      </c>
      <c r="F39">
        <v>2050</v>
      </c>
      <c r="G39" t="s">
        <v>17</v>
      </c>
      <c r="H39" t="s">
        <v>18</v>
      </c>
      <c r="I39">
        <v>3.1242684515255099E-2</v>
      </c>
      <c r="J39" t="s">
        <v>52</v>
      </c>
      <c r="K39">
        <v>4.0264168649438431E-4</v>
      </c>
      <c r="L39" t="s">
        <v>19</v>
      </c>
      <c r="M39">
        <v>3.1242684515255061E-2</v>
      </c>
      <c r="N39">
        <v>1.288755088564119E-2</v>
      </c>
      <c r="O39">
        <v>0.99999999999999878</v>
      </c>
    </row>
    <row r="40" spans="1:15" x14ac:dyDescent="0.35">
      <c r="A40" s="1">
        <v>16</v>
      </c>
      <c r="B40" t="s">
        <v>12</v>
      </c>
      <c r="C40" t="s">
        <v>13</v>
      </c>
      <c r="D40" t="s">
        <v>14</v>
      </c>
      <c r="E40" t="s">
        <v>15</v>
      </c>
      <c r="F40">
        <v>2050</v>
      </c>
      <c r="G40" t="s">
        <v>17</v>
      </c>
      <c r="H40" t="s">
        <v>47</v>
      </c>
      <c r="I40">
        <v>5.6500000000000001E-9</v>
      </c>
      <c r="J40" t="s">
        <v>53</v>
      </c>
      <c r="K40">
        <v>5.7973313801164901E-4</v>
      </c>
      <c r="L40" t="s">
        <v>19</v>
      </c>
      <c r="M40">
        <v>4.4983965002812473E-2</v>
      </c>
      <c r="N40">
        <v>102607.6350463096</v>
      </c>
      <c r="O40">
        <v>7961763.717311942</v>
      </c>
    </row>
    <row r="41" spans="1:15" x14ac:dyDescent="0.35">
      <c r="A41" s="1">
        <v>17</v>
      </c>
      <c r="B41" t="s">
        <v>12</v>
      </c>
      <c r="C41" t="s">
        <v>13</v>
      </c>
      <c r="D41" t="s">
        <v>14</v>
      </c>
      <c r="E41" t="s">
        <v>15</v>
      </c>
      <c r="F41">
        <v>2050</v>
      </c>
      <c r="G41" t="s">
        <v>17</v>
      </c>
      <c r="H41" t="s">
        <v>48</v>
      </c>
      <c r="I41">
        <v>3.8600000000000001E-10</v>
      </c>
      <c r="J41" t="s">
        <v>53</v>
      </c>
      <c r="K41">
        <v>5.489593141257487E-5</v>
      </c>
      <c r="L41" t="s">
        <v>19</v>
      </c>
      <c r="M41">
        <v>4.2596092849369631E-3</v>
      </c>
      <c r="N41">
        <v>142217.43889268101</v>
      </c>
      <c r="O41">
        <v>11035257.2148626</v>
      </c>
    </row>
    <row r="42" spans="1:15" x14ac:dyDescent="0.35">
      <c r="A42" s="1">
        <v>18</v>
      </c>
      <c r="B42" t="s">
        <v>12</v>
      </c>
      <c r="C42" t="s">
        <v>13</v>
      </c>
      <c r="D42" t="s">
        <v>14</v>
      </c>
      <c r="E42" t="s">
        <v>15</v>
      </c>
      <c r="F42">
        <v>2050</v>
      </c>
      <c r="G42" t="s">
        <v>17</v>
      </c>
      <c r="H42" t="s">
        <v>49</v>
      </c>
      <c r="I42">
        <v>3.47E-12</v>
      </c>
      <c r="J42" t="s">
        <v>53</v>
      </c>
      <c r="K42">
        <v>3.427927289889403E-7</v>
      </c>
      <c r="L42" t="s">
        <v>19</v>
      </c>
      <c r="M42">
        <v>2.6598748825959331E-5</v>
      </c>
      <c r="N42">
        <v>98787.529967994327</v>
      </c>
      <c r="O42">
        <v>7665345.4829853997</v>
      </c>
    </row>
    <row r="43" spans="1:15" x14ac:dyDescent="0.35">
      <c r="A43" s="1">
        <v>19</v>
      </c>
      <c r="B43" t="s">
        <v>12</v>
      </c>
      <c r="C43" t="s">
        <v>13</v>
      </c>
      <c r="D43" t="s">
        <v>14</v>
      </c>
      <c r="E43" t="s">
        <v>15</v>
      </c>
      <c r="F43">
        <v>2050</v>
      </c>
      <c r="G43" t="s">
        <v>17</v>
      </c>
      <c r="H43" t="s">
        <v>50</v>
      </c>
      <c r="I43">
        <v>5.0000000000000004E-6</v>
      </c>
      <c r="J43" t="s">
        <v>54</v>
      </c>
    </row>
    <row r="44" spans="1:15" x14ac:dyDescent="0.35">
      <c r="A44" s="1">
        <v>20</v>
      </c>
      <c r="B44" t="s">
        <v>12</v>
      </c>
      <c r="C44" t="s">
        <v>13</v>
      </c>
      <c r="D44" t="s">
        <v>14</v>
      </c>
      <c r="E44" t="s">
        <v>15</v>
      </c>
      <c r="F44">
        <v>2050</v>
      </c>
      <c r="G44" t="s">
        <v>17</v>
      </c>
      <c r="H44" t="s">
        <v>51</v>
      </c>
      <c r="I44">
        <v>4.16E-6</v>
      </c>
      <c r="J44" t="s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elec 1 kWh</vt:lpstr>
      <vt:lpstr>contrib an. detail</vt:lpstr>
      <vt:lpstr>contrib an. aggreg</vt:lpstr>
      <vt:lpstr>graph1</vt:lpstr>
      <vt:lpstr>graph2</vt:lpstr>
      <vt:lpstr>graph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Joanna SCHLESINGER</cp:lastModifiedBy>
  <dcterms:created xsi:type="dcterms:W3CDTF">2025-05-16T15:43:14Z</dcterms:created>
  <dcterms:modified xsi:type="dcterms:W3CDTF">2025-06-06T17:54:27Z</dcterms:modified>
</cp:coreProperties>
</file>